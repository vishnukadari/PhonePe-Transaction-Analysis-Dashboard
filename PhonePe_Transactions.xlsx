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18E11CE-F984-4F48-9D1C-30464DE60210}" xr6:coauthVersionLast="47" xr6:coauthVersionMax="47" xr10:uidLastSave="{00000000-0000-0000-0000-000000000000}"/>
  <bookViews>
    <workbookView xWindow="-110" yWindow="-110" windowWidth="19420" windowHeight="10300" activeTab="1" xr2:uid="{00000000-000D-0000-FFFF-FFFF00000000}"/>
  </bookViews>
  <sheets>
    <sheet name="Summary Dashboard" sheetId="1" r:id="rId1"/>
    <sheet name="All Transactions" sheetId="2" r:id="rId2"/>
  </sheets>
  <calcPr calcId="191029"/>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2" i="2"/>
  <c r="A3" i="2"/>
  <c r="M3" i="2" s="1"/>
  <c r="A4" i="2"/>
  <c r="M4" i="2" s="1"/>
  <c r="A5" i="2"/>
  <c r="M5" i="2" s="1"/>
  <c r="A6" i="2"/>
  <c r="M6" i="2" s="1"/>
  <c r="A7" i="2"/>
  <c r="M7" i="2" s="1"/>
  <c r="A8" i="2"/>
  <c r="M8" i="2" s="1"/>
  <c r="A9" i="2"/>
  <c r="M9" i="2" s="1"/>
  <c r="A10" i="2"/>
  <c r="M10" i="2" s="1"/>
  <c r="A11" i="2"/>
  <c r="M11" i="2" s="1"/>
  <c r="A12" i="2"/>
  <c r="M12" i="2" s="1"/>
  <c r="A13" i="2"/>
  <c r="M13" i="2" s="1"/>
  <c r="A14" i="2"/>
  <c r="M14" i="2" s="1"/>
  <c r="A15" i="2"/>
  <c r="M15" i="2" s="1"/>
  <c r="A16" i="2"/>
  <c r="M16" i="2" s="1"/>
  <c r="A17" i="2"/>
  <c r="M17" i="2" s="1"/>
  <c r="A18" i="2"/>
  <c r="M18" i="2" s="1"/>
  <c r="A19" i="2"/>
  <c r="M19" i="2" s="1"/>
  <c r="A20" i="2"/>
  <c r="M20" i="2" s="1"/>
  <c r="A21" i="2"/>
  <c r="M21" i="2" s="1"/>
  <c r="A22" i="2"/>
  <c r="M22" i="2" s="1"/>
  <c r="A23" i="2"/>
  <c r="M23" i="2" s="1"/>
  <c r="A24" i="2"/>
  <c r="M24" i="2" s="1"/>
  <c r="A25" i="2"/>
  <c r="M25" i="2" s="1"/>
  <c r="A26" i="2"/>
  <c r="M26" i="2" s="1"/>
  <c r="A27" i="2"/>
  <c r="M27" i="2" s="1"/>
  <c r="A28" i="2"/>
  <c r="M28" i="2" s="1"/>
  <c r="A29" i="2"/>
  <c r="M29" i="2" s="1"/>
  <c r="A30" i="2"/>
  <c r="M30" i="2" s="1"/>
  <c r="A31" i="2"/>
  <c r="M31" i="2" s="1"/>
  <c r="A32" i="2"/>
  <c r="M32" i="2" s="1"/>
  <c r="A33" i="2"/>
  <c r="M33" i="2" s="1"/>
  <c r="A34" i="2"/>
  <c r="M34" i="2" s="1"/>
  <c r="A35" i="2"/>
  <c r="M35" i="2" s="1"/>
  <c r="A36" i="2"/>
  <c r="M36" i="2" s="1"/>
  <c r="A37" i="2"/>
  <c r="M37" i="2" s="1"/>
  <c r="A38" i="2"/>
  <c r="M38" i="2" s="1"/>
  <c r="A39" i="2"/>
  <c r="M39" i="2" s="1"/>
  <c r="A40" i="2"/>
  <c r="M40" i="2" s="1"/>
  <c r="A41" i="2"/>
  <c r="M41" i="2" s="1"/>
  <c r="A42" i="2"/>
  <c r="M42" i="2" s="1"/>
  <c r="A43" i="2"/>
  <c r="M43" i="2" s="1"/>
  <c r="A44" i="2"/>
  <c r="M44" i="2" s="1"/>
  <c r="A45" i="2"/>
  <c r="M45" i="2" s="1"/>
  <c r="A46" i="2"/>
  <c r="M46" i="2" s="1"/>
  <c r="A47" i="2"/>
  <c r="M47" i="2" s="1"/>
  <c r="A48" i="2"/>
  <c r="M48" i="2" s="1"/>
  <c r="A49" i="2"/>
  <c r="M49" i="2" s="1"/>
  <c r="A50" i="2"/>
  <c r="M50" i="2" s="1"/>
  <c r="A51" i="2"/>
  <c r="M51" i="2" s="1"/>
  <c r="A52" i="2"/>
  <c r="M52" i="2" s="1"/>
  <c r="A53" i="2"/>
  <c r="M53" i="2" s="1"/>
  <c r="A54" i="2"/>
  <c r="M54" i="2" s="1"/>
  <c r="A55" i="2"/>
  <c r="M55" i="2" s="1"/>
  <c r="A56" i="2"/>
  <c r="M56" i="2" s="1"/>
  <c r="A57" i="2"/>
  <c r="M57" i="2" s="1"/>
  <c r="A58" i="2"/>
  <c r="M58" i="2" s="1"/>
  <c r="A59" i="2"/>
  <c r="M59" i="2" s="1"/>
  <c r="A60" i="2"/>
  <c r="M60" i="2" s="1"/>
  <c r="A61" i="2"/>
  <c r="M61" i="2" s="1"/>
  <c r="A62" i="2"/>
  <c r="M62" i="2" s="1"/>
  <c r="A63" i="2"/>
  <c r="M63" i="2" s="1"/>
  <c r="A64" i="2"/>
  <c r="M64" i="2" s="1"/>
  <c r="A65" i="2"/>
  <c r="M65" i="2" s="1"/>
  <c r="A66" i="2"/>
  <c r="M66" i="2" s="1"/>
  <c r="A67" i="2"/>
  <c r="M67" i="2" s="1"/>
  <c r="A68" i="2"/>
  <c r="M68" i="2" s="1"/>
  <c r="A69" i="2"/>
  <c r="M69" i="2" s="1"/>
  <c r="A70" i="2"/>
  <c r="M70" i="2" s="1"/>
  <c r="A71" i="2"/>
  <c r="M71" i="2" s="1"/>
  <c r="A72" i="2"/>
  <c r="M72" i="2" s="1"/>
  <c r="A73" i="2"/>
  <c r="M73" i="2" s="1"/>
  <c r="A74" i="2"/>
  <c r="M74" i="2" s="1"/>
  <c r="A75" i="2"/>
  <c r="M75" i="2" s="1"/>
  <c r="A76" i="2"/>
  <c r="M76" i="2" s="1"/>
  <c r="A77" i="2"/>
  <c r="M77" i="2" s="1"/>
  <c r="A78" i="2"/>
  <c r="M78" i="2" s="1"/>
  <c r="A79" i="2"/>
  <c r="M79" i="2" s="1"/>
  <c r="A80" i="2"/>
  <c r="M80" i="2" s="1"/>
  <c r="A81" i="2"/>
  <c r="M81" i="2" s="1"/>
  <c r="A82" i="2"/>
  <c r="M82" i="2" s="1"/>
  <c r="A83" i="2"/>
  <c r="M83" i="2" s="1"/>
  <c r="A84" i="2"/>
  <c r="M84" i="2" s="1"/>
  <c r="A85" i="2"/>
  <c r="M85" i="2" s="1"/>
  <c r="A86" i="2"/>
  <c r="M86" i="2" s="1"/>
  <c r="A87" i="2"/>
  <c r="M87" i="2" s="1"/>
  <c r="A88" i="2"/>
  <c r="M88" i="2" s="1"/>
  <c r="A89" i="2"/>
  <c r="M89" i="2" s="1"/>
  <c r="A90" i="2"/>
  <c r="M90" i="2" s="1"/>
  <c r="A91" i="2"/>
  <c r="M91" i="2" s="1"/>
  <c r="A92" i="2"/>
  <c r="M92" i="2" s="1"/>
  <c r="A93" i="2"/>
  <c r="M93" i="2" s="1"/>
  <c r="A94" i="2"/>
  <c r="M94" i="2" s="1"/>
  <c r="A95" i="2"/>
  <c r="M95" i="2" s="1"/>
  <c r="A96" i="2"/>
  <c r="M96" i="2" s="1"/>
  <c r="A97" i="2"/>
  <c r="M97" i="2" s="1"/>
  <c r="A98" i="2"/>
  <c r="M98" i="2" s="1"/>
  <c r="A99" i="2"/>
  <c r="M99" i="2" s="1"/>
  <c r="A100" i="2"/>
  <c r="M100" i="2" s="1"/>
  <c r="A101" i="2"/>
  <c r="M101" i="2" s="1"/>
  <c r="A102" i="2"/>
  <c r="M102" i="2" s="1"/>
  <c r="A103" i="2"/>
  <c r="M103" i="2" s="1"/>
  <c r="A104" i="2"/>
  <c r="M104" i="2" s="1"/>
  <c r="A105" i="2"/>
  <c r="M105" i="2" s="1"/>
  <c r="A106" i="2"/>
  <c r="M106" i="2" s="1"/>
  <c r="A107" i="2"/>
  <c r="M107" i="2" s="1"/>
  <c r="A108" i="2"/>
  <c r="M108" i="2" s="1"/>
  <c r="A109" i="2"/>
  <c r="M109" i="2" s="1"/>
  <c r="A110" i="2"/>
  <c r="M110" i="2" s="1"/>
  <c r="A111" i="2"/>
  <c r="M111" i="2" s="1"/>
  <c r="A112" i="2"/>
  <c r="M112" i="2" s="1"/>
  <c r="A113" i="2"/>
  <c r="M113" i="2" s="1"/>
  <c r="A114" i="2"/>
  <c r="M114" i="2" s="1"/>
  <c r="A115" i="2"/>
  <c r="M115" i="2" s="1"/>
  <c r="A116" i="2"/>
  <c r="M116" i="2" s="1"/>
  <c r="A117" i="2"/>
  <c r="M117" i="2" s="1"/>
  <c r="A118" i="2"/>
  <c r="M118" i="2" s="1"/>
  <c r="A119" i="2"/>
  <c r="M119" i="2" s="1"/>
  <c r="A120" i="2"/>
  <c r="M120" i="2" s="1"/>
  <c r="A121" i="2"/>
  <c r="M121" i="2" s="1"/>
  <c r="A122" i="2"/>
  <c r="M122" i="2" s="1"/>
  <c r="A123" i="2"/>
  <c r="M123" i="2" s="1"/>
  <c r="A124" i="2"/>
  <c r="M124" i="2" s="1"/>
  <c r="A125" i="2"/>
  <c r="M125" i="2" s="1"/>
  <c r="A126" i="2"/>
  <c r="M126" i="2" s="1"/>
  <c r="A127" i="2"/>
  <c r="M127" i="2" s="1"/>
  <c r="A128" i="2"/>
  <c r="M128" i="2" s="1"/>
  <c r="A129" i="2"/>
  <c r="M129" i="2" s="1"/>
  <c r="A130" i="2"/>
  <c r="M130" i="2" s="1"/>
  <c r="A131" i="2"/>
  <c r="M131" i="2" s="1"/>
  <c r="A132" i="2"/>
  <c r="M132" i="2" s="1"/>
  <c r="A133" i="2"/>
  <c r="M133" i="2" s="1"/>
  <c r="A134" i="2"/>
  <c r="M134" i="2" s="1"/>
  <c r="A135" i="2"/>
  <c r="M135" i="2" s="1"/>
  <c r="A136" i="2"/>
  <c r="M136" i="2" s="1"/>
  <c r="A137" i="2"/>
  <c r="M137" i="2" s="1"/>
  <c r="A138" i="2"/>
  <c r="M138" i="2" s="1"/>
  <c r="A139" i="2"/>
  <c r="M139" i="2" s="1"/>
  <c r="A140" i="2"/>
  <c r="M140" i="2" s="1"/>
  <c r="A141" i="2"/>
  <c r="M141" i="2" s="1"/>
  <c r="A142" i="2"/>
  <c r="M142" i="2" s="1"/>
  <c r="A143" i="2"/>
  <c r="M143" i="2" s="1"/>
  <c r="A144" i="2"/>
  <c r="M144" i="2" s="1"/>
  <c r="A145" i="2"/>
  <c r="M145" i="2" s="1"/>
  <c r="A146" i="2"/>
  <c r="M146" i="2" s="1"/>
  <c r="A147" i="2"/>
  <c r="M147" i="2" s="1"/>
  <c r="A148" i="2"/>
  <c r="M148" i="2" s="1"/>
  <c r="A149" i="2"/>
  <c r="M149" i="2" s="1"/>
  <c r="A150" i="2"/>
  <c r="M150" i="2" s="1"/>
  <c r="A151" i="2"/>
  <c r="M151" i="2" s="1"/>
  <c r="A152" i="2"/>
  <c r="M152" i="2" s="1"/>
  <c r="A153" i="2"/>
  <c r="M153" i="2" s="1"/>
  <c r="A154" i="2"/>
  <c r="M154" i="2" s="1"/>
  <c r="A155" i="2"/>
  <c r="M155" i="2" s="1"/>
  <c r="A156" i="2"/>
  <c r="M156" i="2" s="1"/>
  <c r="A157" i="2"/>
  <c r="M157" i="2" s="1"/>
  <c r="A158" i="2"/>
  <c r="M158" i="2" s="1"/>
  <c r="A159" i="2"/>
  <c r="M159" i="2" s="1"/>
  <c r="A160" i="2"/>
  <c r="M160" i="2" s="1"/>
  <c r="A161" i="2"/>
  <c r="M161" i="2" s="1"/>
  <c r="A162" i="2"/>
  <c r="M162" i="2" s="1"/>
  <c r="A163" i="2"/>
  <c r="M163" i="2" s="1"/>
  <c r="A164" i="2"/>
  <c r="M164" i="2" s="1"/>
  <c r="A165" i="2"/>
  <c r="M165" i="2" s="1"/>
  <c r="A166" i="2"/>
  <c r="M166" i="2" s="1"/>
  <c r="A167" i="2"/>
  <c r="M167" i="2" s="1"/>
  <c r="A168" i="2"/>
  <c r="M168" i="2" s="1"/>
  <c r="A169" i="2"/>
  <c r="M169" i="2" s="1"/>
  <c r="A170" i="2"/>
  <c r="M170" i="2" s="1"/>
  <c r="A171" i="2"/>
  <c r="M171" i="2" s="1"/>
  <c r="A172" i="2"/>
  <c r="M172" i="2" s="1"/>
  <c r="A173" i="2"/>
  <c r="M173" i="2" s="1"/>
  <c r="A174" i="2"/>
  <c r="M174" i="2" s="1"/>
  <c r="A175" i="2"/>
  <c r="M175" i="2" s="1"/>
  <c r="A176" i="2"/>
  <c r="M176" i="2" s="1"/>
  <c r="A177" i="2"/>
  <c r="M177" i="2" s="1"/>
  <c r="A178" i="2"/>
  <c r="M178" i="2" s="1"/>
  <c r="A179" i="2"/>
  <c r="M179" i="2" s="1"/>
  <c r="A180" i="2"/>
  <c r="M180" i="2" s="1"/>
  <c r="A181" i="2"/>
  <c r="M181" i="2" s="1"/>
  <c r="A182" i="2"/>
  <c r="M182" i="2" s="1"/>
  <c r="A183" i="2"/>
  <c r="M183" i="2" s="1"/>
  <c r="A184" i="2"/>
  <c r="M184" i="2" s="1"/>
  <c r="A185" i="2"/>
  <c r="M185" i="2" s="1"/>
  <c r="A186" i="2"/>
  <c r="M186" i="2" s="1"/>
  <c r="A187" i="2"/>
  <c r="M187" i="2" s="1"/>
  <c r="A188" i="2"/>
  <c r="M188" i="2" s="1"/>
  <c r="A189" i="2"/>
  <c r="M189" i="2" s="1"/>
  <c r="A190" i="2"/>
  <c r="M190" i="2" s="1"/>
  <c r="A191" i="2"/>
  <c r="M191" i="2" s="1"/>
  <c r="A192" i="2"/>
  <c r="M192" i="2" s="1"/>
  <c r="A193" i="2"/>
  <c r="M193" i="2" s="1"/>
  <c r="A194" i="2"/>
  <c r="M194" i="2" s="1"/>
  <c r="A195" i="2"/>
  <c r="M195" i="2" s="1"/>
  <c r="A196" i="2"/>
  <c r="M196" i="2" s="1"/>
  <c r="A197" i="2"/>
  <c r="M197" i="2" s="1"/>
  <c r="A198" i="2"/>
  <c r="M198" i="2" s="1"/>
  <c r="A199" i="2"/>
  <c r="M199" i="2" s="1"/>
  <c r="A200" i="2"/>
  <c r="M200" i="2" s="1"/>
  <c r="A201" i="2"/>
  <c r="M201" i="2" s="1"/>
  <c r="A202" i="2"/>
  <c r="M202" i="2" s="1"/>
  <c r="A203" i="2"/>
  <c r="M203" i="2" s="1"/>
  <c r="A204" i="2"/>
  <c r="M204" i="2" s="1"/>
  <c r="A205" i="2"/>
  <c r="M205" i="2" s="1"/>
  <c r="A206" i="2"/>
  <c r="M206" i="2" s="1"/>
  <c r="A207" i="2"/>
  <c r="M207" i="2" s="1"/>
  <c r="A208" i="2"/>
  <c r="M208" i="2" s="1"/>
  <c r="A209" i="2"/>
  <c r="M209" i="2" s="1"/>
  <c r="A210" i="2"/>
  <c r="M210" i="2" s="1"/>
  <c r="A211" i="2"/>
  <c r="M211" i="2" s="1"/>
  <c r="A212" i="2"/>
  <c r="M212" i="2" s="1"/>
  <c r="A213" i="2"/>
  <c r="M213" i="2" s="1"/>
  <c r="A214" i="2"/>
  <c r="M214" i="2" s="1"/>
  <c r="A215" i="2"/>
  <c r="M215" i="2" s="1"/>
  <c r="A216" i="2"/>
  <c r="M216" i="2" s="1"/>
  <c r="A217" i="2"/>
  <c r="M217" i="2" s="1"/>
  <c r="A218" i="2"/>
  <c r="M218" i="2" s="1"/>
  <c r="A219" i="2"/>
  <c r="M219" i="2" s="1"/>
  <c r="A220" i="2"/>
  <c r="M220" i="2" s="1"/>
  <c r="A221" i="2"/>
  <c r="M221" i="2" s="1"/>
  <c r="A222" i="2"/>
  <c r="M222" i="2" s="1"/>
  <c r="A223" i="2"/>
  <c r="M223" i="2" s="1"/>
  <c r="A224" i="2"/>
  <c r="M224" i="2" s="1"/>
  <c r="A225" i="2"/>
  <c r="M225" i="2" s="1"/>
  <c r="A226" i="2"/>
  <c r="M226" i="2" s="1"/>
  <c r="A227" i="2"/>
  <c r="M227" i="2" s="1"/>
  <c r="A228" i="2"/>
  <c r="M228" i="2" s="1"/>
  <c r="A229" i="2"/>
  <c r="M229" i="2" s="1"/>
  <c r="A230" i="2"/>
  <c r="M230" i="2" s="1"/>
  <c r="A231" i="2"/>
  <c r="M231" i="2" s="1"/>
  <c r="A232" i="2"/>
  <c r="M232" i="2" s="1"/>
  <c r="A233" i="2"/>
  <c r="M233" i="2" s="1"/>
  <c r="A234" i="2"/>
  <c r="M234" i="2" s="1"/>
  <c r="A235" i="2"/>
  <c r="M235" i="2" s="1"/>
  <c r="A236" i="2"/>
  <c r="M236" i="2" s="1"/>
  <c r="A237" i="2"/>
  <c r="M237" i="2" s="1"/>
  <c r="A238" i="2"/>
  <c r="M238" i="2" s="1"/>
  <c r="A239" i="2"/>
  <c r="M239" i="2" s="1"/>
  <c r="A240" i="2"/>
  <c r="M240" i="2" s="1"/>
  <c r="A241" i="2"/>
  <c r="M241" i="2" s="1"/>
  <c r="A242" i="2"/>
  <c r="M242" i="2" s="1"/>
  <c r="A243" i="2"/>
  <c r="M243" i="2" s="1"/>
  <c r="A244" i="2"/>
  <c r="M244" i="2" s="1"/>
  <c r="A245" i="2"/>
  <c r="M245" i="2" s="1"/>
  <c r="A246" i="2"/>
  <c r="M246" i="2" s="1"/>
  <c r="A247" i="2"/>
  <c r="M247" i="2" s="1"/>
  <c r="A248" i="2"/>
  <c r="M248" i="2" s="1"/>
  <c r="A249" i="2"/>
  <c r="M249" i="2" s="1"/>
  <c r="A250" i="2"/>
  <c r="M250" i="2" s="1"/>
  <c r="A251" i="2"/>
  <c r="M251" i="2" s="1"/>
  <c r="A252" i="2"/>
  <c r="M252" i="2" s="1"/>
  <c r="A253" i="2"/>
  <c r="M253" i="2" s="1"/>
  <c r="A254" i="2"/>
  <c r="M254" i="2" s="1"/>
  <c r="A255" i="2"/>
  <c r="M255" i="2" s="1"/>
  <c r="A256" i="2"/>
  <c r="M256" i="2" s="1"/>
  <c r="A257" i="2"/>
  <c r="M257" i="2" s="1"/>
  <c r="A258" i="2"/>
  <c r="M258" i="2" s="1"/>
  <c r="A259" i="2"/>
  <c r="M259" i="2" s="1"/>
  <c r="A260" i="2"/>
  <c r="M260" i="2" s="1"/>
  <c r="A261" i="2"/>
  <c r="M261" i="2" s="1"/>
  <c r="A262" i="2"/>
  <c r="M262" i="2" s="1"/>
  <c r="A263" i="2"/>
  <c r="M263" i="2" s="1"/>
  <c r="A264" i="2"/>
  <c r="M264" i="2" s="1"/>
  <c r="A265" i="2"/>
  <c r="M265" i="2" s="1"/>
  <c r="A266" i="2"/>
  <c r="M266" i="2" s="1"/>
  <c r="A267" i="2"/>
  <c r="M267" i="2" s="1"/>
  <c r="A268" i="2"/>
  <c r="M268" i="2" s="1"/>
  <c r="A269" i="2"/>
  <c r="M269" i="2" s="1"/>
  <c r="A270" i="2"/>
  <c r="M270" i="2" s="1"/>
  <c r="A271" i="2"/>
  <c r="M271" i="2" s="1"/>
  <c r="A272" i="2"/>
  <c r="M272" i="2" s="1"/>
  <c r="A273" i="2"/>
  <c r="M273" i="2" s="1"/>
  <c r="A274" i="2"/>
  <c r="M274" i="2" s="1"/>
  <c r="A275" i="2"/>
  <c r="M275" i="2" s="1"/>
  <c r="A276" i="2"/>
  <c r="M276" i="2" s="1"/>
  <c r="A277" i="2"/>
  <c r="M277" i="2" s="1"/>
  <c r="A278" i="2"/>
  <c r="M278" i="2" s="1"/>
  <c r="A279" i="2"/>
  <c r="M279" i="2" s="1"/>
  <c r="A280" i="2"/>
  <c r="M280" i="2" s="1"/>
  <c r="A281" i="2"/>
  <c r="M281" i="2" s="1"/>
  <c r="A282" i="2"/>
  <c r="M282" i="2" s="1"/>
  <c r="A283" i="2"/>
  <c r="M283" i="2" s="1"/>
  <c r="A284" i="2"/>
  <c r="M284" i="2" s="1"/>
  <c r="A285" i="2"/>
  <c r="M285" i="2" s="1"/>
  <c r="A286" i="2"/>
  <c r="M286" i="2" s="1"/>
  <c r="A287" i="2"/>
  <c r="M287" i="2" s="1"/>
  <c r="A288" i="2"/>
  <c r="M288" i="2" s="1"/>
  <c r="A289" i="2"/>
  <c r="M289" i="2" s="1"/>
  <c r="A290" i="2"/>
  <c r="M290" i="2" s="1"/>
  <c r="A291" i="2"/>
  <c r="M291" i="2" s="1"/>
  <c r="A292" i="2"/>
  <c r="M292" i="2" s="1"/>
  <c r="A293" i="2"/>
  <c r="M293" i="2" s="1"/>
  <c r="A294" i="2"/>
  <c r="M294" i="2" s="1"/>
  <c r="A295" i="2"/>
  <c r="M295" i="2" s="1"/>
  <c r="A296" i="2"/>
  <c r="M296" i="2" s="1"/>
  <c r="A297" i="2"/>
  <c r="M297" i="2" s="1"/>
  <c r="A298" i="2"/>
  <c r="M298" i="2" s="1"/>
  <c r="A299" i="2"/>
  <c r="M299" i="2" s="1"/>
  <c r="A300" i="2"/>
  <c r="M300" i="2" s="1"/>
  <c r="A301" i="2"/>
  <c r="M301" i="2" s="1"/>
  <c r="A302" i="2"/>
  <c r="M302" i="2" s="1"/>
  <c r="A303" i="2"/>
  <c r="M303" i="2" s="1"/>
  <c r="A304" i="2"/>
  <c r="M304" i="2" s="1"/>
  <c r="A305" i="2"/>
  <c r="M305" i="2" s="1"/>
  <c r="A306" i="2"/>
  <c r="M306" i="2" s="1"/>
  <c r="A307" i="2"/>
  <c r="M307" i="2" s="1"/>
  <c r="A308" i="2"/>
  <c r="M308" i="2" s="1"/>
  <c r="A309" i="2"/>
  <c r="M309" i="2" s="1"/>
  <c r="A310" i="2"/>
  <c r="M310" i="2" s="1"/>
  <c r="A311" i="2"/>
  <c r="M311" i="2" s="1"/>
  <c r="A312" i="2"/>
  <c r="M312" i="2" s="1"/>
  <c r="A313" i="2"/>
  <c r="M313" i="2" s="1"/>
  <c r="A314" i="2"/>
  <c r="M314" i="2" s="1"/>
  <c r="A315" i="2"/>
  <c r="M315" i="2" s="1"/>
  <c r="A316" i="2"/>
  <c r="M316" i="2" s="1"/>
  <c r="A317" i="2"/>
  <c r="M317" i="2" s="1"/>
  <c r="A318" i="2"/>
  <c r="M318" i="2" s="1"/>
  <c r="A319" i="2"/>
  <c r="M319" i="2" s="1"/>
  <c r="A320" i="2"/>
  <c r="M320" i="2" s="1"/>
  <c r="A321" i="2"/>
  <c r="M321" i="2" s="1"/>
  <c r="A322" i="2"/>
  <c r="M322" i="2" s="1"/>
  <c r="A323" i="2"/>
  <c r="M323" i="2" s="1"/>
  <c r="A324" i="2"/>
  <c r="M324" i="2" s="1"/>
  <c r="A325" i="2"/>
  <c r="M325" i="2" s="1"/>
  <c r="A326" i="2"/>
  <c r="M326" i="2" s="1"/>
  <c r="A327" i="2"/>
  <c r="M327" i="2" s="1"/>
  <c r="A328" i="2"/>
  <c r="M328" i="2" s="1"/>
  <c r="A329" i="2"/>
  <c r="M329" i="2" s="1"/>
  <c r="A330" i="2"/>
  <c r="M330" i="2" s="1"/>
  <c r="A331" i="2"/>
  <c r="M331" i="2" s="1"/>
  <c r="A332" i="2"/>
  <c r="M332" i="2" s="1"/>
  <c r="A333" i="2"/>
  <c r="M333" i="2" s="1"/>
  <c r="A334" i="2"/>
  <c r="M334" i="2" s="1"/>
  <c r="A335" i="2"/>
  <c r="M335" i="2" s="1"/>
  <c r="A336" i="2"/>
  <c r="M336" i="2" s="1"/>
  <c r="A337" i="2"/>
  <c r="M337" i="2" s="1"/>
  <c r="A338" i="2"/>
  <c r="M338" i="2" s="1"/>
  <c r="A339" i="2"/>
  <c r="M339" i="2" s="1"/>
  <c r="A340" i="2"/>
  <c r="M340" i="2" s="1"/>
  <c r="A341" i="2"/>
  <c r="M341" i="2" s="1"/>
  <c r="A342" i="2"/>
  <c r="M342" i="2" s="1"/>
  <c r="A343" i="2"/>
  <c r="M343" i="2" s="1"/>
  <c r="A344" i="2"/>
  <c r="M344" i="2" s="1"/>
  <c r="A345" i="2"/>
  <c r="M345" i="2" s="1"/>
  <c r="A346" i="2"/>
  <c r="M346" i="2" s="1"/>
  <c r="A347" i="2"/>
  <c r="M347" i="2" s="1"/>
  <c r="A348" i="2"/>
  <c r="M348" i="2" s="1"/>
  <c r="A349" i="2"/>
  <c r="M349" i="2" s="1"/>
  <c r="A350" i="2"/>
  <c r="M350" i="2" s="1"/>
  <c r="A351" i="2"/>
  <c r="M351" i="2" s="1"/>
  <c r="A352" i="2"/>
  <c r="M352" i="2" s="1"/>
  <c r="A353" i="2"/>
  <c r="M353" i="2" s="1"/>
  <c r="A354" i="2"/>
  <c r="M354" i="2" s="1"/>
  <c r="A355" i="2"/>
  <c r="M355" i="2" s="1"/>
  <c r="A356" i="2"/>
  <c r="M356" i="2" s="1"/>
  <c r="A357" i="2"/>
  <c r="M357" i="2" s="1"/>
  <c r="A358" i="2"/>
  <c r="M358" i="2" s="1"/>
  <c r="A359" i="2"/>
  <c r="M359" i="2" s="1"/>
  <c r="A360" i="2"/>
  <c r="M360" i="2" s="1"/>
  <c r="A361" i="2"/>
  <c r="M361" i="2" s="1"/>
  <c r="A362" i="2"/>
  <c r="M362" i="2" s="1"/>
  <c r="A363" i="2"/>
  <c r="M363" i="2" s="1"/>
  <c r="A364" i="2"/>
  <c r="M364" i="2" s="1"/>
  <c r="A365" i="2"/>
  <c r="M365" i="2" s="1"/>
  <c r="A366" i="2"/>
  <c r="M366" i="2" s="1"/>
  <c r="A367" i="2"/>
  <c r="M367" i="2" s="1"/>
  <c r="A368" i="2"/>
  <c r="M368" i="2" s="1"/>
  <c r="A369" i="2"/>
  <c r="M369" i="2" s="1"/>
  <c r="A370" i="2"/>
  <c r="M370" i="2" s="1"/>
  <c r="A371" i="2"/>
  <c r="M371" i="2" s="1"/>
  <c r="A372" i="2"/>
  <c r="M372" i="2" s="1"/>
  <c r="A373" i="2"/>
  <c r="M373" i="2" s="1"/>
  <c r="A374" i="2"/>
  <c r="M374" i="2" s="1"/>
  <c r="A375" i="2"/>
  <c r="M375" i="2" s="1"/>
  <c r="A376" i="2"/>
  <c r="M376" i="2" s="1"/>
  <c r="A377" i="2"/>
  <c r="M377" i="2" s="1"/>
  <c r="A378" i="2"/>
  <c r="M378" i="2" s="1"/>
  <c r="A379" i="2"/>
  <c r="M379" i="2" s="1"/>
  <c r="A380" i="2"/>
  <c r="M380" i="2" s="1"/>
  <c r="A381" i="2"/>
  <c r="M381" i="2" s="1"/>
  <c r="A382" i="2"/>
  <c r="M382" i="2" s="1"/>
  <c r="A383" i="2"/>
  <c r="M383" i="2" s="1"/>
  <c r="A384" i="2"/>
  <c r="M384" i="2" s="1"/>
  <c r="A385" i="2"/>
  <c r="M385" i="2" s="1"/>
  <c r="A386" i="2"/>
  <c r="M386" i="2" s="1"/>
  <c r="A387" i="2"/>
  <c r="M387" i="2" s="1"/>
  <c r="A388" i="2"/>
  <c r="M388" i="2" s="1"/>
  <c r="A389" i="2"/>
  <c r="M389" i="2" s="1"/>
  <c r="A390" i="2"/>
  <c r="M390" i="2" s="1"/>
  <c r="A391" i="2"/>
  <c r="M391" i="2" s="1"/>
  <c r="A392" i="2"/>
  <c r="M392" i="2" s="1"/>
  <c r="A393" i="2"/>
  <c r="M393" i="2" s="1"/>
  <c r="A394" i="2"/>
  <c r="M394" i="2" s="1"/>
  <c r="A395" i="2"/>
  <c r="M395" i="2" s="1"/>
  <c r="A396" i="2"/>
  <c r="M396" i="2" s="1"/>
  <c r="A397" i="2"/>
  <c r="M397" i="2" s="1"/>
  <c r="A398" i="2"/>
  <c r="M398" i="2" s="1"/>
  <c r="A399" i="2"/>
  <c r="M399" i="2" s="1"/>
  <c r="A400" i="2"/>
  <c r="M400" i="2" s="1"/>
  <c r="A401" i="2"/>
  <c r="M401" i="2" s="1"/>
  <c r="A402" i="2"/>
  <c r="M402" i="2" s="1"/>
  <c r="A403" i="2"/>
  <c r="M403" i="2" s="1"/>
  <c r="A404" i="2"/>
  <c r="M404" i="2" s="1"/>
  <c r="A405" i="2"/>
  <c r="M405" i="2" s="1"/>
  <c r="A406" i="2"/>
  <c r="M406" i="2" s="1"/>
  <c r="A407" i="2"/>
  <c r="M407" i="2" s="1"/>
  <c r="A408" i="2"/>
  <c r="M408" i="2" s="1"/>
  <c r="A409" i="2"/>
  <c r="M409" i="2" s="1"/>
  <c r="A410" i="2"/>
  <c r="M410" i="2" s="1"/>
  <c r="A411" i="2"/>
  <c r="M411" i="2" s="1"/>
  <c r="A412" i="2"/>
  <c r="M412" i="2" s="1"/>
  <c r="A413" i="2"/>
  <c r="M413" i="2" s="1"/>
  <c r="A414" i="2"/>
  <c r="M414" i="2" s="1"/>
  <c r="A415" i="2"/>
  <c r="M415" i="2" s="1"/>
  <c r="A416" i="2"/>
  <c r="M416" i="2" s="1"/>
  <c r="A417" i="2"/>
  <c r="M417" i="2" s="1"/>
  <c r="A418" i="2"/>
  <c r="M418" i="2" s="1"/>
  <c r="A419" i="2"/>
  <c r="M419" i="2" s="1"/>
  <c r="A420" i="2"/>
  <c r="M420" i="2" s="1"/>
  <c r="A421" i="2"/>
  <c r="M421" i="2" s="1"/>
  <c r="A422" i="2"/>
  <c r="M422" i="2" s="1"/>
  <c r="A423" i="2"/>
  <c r="M423" i="2" s="1"/>
  <c r="A424" i="2"/>
  <c r="M424" i="2" s="1"/>
  <c r="A425" i="2"/>
  <c r="M425" i="2" s="1"/>
  <c r="A426" i="2"/>
  <c r="M426" i="2" s="1"/>
  <c r="A427" i="2"/>
  <c r="M427" i="2" s="1"/>
  <c r="A428" i="2"/>
  <c r="M428" i="2" s="1"/>
  <c r="A429" i="2"/>
  <c r="M429" i="2" s="1"/>
  <c r="A430" i="2"/>
  <c r="M430" i="2" s="1"/>
  <c r="A431" i="2"/>
  <c r="M431" i="2" s="1"/>
  <c r="A432" i="2"/>
  <c r="M432" i="2" s="1"/>
  <c r="A433" i="2"/>
  <c r="M433" i="2" s="1"/>
  <c r="A434" i="2"/>
  <c r="M434" i="2" s="1"/>
  <c r="A435" i="2"/>
  <c r="M435" i="2" s="1"/>
  <c r="A436" i="2"/>
  <c r="M436" i="2" s="1"/>
  <c r="A437" i="2"/>
  <c r="M437" i="2" s="1"/>
  <c r="A438" i="2"/>
  <c r="M438" i="2" s="1"/>
  <c r="A439" i="2"/>
  <c r="M439" i="2" s="1"/>
  <c r="A440" i="2"/>
  <c r="M440" i="2" s="1"/>
  <c r="A441" i="2"/>
  <c r="M441" i="2" s="1"/>
  <c r="A442" i="2"/>
  <c r="M442" i="2" s="1"/>
  <c r="A443" i="2"/>
  <c r="M443" i="2" s="1"/>
  <c r="A444" i="2"/>
  <c r="M444" i="2" s="1"/>
  <c r="A445" i="2"/>
  <c r="M445" i="2" s="1"/>
  <c r="A446" i="2"/>
  <c r="M446" i="2" s="1"/>
  <c r="A447" i="2"/>
  <c r="M447" i="2" s="1"/>
  <c r="A448" i="2"/>
  <c r="M448" i="2" s="1"/>
  <c r="A449" i="2"/>
  <c r="M449" i="2" s="1"/>
  <c r="A450" i="2"/>
  <c r="M450" i="2" s="1"/>
  <c r="A451" i="2"/>
  <c r="M451" i="2" s="1"/>
  <c r="A452" i="2"/>
  <c r="M452" i="2" s="1"/>
  <c r="A453" i="2"/>
  <c r="M453" i="2" s="1"/>
  <c r="A454" i="2"/>
  <c r="M454" i="2" s="1"/>
  <c r="A455" i="2"/>
  <c r="M455" i="2" s="1"/>
  <c r="A456" i="2"/>
  <c r="M456" i="2" s="1"/>
  <c r="A457" i="2"/>
  <c r="M457" i="2" s="1"/>
  <c r="A458" i="2"/>
  <c r="M458" i="2" s="1"/>
  <c r="A459" i="2"/>
  <c r="M459" i="2" s="1"/>
  <c r="A460" i="2"/>
  <c r="M460" i="2" s="1"/>
  <c r="A461" i="2"/>
  <c r="M461" i="2" s="1"/>
  <c r="A462" i="2"/>
  <c r="M462" i="2" s="1"/>
  <c r="A463" i="2"/>
  <c r="M463" i="2" s="1"/>
  <c r="A464" i="2"/>
  <c r="M464" i="2" s="1"/>
  <c r="A465" i="2"/>
  <c r="M465" i="2" s="1"/>
  <c r="A466" i="2"/>
  <c r="M466" i="2" s="1"/>
  <c r="A467" i="2"/>
  <c r="M467" i="2" s="1"/>
  <c r="A468" i="2"/>
  <c r="M468" i="2" s="1"/>
  <c r="A469" i="2"/>
  <c r="M469" i="2" s="1"/>
  <c r="A470" i="2"/>
  <c r="M470" i="2" s="1"/>
  <c r="A471" i="2"/>
  <c r="M471" i="2" s="1"/>
  <c r="A472" i="2"/>
  <c r="M472" i="2" s="1"/>
  <c r="A473" i="2"/>
  <c r="M473" i="2" s="1"/>
  <c r="A474" i="2"/>
  <c r="M474" i="2" s="1"/>
  <c r="A475" i="2"/>
  <c r="M475" i="2" s="1"/>
  <c r="A476" i="2"/>
  <c r="M476" i="2" s="1"/>
  <c r="A477" i="2"/>
  <c r="M477" i="2" s="1"/>
  <c r="A478" i="2"/>
  <c r="M478" i="2" s="1"/>
  <c r="A479" i="2"/>
  <c r="M479" i="2" s="1"/>
  <c r="A480" i="2"/>
  <c r="M480" i="2" s="1"/>
  <c r="A481" i="2"/>
  <c r="M481" i="2" s="1"/>
  <c r="A482" i="2"/>
  <c r="M482" i="2" s="1"/>
  <c r="A483" i="2"/>
  <c r="M483" i="2" s="1"/>
  <c r="A484" i="2"/>
  <c r="M484" i="2" s="1"/>
  <c r="A485" i="2"/>
  <c r="M485" i="2" s="1"/>
  <c r="A486" i="2"/>
  <c r="M486" i="2" s="1"/>
  <c r="A487" i="2"/>
  <c r="M487" i="2" s="1"/>
  <c r="A488" i="2"/>
  <c r="M488" i="2" s="1"/>
  <c r="A489" i="2"/>
  <c r="M489" i="2" s="1"/>
  <c r="A490" i="2"/>
  <c r="M490" i="2" s="1"/>
  <c r="A491" i="2"/>
  <c r="M491" i="2" s="1"/>
  <c r="A492" i="2"/>
  <c r="M492" i="2" s="1"/>
  <c r="A493" i="2"/>
  <c r="M493" i="2" s="1"/>
  <c r="A494" i="2"/>
  <c r="M494" i="2" s="1"/>
  <c r="A495" i="2"/>
  <c r="M495" i="2" s="1"/>
  <c r="A496" i="2"/>
  <c r="M496" i="2" s="1"/>
  <c r="A497" i="2"/>
  <c r="M497" i="2" s="1"/>
  <c r="A498" i="2"/>
  <c r="M498" i="2" s="1"/>
  <c r="A499" i="2"/>
  <c r="M499" i="2" s="1"/>
  <c r="A500" i="2"/>
  <c r="M500" i="2" s="1"/>
  <c r="A501" i="2"/>
  <c r="M501" i="2" s="1"/>
  <c r="A502" i="2"/>
  <c r="M502" i="2" s="1"/>
  <c r="A503" i="2"/>
  <c r="M503" i="2" s="1"/>
  <c r="A504" i="2"/>
  <c r="M504" i="2" s="1"/>
  <c r="A505" i="2"/>
  <c r="M505" i="2" s="1"/>
  <c r="A506" i="2"/>
  <c r="M506" i="2" s="1"/>
  <c r="A507" i="2"/>
  <c r="M507" i="2" s="1"/>
  <c r="A508" i="2"/>
  <c r="M508" i="2" s="1"/>
  <c r="A509" i="2"/>
  <c r="M509" i="2" s="1"/>
  <c r="A510" i="2"/>
  <c r="M510" i="2" s="1"/>
  <c r="A511" i="2"/>
  <c r="M511" i="2" s="1"/>
  <c r="A512" i="2"/>
  <c r="M512" i="2" s="1"/>
  <c r="A513" i="2"/>
  <c r="M513" i="2" s="1"/>
  <c r="A514" i="2"/>
  <c r="M514" i="2" s="1"/>
  <c r="A515" i="2"/>
  <c r="M515" i="2" s="1"/>
  <c r="A516" i="2"/>
  <c r="M516" i="2" s="1"/>
  <c r="A517" i="2"/>
  <c r="M517" i="2" s="1"/>
  <c r="A518" i="2"/>
  <c r="M518" i="2" s="1"/>
  <c r="A519" i="2"/>
  <c r="M519" i="2" s="1"/>
  <c r="A520" i="2"/>
  <c r="M520" i="2" s="1"/>
  <c r="A521" i="2"/>
  <c r="M521" i="2" s="1"/>
  <c r="A522" i="2"/>
  <c r="M522" i="2" s="1"/>
  <c r="A523" i="2"/>
  <c r="M523" i="2" s="1"/>
  <c r="A524" i="2"/>
  <c r="M524" i="2" s="1"/>
  <c r="A525" i="2"/>
  <c r="M525" i="2" s="1"/>
  <c r="A526" i="2"/>
  <c r="M526" i="2" s="1"/>
  <c r="A527" i="2"/>
  <c r="M527" i="2" s="1"/>
  <c r="A528" i="2"/>
  <c r="M528" i="2" s="1"/>
  <c r="A529" i="2"/>
  <c r="M529" i="2" s="1"/>
  <c r="A530" i="2"/>
  <c r="M530" i="2" s="1"/>
  <c r="A531" i="2"/>
  <c r="M531" i="2" s="1"/>
  <c r="A532" i="2"/>
  <c r="M532" i="2" s="1"/>
  <c r="A533" i="2"/>
  <c r="M533" i="2" s="1"/>
  <c r="A534" i="2"/>
  <c r="M534" i="2" s="1"/>
  <c r="A535" i="2"/>
  <c r="M535" i="2" s="1"/>
  <c r="A536" i="2"/>
  <c r="M536" i="2" s="1"/>
  <c r="A537" i="2"/>
  <c r="M537" i="2" s="1"/>
  <c r="A538" i="2"/>
  <c r="M538" i="2" s="1"/>
  <c r="A539" i="2"/>
  <c r="M539" i="2" s="1"/>
  <c r="A540" i="2"/>
  <c r="M540" i="2" s="1"/>
  <c r="A541" i="2"/>
  <c r="M541" i="2" s="1"/>
  <c r="A542" i="2"/>
  <c r="M542" i="2" s="1"/>
  <c r="A543" i="2"/>
  <c r="M543" i="2" s="1"/>
  <c r="A544" i="2"/>
  <c r="M544" i="2" s="1"/>
  <c r="A545" i="2"/>
  <c r="M545" i="2" s="1"/>
  <c r="A546" i="2"/>
  <c r="M546" i="2" s="1"/>
  <c r="A547" i="2"/>
  <c r="M547" i="2" s="1"/>
  <c r="A548" i="2"/>
  <c r="M548" i="2" s="1"/>
  <c r="A549" i="2"/>
  <c r="M549" i="2" s="1"/>
  <c r="A550" i="2"/>
  <c r="M550" i="2" s="1"/>
  <c r="A551" i="2"/>
  <c r="M551" i="2" s="1"/>
  <c r="A552" i="2"/>
  <c r="M552" i="2" s="1"/>
  <c r="A553" i="2"/>
  <c r="M553" i="2" s="1"/>
  <c r="A554" i="2"/>
  <c r="M554" i="2" s="1"/>
  <c r="A555" i="2"/>
  <c r="M555" i="2" s="1"/>
  <c r="A556" i="2"/>
  <c r="M556" i="2" s="1"/>
  <c r="A557" i="2"/>
  <c r="M557" i="2" s="1"/>
  <c r="A558" i="2"/>
  <c r="M558" i="2" s="1"/>
  <c r="A559" i="2"/>
  <c r="M559" i="2" s="1"/>
  <c r="A560" i="2"/>
  <c r="M560" i="2" s="1"/>
  <c r="A561" i="2"/>
  <c r="M561" i="2" s="1"/>
  <c r="A562" i="2"/>
  <c r="M562" i="2" s="1"/>
  <c r="A563" i="2"/>
  <c r="M563" i="2" s="1"/>
  <c r="A564" i="2"/>
  <c r="M564" i="2" s="1"/>
  <c r="A565" i="2"/>
  <c r="M565" i="2" s="1"/>
  <c r="A566" i="2"/>
  <c r="M566" i="2" s="1"/>
  <c r="A567" i="2"/>
  <c r="M567" i="2" s="1"/>
  <c r="A568" i="2"/>
  <c r="M568" i="2" s="1"/>
  <c r="A569" i="2"/>
  <c r="M569" i="2" s="1"/>
  <c r="A570" i="2"/>
  <c r="M570" i="2" s="1"/>
  <c r="A571" i="2"/>
  <c r="M571" i="2" s="1"/>
  <c r="A572" i="2"/>
  <c r="M572" i="2" s="1"/>
  <c r="A573" i="2"/>
  <c r="M573" i="2" s="1"/>
  <c r="A574" i="2"/>
  <c r="M574" i="2" s="1"/>
  <c r="A575" i="2"/>
  <c r="M575" i="2" s="1"/>
  <c r="A576" i="2"/>
  <c r="M576" i="2" s="1"/>
  <c r="A577" i="2"/>
  <c r="M577" i="2" s="1"/>
  <c r="A578" i="2"/>
  <c r="M578" i="2" s="1"/>
  <c r="A579" i="2"/>
  <c r="M579" i="2" s="1"/>
  <c r="A580" i="2"/>
  <c r="M580" i="2" s="1"/>
  <c r="A581" i="2"/>
  <c r="M581" i="2" s="1"/>
  <c r="A582" i="2"/>
  <c r="M582" i="2" s="1"/>
  <c r="A583" i="2"/>
  <c r="M583" i="2" s="1"/>
  <c r="A584" i="2"/>
  <c r="M584" i="2" s="1"/>
  <c r="A585" i="2"/>
  <c r="M585" i="2" s="1"/>
  <c r="A586" i="2"/>
  <c r="M586" i="2" s="1"/>
  <c r="A587" i="2"/>
  <c r="M587" i="2" s="1"/>
  <c r="A588" i="2"/>
  <c r="M588" i="2" s="1"/>
  <c r="A589" i="2"/>
  <c r="M589" i="2" s="1"/>
  <c r="A590" i="2"/>
  <c r="M590" i="2" s="1"/>
  <c r="A591" i="2"/>
  <c r="M591" i="2" s="1"/>
  <c r="A592" i="2"/>
  <c r="M592" i="2" s="1"/>
  <c r="A593" i="2"/>
  <c r="M593" i="2" s="1"/>
  <c r="A594" i="2"/>
  <c r="M594" i="2" s="1"/>
  <c r="A595" i="2"/>
  <c r="M595" i="2" s="1"/>
  <c r="A596" i="2"/>
  <c r="M596" i="2" s="1"/>
  <c r="A597" i="2"/>
  <c r="M597" i="2" s="1"/>
  <c r="A598" i="2"/>
  <c r="M598" i="2" s="1"/>
  <c r="A599" i="2"/>
  <c r="M599" i="2" s="1"/>
  <c r="A600" i="2"/>
  <c r="M600" i="2" s="1"/>
  <c r="A601" i="2"/>
  <c r="M601" i="2" s="1"/>
  <c r="A602" i="2"/>
  <c r="M602" i="2" s="1"/>
  <c r="A603" i="2"/>
  <c r="M603" i="2" s="1"/>
  <c r="A604" i="2"/>
  <c r="M604" i="2" s="1"/>
  <c r="A605" i="2"/>
  <c r="M605" i="2" s="1"/>
  <c r="A606" i="2"/>
  <c r="M606" i="2" s="1"/>
  <c r="A607" i="2"/>
  <c r="M607" i="2" s="1"/>
  <c r="A608" i="2"/>
  <c r="M608" i="2" s="1"/>
  <c r="A609" i="2"/>
  <c r="M609" i="2" s="1"/>
  <c r="A610" i="2"/>
  <c r="M610" i="2" s="1"/>
  <c r="A611" i="2"/>
  <c r="M611" i="2" s="1"/>
  <c r="A612" i="2"/>
  <c r="M612" i="2" s="1"/>
  <c r="A613" i="2"/>
  <c r="M613" i="2" s="1"/>
  <c r="A614" i="2"/>
  <c r="M614" i="2" s="1"/>
  <c r="A615" i="2"/>
  <c r="M615" i="2" s="1"/>
  <c r="A616" i="2"/>
  <c r="M616" i="2" s="1"/>
  <c r="A617" i="2"/>
  <c r="M617" i="2" s="1"/>
  <c r="A618" i="2"/>
  <c r="M618" i="2" s="1"/>
  <c r="A619" i="2"/>
  <c r="M619" i="2" s="1"/>
  <c r="A620" i="2"/>
  <c r="M620" i="2" s="1"/>
  <c r="A621" i="2"/>
  <c r="M621" i="2" s="1"/>
  <c r="A622" i="2"/>
  <c r="M622" i="2" s="1"/>
  <c r="A623" i="2"/>
  <c r="M623" i="2" s="1"/>
  <c r="A624" i="2"/>
  <c r="M624" i="2" s="1"/>
  <c r="A625" i="2"/>
  <c r="M625" i="2" s="1"/>
  <c r="A626" i="2"/>
  <c r="M626" i="2" s="1"/>
  <c r="A627" i="2"/>
  <c r="M627" i="2" s="1"/>
  <c r="A628" i="2"/>
  <c r="M628" i="2" s="1"/>
  <c r="A629" i="2"/>
  <c r="M629" i="2" s="1"/>
  <c r="A630" i="2"/>
  <c r="M630" i="2" s="1"/>
  <c r="A631" i="2"/>
  <c r="M631" i="2" s="1"/>
  <c r="A632" i="2"/>
  <c r="M632" i="2" s="1"/>
  <c r="A633" i="2"/>
  <c r="M633" i="2" s="1"/>
  <c r="A634" i="2"/>
  <c r="M634" i="2" s="1"/>
  <c r="A635" i="2"/>
  <c r="M635" i="2" s="1"/>
  <c r="A636" i="2"/>
  <c r="M636" i="2" s="1"/>
  <c r="A637" i="2"/>
  <c r="M637" i="2" s="1"/>
  <c r="A638" i="2"/>
  <c r="M638" i="2" s="1"/>
  <c r="A639" i="2"/>
  <c r="M639" i="2" s="1"/>
  <c r="A640" i="2"/>
  <c r="M640" i="2" s="1"/>
  <c r="A641" i="2"/>
  <c r="M641" i="2" s="1"/>
  <c r="A642" i="2"/>
  <c r="M642" i="2" s="1"/>
  <c r="A643" i="2"/>
  <c r="M643" i="2" s="1"/>
  <c r="A644" i="2"/>
  <c r="M644" i="2" s="1"/>
  <c r="A645" i="2"/>
  <c r="M645" i="2" s="1"/>
  <c r="A646" i="2"/>
  <c r="M646" i="2" s="1"/>
  <c r="A647" i="2"/>
  <c r="M647" i="2" s="1"/>
  <c r="A648" i="2"/>
  <c r="M648" i="2" s="1"/>
  <c r="A649" i="2"/>
  <c r="M649" i="2" s="1"/>
  <c r="A650" i="2"/>
  <c r="M650" i="2" s="1"/>
  <c r="A651" i="2"/>
  <c r="M651" i="2" s="1"/>
  <c r="A652" i="2"/>
  <c r="M652" i="2" s="1"/>
  <c r="A653" i="2"/>
  <c r="M653" i="2" s="1"/>
  <c r="A654" i="2"/>
  <c r="M654" i="2" s="1"/>
  <c r="A655" i="2"/>
  <c r="M655" i="2" s="1"/>
  <c r="A656" i="2"/>
  <c r="M656" i="2" s="1"/>
  <c r="A657" i="2"/>
  <c r="M657" i="2" s="1"/>
  <c r="A658" i="2"/>
  <c r="M658" i="2" s="1"/>
  <c r="A659" i="2"/>
  <c r="M659" i="2" s="1"/>
  <c r="A660" i="2"/>
  <c r="M660" i="2" s="1"/>
  <c r="A661" i="2"/>
  <c r="M661" i="2" s="1"/>
  <c r="A662" i="2"/>
  <c r="M662" i="2" s="1"/>
  <c r="A663" i="2"/>
  <c r="M663" i="2" s="1"/>
  <c r="A664" i="2"/>
  <c r="M664" i="2" s="1"/>
  <c r="A665" i="2"/>
  <c r="M665" i="2" s="1"/>
  <c r="A666" i="2"/>
  <c r="M666" i="2" s="1"/>
  <c r="A667" i="2"/>
  <c r="M667" i="2" s="1"/>
  <c r="A668" i="2"/>
  <c r="M668" i="2" s="1"/>
  <c r="A669" i="2"/>
  <c r="M669" i="2" s="1"/>
  <c r="A670" i="2"/>
  <c r="M670" i="2" s="1"/>
  <c r="A671" i="2"/>
  <c r="M671" i="2" s="1"/>
  <c r="A672" i="2"/>
  <c r="M672" i="2" s="1"/>
  <c r="A673" i="2"/>
  <c r="M673" i="2" s="1"/>
  <c r="A674" i="2"/>
  <c r="M674" i="2" s="1"/>
  <c r="A675" i="2"/>
  <c r="M675" i="2" s="1"/>
  <c r="A676" i="2"/>
  <c r="M676" i="2" s="1"/>
  <c r="A677" i="2"/>
  <c r="M677" i="2" s="1"/>
  <c r="A678" i="2"/>
  <c r="M678" i="2" s="1"/>
  <c r="A679" i="2"/>
  <c r="M679" i="2" s="1"/>
  <c r="A680" i="2"/>
  <c r="M680" i="2" s="1"/>
  <c r="A681" i="2"/>
  <c r="M681" i="2" s="1"/>
  <c r="A682" i="2"/>
  <c r="M682" i="2" s="1"/>
  <c r="A683" i="2"/>
  <c r="M683" i="2" s="1"/>
  <c r="A684" i="2"/>
  <c r="M684" i="2" s="1"/>
  <c r="A685" i="2"/>
  <c r="M685" i="2" s="1"/>
  <c r="A686" i="2"/>
  <c r="M686" i="2" s="1"/>
  <c r="A687" i="2"/>
  <c r="M687" i="2" s="1"/>
  <c r="A688" i="2"/>
  <c r="M688" i="2" s="1"/>
  <c r="A689" i="2"/>
  <c r="M689" i="2" s="1"/>
  <c r="A690" i="2"/>
  <c r="M690" i="2" s="1"/>
  <c r="A691" i="2"/>
  <c r="M691" i="2" s="1"/>
  <c r="A692" i="2"/>
  <c r="M692" i="2" s="1"/>
  <c r="A693" i="2"/>
  <c r="M693" i="2" s="1"/>
  <c r="A694" i="2"/>
  <c r="M694" i="2" s="1"/>
  <c r="A695" i="2"/>
  <c r="M695" i="2" s="1"/>
  <c r="A696" i="2"/>
  <c r="M696" i="2" s="1"/>
  <c r="A697" i="2"/>
  <c r="M697" i="2" s="1"/>
  <c r="A698" i="2"/>
  <c r="M698" i="2" s="1"/>
  <c r="A699" i="2"/>
  <c r="M699" i="2" s="1"/>
  <c r="A700" i="2"/>
  <c r="M700" i="2" s="1"/>
  <c r="A701" i="2"/>
  <c r="M701" i="2" s="1"/>
  <c r="A702" i="2"/>
  <c r="M702" i="2" s="1"/>
  <c r="A703" i="2"/>
  <c r="M703" i="2" s="1"/>
  <c r="A704" i="2"/>
  <c r="M704" i="2" s="1"/>
  <c r="A705" i="2"/>
  <c r="M705" i="2" s="1"/>
  <c r="A706" i="2"/>
  <c r="M706" i="2" s="1"/>
  <c r="A707" i="2"/>
  <c r="M707" i="2" s="1"/>
  <c r="A708" i="2"/>
  <c r="M708" i="2" s="1"/>
  <c r="A709" i="2"/>
  <c r="M709" i="2" s="1"/>
  <c r="A710" i="2"/>
  <c r="M710" i="2" s="1"/>
  <c r="A711" i="2"/>
  <c r="M711" i="2" s="1"/>
  <c r="A712" i="2"/>
  <c r="M712" i="2" s="1"/>
  <c r="A713" i="2"/>
  <c r="M713" i="2" s="1"/>
  <c r="A714" i="2"/>
  <c r="M714" i="2" s="1"/>
  <c r="A715" i="2"/>
  <c r="M715" i="2" s="1"/>
  <c r="A716" i="2"/>
  <c r="M716" i="2" s="1"/>
  <c r="A717" i="2"/>
  <c r="M717" i="2" s="1"/>
  <c r="A718" i="2"/>
  <c r="M718" i="2" s="1"/>
  <c r="A719" i="2"/>
  <c r="M719" i="2" s="1"/>
  <c r="A720" i="2"/>
  <c r="M720" i="2" s="1"/>
  <c r="A721" i="2"/>
  <c r="M721" i="2" s="1"/>
  <c r="A722" i="2"/>
  <c r="M722" i="2" s="1"/>
  <c r="A723" i="2"/>
  <c r="M723" i="2" s="1"/>
  <c r="A724" i="2"/>
  <c r="M724" i="2" s="1"/>
  <c r="A725" i="2"/>
  <c r="M725" i="2" s="1"/>
  <c r="A726" i="2"/>
  <c r="M726" i="2" s="1"/>
  <c r="A727" i="2"/>
  <c r="M727" i="2" s="1"/>
  <c r="A728" i="2"/>
  <c r="M728" i="2" s="1"/>
  <c r="A729" i="2"/>
  <c r="M729" i="2" s="1"/>
  <c r="A730" i="2"/>
  <c r="M730" i="2" s="1"/>
  <c r="A731" i="2"/>
  <c r="M731" i="2" s="1"/>
  <c r="A732" i="2"/>
  <c r="M732" i="2" s="1"/>
  <c r="A733" i="2"/>
  <c r="M733" i="2" s="1"/>
  <c r="A734" i="2"/>
  <c r="M734" i="2" s="1"/>
  <c r="A735" i="2"/>
  <c r="M735" i="2" s="1"/>
  <c r="A736" i="2"/>
  <c r="M736" i="2" s="1"/>
  <c r="A737" i="2"/>
  <c r="M737" i="2" s="1"/>
  <c r="A738" i="2"/>
  <c r="M738" i="2" s="1"/>
  <c r="A739" i="2"/>
  <c r="M739" i="2" s="1"/>
  <c r="A740" i="2"/>
  <c r="M740" i="2" s="1"/>
  <c r="A741" i="2"/>
  <c r="M741" i="2" s="1"/>
  <c r="A742" i="2"/>
  <c r="M742" i="2" s="1"/>
  <c r="A743" i="2"/>
  <c r="M743" i="2" s="1"/>
  <c r="A744" i="2"/>
  <c r="M744" i="2" s="1"/>
  <c r="A745" i="2"/>
  <c r="M745" i="2" s="1"/>
  <c r="A746" i="2"/>
  <c r="M746" i="2" s="1"/>
  <c r="A747" i="2"/>
  <c r="M747" i="2" s="1"/>
  <c r="A748" i="2"/>
  <c r="M748" i="2" s="1"/>
  <c r="A749" i="2"/>
  <c r="M749" i="2" s="1"/>
  <c r="A750" i="2"/>
  <c r="M750" i="2" s="1"/>
  <c r="A751" i="2"/>
  <c r="M751" i="2" s="1"/>
  <c r="A752" i="2"/>
  <c r="M752" i="2" s="1"/>
  <c r="A753" i="2"/>
  <c r="M753" i="2" s="1"/>
  <c r="A754" i="2"/>
  <c r="M754" i="2" s="1"/>
  <c r="A755" i="2"/>
  <c r="M755" i="2" s="1"/>
  <c r="A756" i="2"/>
  <c r="M756" i="2" s="1"/>
  <c r="A757" i="2"/>
  <c r="M757" i="2" s="1"/>
  <c r="A758" i="2"/>
  <c r="M758" i="2" s="1"/>
  <c r="A759" i="2"/>
  <c r="M759" i="2" s="1"/>
  <c r="A760" i="2"/>
  <c r="M760" i="2" s="1"/>
  <c r="A761" i="2"/>
  <c r="M761" i="2" s="1"/>
  <c r="A762" i="2"/>
  <c r="M762" i="2" s="1"/>
  <c r="A763" i="2"/>
  <c r="M763" i="2" s="1"/>
  <c r="A764" i="2"/>
  <c r="M764" i="2" s="1"/>
  <c r="A765" i="2"/>
  <c r="M765" i="2" s="1"/>
  <c r="A766" i="2"/>
  <c r="M766" i="2" s="1"/>
  <c r="A767" i="2"/>
  <c r="M767" i="2" s="1"/>
  <c r="A768" i="2"/>
  <c r="M768" i="2" s="1"/>
  <c r="A769" i="2"/>
  <c r="M769" i="2" s="1"/>
  <c r="A770" i="2"/>
  <c r="M770" i="2" s="1"/>
  <c r="A771" i="2"/>
  <c r="M771" i="2" s="1"/>
  <c r="A772" i="2"/>
  <c r="M772" i="2" s="1"/>
  <c r="A773" i="2"/>
  <c r="M773" i="2" s="1"/>
  <c r="A774" i="2"/>
  <c r="M774" i="2" s="1"/>
  <c r="A775" i="2"/>
  <c r="M775" i="2" s="1"/>
  <c r="A776" i="2"/>
  <c r="M776" i="2" s="1"/>
  <c r="A777" i="2"/>
  <c r="M777" i="2" s="1"/>
  <c r="A778" i="2"/>
  <c r="M778" i="2" s="1"/>
  <c r="A779" i="2"/>
  <c r="M779" i="2" s="1"/>
  <c r="A780" i="2"/>
  <c r="M780" i="2" s="1"/>
  <c r="A781" i="2"/>
  <c r="M781" i="2" s="1"/>
  <c r="A782" i="2"/>
  <c r="M782" i="2" s="1"/>
  <c r="A783" i="2"/>
  <c r="M783" i="2" s="1"/>
  <c r="A784" i="2"/>
  <c r="M784" i="2" s="1"/>
  <c r="A785" i="2"/>
  <c r="M785" i="2" s="1"/>
  <c r="A786" i="2"/>
  <c r="M786" i="2" s="1"/>
  <c r="A787" i="2"/>
  <c r="M787" i="2" s="1"/>
  <c r="A788" i="2"/>
  <c r="M788" i="2" s="1"/>
  <c r="A789" i="2"/>
  <c r="M789" i="2" s="1"/>
  <c r="A790" i="2"/>
  <c r="M790" i="2" s="1"/>
  <c r="A791" i="2"/>
  <c r="M791" i="2" s="1"/>
  <c r="A792" i="2"/>
  <c r="M792" i="2" s="1"/>
  <c r="A793" i="2"/>
  <c r="M793" i="2" s="1"/>
  <c r="A794" i="2"/>
  <c r="M794" i="2" s="1"/>
  <c r="A795" i="2"/>
  <c r="M795" i="2" s="1"/>
  <c r="A796" i="2"/>
  <c r="M796" i="2" s="1"/>
  <c r="A797" i="2"/>
  <c r="M797" i="2" s="1"/>
  <c r="A798" i="2"/>
  <c r="M798" i="2" s="1"/>
  <c r="A799" i="2"/>
  <c r="M799" i="2" s="1"/>
  <c r="A800" i="2"/>
  <c r="M800" i="2" s="1"/>
  <c r="A801" i="2"/>
  <c r="M801" i="2" s="1"/>
  <c r="A802" i="2"/>
  <c r="M802" i="2" s="1"/>
  <c r="A803" i="2"/>
  <c r="M803" i="2" s="1"/>
  <c r="A804" i="2"/>
  <c r="M804" i="2" s="1"/>
  <c r="A805" i="2"/>
  <c r="M805" i="2" s="1"/>
  <c r="A806" i="2"/>
  <c r="M806" i="2" s="1"/>
  <c r="A807" i="2"/>
  <c r="M807" i="2" s="1"/>
  <c r="A808" i="2"/>
  <c r="M808" i="2" s="1"/>
  <c r="A809" i="2"/>
  <c r="M809" i="2" s="1"/>
  <c r="A810" i="2"/>
  <c r="M810" i="2" s="1"/>
  <c r="A811" i="2"/>
  <c r="M811" i="2" s="1"/>
  <c r="A812" i="2"/>
  <c r="M812" i="2" s="1"/>
  <c r="A813" i="2"/>
  <c r="M813" i="2" s="1"/>
  <c r="A814" i="2"/>
  <c r="M814" i="2" s="1"/>
  <c r="A815" i="2"/>
  <c r="M815" i="2" s="1"/>
  <c r="A816" i="2"/>
  <c r="M816" i="2" s="1"/>
  <c r="A817" i="2"/>
  <c r="M817" i="2" s="1"/>
  <c r="A818" i="2"/>
  <c r="M818" i="2" s="1"/>
  <c r="A819" i="2"/>
  <c r="M819" i="2" s="1"/>
  <c r="A820" i="2"/>
  <c r="M820" i="2" s="1"/>
  <c r="A821" i="2"/>
  <c r="M821" i="2" s="1"/>
  <c r="A822" i="2"/>
  <c r="M822" i="2" s="1"/>
  <c r="A823" i="2"/>
  <c r="M823" i="2" s="1"/>
  <c r="A824" i="2"/>
  <c r="M824" i="2" s="1"/>
  <c r="A825" i="2"/>
  <c r="M825" i="2" s="1"/>
  <c r="A826" i="2"/>
  <c r="M826" i="2" s="1"/>
  <c r="A827" i="2"/>
  <c r="M827" i="2" s="1"/>
  <c r="A828" i="2"/>
  <c r="M828" i="2" s="1"/>
  <c r="A829" i="2"/>
  <c r="M829" i="2" s="1"/>
  <c r="A830" i="2"/>
  <c r="M830" i="2" s="1"/>
  <c r="A831" i="2"/>
  <c r="M831" i="2" s="1"/>
  <c r="A832" i="2"/>
  <c r="M832" i="2" s="1"/>
  <c r="A833" i="2"/>
  <c r="M833" i="2" s="1"/>
  <c r="A834" i="2"/>
  <c r="M834" i="2" s="1"/>
  <c r="A835" i="2"/>
  <c r="M835" i="2" s="1"/>
  <c r="A836" i="2"/>
  <c r="M836" i="2" s="1"/>
  <c r="A837" i="2"/>
  <c r="M837" i="2" s="1"/>
  <c r="A838" i="2"/>
  <c r="M838" i="2" s="1"/>
  <c r="A839" i="2"/>
  <c r="M839" i="2" s="1"/>
  <c r="A840" i="2"/>
  <c r="M840" i="2" s="1"/>
  <c r="A841" i="2"/>
  <c r="M841" i="2" s="1"/>
  <c r="A842" i="2"/>
  <c r="M842" i="2" s="1"/>
  <c r="A843" i="2"/>
  <c r="M843" i="2" s="1"/>
  <c r="A844" i="2"/>
  <c r="M844" i="2" s="1"/>
  <c r="A845" i="2"/>
  <c r="M845" i="2" s="1"/>
  <c r="A846" i="2"/>
  <c r="M846" i="2" s="1"/>
  <c r="A847" i="2"/>
  <c r="M847" i="2" s="1"/>
  <c r="A848" i="2"/>
  <c r="M848" i="2" s="1"/>
  <c r="A849" i="2"/>
  <c r="M849" i="2" s="1"/>
  <c r="A850" i="2"/>
  <c r="M850" i="2" s="1"/>
  <c r="A851" i="2"/>
  <c r="M851" i="2" s="1"/>
  <c r="A852" i="2"/>
  <c r="M852" i="2" s="1"/>
  <c r="A853" i="2"/>
  <c r="M853" i="2" s="1"/>
  <c r="A854" i="2"/>
  <c r="M854" i="2" s="1"/>
  <c r="A855" i="2"/>
  <c r="M855" i="2" s="1"/>
  <c r="A856" i="2"/>
  <c r="M856" i="2" s="1"/>
  <c r="A857" i="2"/>
  <c r="M857" i="2" s="1"/>
  <c r="A858" i="2"/>
  <c r="M858" i="2" s="1"/>
  <c r="A859" i="2"/>
  <c r="M859" i="2" s="1"/>
  <c r="A860" i="2"/>
  <c r="M860" i="2" s="1"/>
  <c r="A861" i="2"/>
  <c r="M861" i="2" s="1"/>
  <c r="A862" i="2"/>
  <c r="M862" i="2" s="1"/>
  <c r="A863" i="2"/>
  <c r="M863" i="2" s="1"/>
  <c r="A864" i="2"/>
  <c r="M864" i="2" s="1"/>
  <c r="A865" i="2"/>
  <c r="M865" i="2" s="1"/>
  <c r="A866" i="2"/>
  <c r="M866" i="2" s="1"/>
  <c r="A867" i="2"/>
  <c r="M867" i="2" s="1"/>
  <c r="A868" i="2"/>
  <c r="M868" i="2" s="1"/>
  <c r="A869" i="2"/>
  <c r="M869" i="2" s="1"/>
  <c r="A870" i="2"/>
  <c r="M870" i="2" s="1"/>
  <c r="A871" i="2"/>
  <c r="M871" i="2" s="1"/>
  <c r="A872" i="2"/>
  <c r="M872" i="2" s="1"/>
  <c r="A873" i="2"/>
  <c r="M873" i="2" s="1"/>
  <c r="A874" i="2"/>
  <c r="M874" i="2" s="1"/>
  <c r="A875" i="2"/>
  <c r="M875" i="2" s="1"/>
  <c r="A876" i="2"/>
  <c r="M876" i="2" s="1"/>
  <c r="A877" i="2"/>
  <c r="M877" i="2" s="1"/>
  <c r="A878" i="2"/>
  <c r="M878" i="2" s="1"/>
  <c r="A879" i="2"/>
  <c r="M879" i="2" s="1"/>
  <c r="A880" i="2"/>
  <c r="M880" i="2" s="1"/>
  <c r="A881" i="2"/>
  <c r="M881" i="2" s="1"/>
  <c r="A882" i="2"/>
  <c r="M882" i="2" s="1"/>
  <c r="A883" i="2"/>
  <c r="M883" i="2" s="1"/>
  <c r="A884" i="2"/>
  <c r="M884" i="2" s="1"/>
  <c r="A885" i="2"/>
  <c r="M885" i="2" s="1"/>
  <c r="A886" i="2"/>
  <c r="M886" i="2" s="1"/>
  <c r="A887" i="2"/>
  <c r="M887" i="2" s="1"/>
  <c r="A888" i="2"/>
  <c r="M888" i="2" s="1"/>
  <c r="A889" i="2"/>
  <c r="M889" i="2" s="1"/>
  <c r="A890" i="2"/>
  <c r="M890" i="2" s="1"/>
  <c r="A891" i="2"/>
  <c r="M891" i="2" s="1"/>
  <c r="A892" i="2"/>
  <c r="M892" i="2" s="1"/>
  <c r="A893" i="2"/>
  <c r="M893" i="2" s="1"/>
  <c r="A894" i="2"/>
  <c r="M894" i="2" s="1"/>
  <c r="A895" i="2"/>
  <c r="M895" i="2" s="1"/>
  <c r="A896" i="2"/>
  <c r="M896" i="2" s="1"/>
  <c r="A897" i="2"/>
  <c r="M897" i="2" s="1"/>
  <c r="A898" i="2"/>
  <c r="M898" i="2" s="1"/>
  <c r="A899" i="2"/>
  <c r="M899" i="2" s="1"/>
  <c r="A900" i="2"/>
  <c r="M900" i="2" s="1"/>
  <c r="A901" i="2"/>
  <c r="M901" i="2" s="1"/>
  <c r="A902" i="2"/>
  <c r="M902" i="2" s="1"/>
  <c r="A903" i="2"/>
  <c r="M903" i="2" s="1"/>
  <c r="A904" i="2"/>
  <c r="M904" i="2" s="1"/>
  <c r="A905" i="2"/>
  <c r="M905" i="2" s="1"/>
  <c r="A906" i="2"/>
  <c r="M906" i="2" s="1"/>
  <c r="A907" i="2"/>
  <c r="M907" i="2" s="1"/>
  <c r="A908" i="2"/>
  <c r="M908" i="2" s="1"/>
  <c r="A909" i="2"/>
  <c r="M909" i="2" s="1"/>
  <c r="A910" i="2"/>
  <c r="M910" i="2" s="1"/>
  <c r="A911" i="2"/>
  <c r="M911" i="2" s="1"/>
  <c r="A912" i="2"/>
  <c r="M912" i="2" s="1"/>
  <c r="A913" i="2"/>
  <c r="M913" i="2" s="1"/>
  <c r="A914" i="2"/>
  <c r="M914" i="2" s="1"/>
  <c r="A915" i="2"/>
  <c r="M915" i="2" s="1"/>
  <c r="A916" i="2"/>
  <c r="M916" i="2" s="1"/>
  <c r="A917" i="2"/>
  <c r="M917" i="2" s="1"/>
  <c r="A918" i="2"/>
  <c r="M918" i="2" s="1"/>
  <c r="A919" i="2"/>
  <c r="M919" i="2" s="1"/>
  <c r="A920" i="2"/>
  <c r="M920" i="2" s="1"/>
  <c r="A921" i="2"/>
  <c r="M921" i="2" s="1"/>
  <c r="A922" i="2"/>
  <c r="M922" i="2" s="1"/>
  <c r="A923" i="2"/>
  <c r="M923" i="2" s="1"/>
  <c r="A924" i="2"/>
  <c r="M924" i="2" s="1"/>
  <c r="A925" i="2"/>
  <c r="M925" i="2" s="1"/>
  <c r="A926" i="2"/>
  <c r="M926" i="2" s="1"/>
  <c r="A927" i="2"/>
  <c r="M927" i="2" s="1"/>
  <c r="A928" i="2"/>
  <c r="M928" i="2" s="1"/>
  <c r="A929" i="2"/>
  <c r="M929" i="2" s="1"/>
  <c r="A930" i="2"/>
  <c r="M930" i="2" s="1"/>
  <c r="A931" i="2"/>
  <c r="M931" i="2" s="1"/>
  <c r="A932" i="2"/>
  <c r="M932" i="2" s="1"/>
  <c r="A933" i="2"/>
  <c r="M933" i="2" s="1"/>
  <c r="A934" i="2"/>
  <c r="M934" i="2" s="1"/>
  <c r="A935" i="2"/>
  <c r="M935" i="2" s="1"/>
  <c r="A936" i="2"/>
  <c r="M936" i="2" s="1"/>
  <c r="A937" i="2"/>
  <c r="M937" i="2" s="1"/>
  <c r="A938" i="2"/>
  <c r="M938" i="2" s="1"/>
  <c r="A939" i="2"/>
  <c r="M939" i="2" s="1"/>
  <c r="A940" i="2"/>
  <c r="M940" i="2" s="1"/>
  <c r="A941" i="2"/>
  <c r="M941" i="2" s="1"/>
  <c r="A942" i="2"/>
  <c r="M942" i="2" s="1"/>
  <c r="A943" i="2"/>
  <c r="M943" i="2" s="1"/>
  <c r="A944" i="2"/>
  <c r="M944" i="2" s="1"/>
  <c r="A945" i="2"/>
  <c r="M945" i="2" s="1"/>
  <c r="A946" i="2"/>
  <c r="M946" i="2" s="1"/>
  <c r="A947" i="2"/>
  <c r="M947" i="2" s="1"/>
  <c r="A948" i="2"/>
  <c r="M948" i="2" s="1"/>
  <c r="A949" i="2"/>
  <c r="M949" i="2" s="1"/>
  <c r="A950" i="2"/>
  <c r="M950" i="2" s="1"/>
  <c r="A951" i="2"/>
  <c r="M951" i="2" s="1"/>
  <c r="A952" i="2"/>
  <c r="M952" i="2" s="1"/>
  <c r="A953" i="2"/>
  <c r="M953" i="2" s="1"/>
  <c r="A954" i="2"/>
  <c r="M954" i="2" s="1"/>
  <c r="A955" i="2"/>
  <c r="M955" i="2" s="1"/>
  <c r="A956" i="2"/>
  <c r="M956" i="2" s="1"/>
  <c r="A957" i="2"/>
  <c r="M957" i="2" s="1"/>
  <c r="A958" i="2"/>
  <c r="M958" i="2" s="1"/>
  <c r="A959" i="2"/>
  <c r="M959" i="2" s="1"/>
  <c r="A960" i="2"/>
  <c r="M960" i="2" s="1"/>
  <c r="A961" i="2"/>
  <c r="M961" i="2" s="1"/>
  <c r="A962" i="2"/>
  <c r="M962" i="2" s="1"/>
  <c r="A963" i="2"/>
  <c r="M963" i="2" s="1"/>
  <c r="A964" i="2"/>
  <c r="M964" i="2" s="1"/>
  <c r="A965" i="2"/>
  <c r="M965" i="2" s="1"/>
  <c r="A966" i="2"/>
  <c r="M966" i="2" s="1"/>
  <c r="A967" i="2"/>
  <c r="M967" i="2" s="1"/>
  <c r="A968" i="2"/>
  <c r="M968" i="2" s="1"/>
  <c r="A969" i="2"/>
  <c r="M969" i="2" s="1"/>
  <c r="A970" i="2"/>
  <c r="M970" i="2" s="1"/>
  <c r="A971" i="2"/>
  <c r="M971" i="2" s="1"/>
  <c r="A972" i="2"/>
  <c r="M972" i="2" s="1"/>
  <c r="A973" i="2"/>
  <c r="M973" i="2" s="1"/>
  <c r="A974" i="2"/>
  <c r="M974" i="2" s="1"/>
  <c r="A975" i="2"/>
  <c r="M975" i="2" s="1"/>
  <c r="A976" i="2"/>
  <c r="M976" i="2" s="1"/>
  <c r="A977" i="2"/>
  <c r="M977" i="2" s="1"/>
  <c r="A978" i="2"/>
  <c r="M978" i="2" s="1"/>
  <c r="A979" i="2"/>
  <c r="M979" i="2" s="1"/>
  <c r="A980" i="2"/>
  <c r="M980" i="2" s="1"/>
  <c r="A981" i="2"/>
  <c r="M981" i="2" s="1"/>
  <c r="A982" i="2"/>
  <c r="M982" i="2" s="1"/>
  <c r="A983" i="2"/>
  <c r="M983" i="2" s="1"/>
  <c r="A984" i="2"/>
  <c r="M984" i="2" s="1"/>
  <c r="A985" i="2"/>
  <c r="M985" i="2" s="1"/>
  <c r="A986" i="2"/>
  <c r="M986" i="2" s="1"/>
  <c r="A987" i="2"/>
  <c r="M987" i="2" s="1"/>
  <c r="A988" i="2"/>
  <c r="M988" i="2" s="1"/>
  <c r="A989" i="2"/>
  <c r="M989" i="2" s="1"/>
  <c r="A990" i="2"/>
  <c r="M990" i="2" s="1"/>
  <c r="A991" i="2"/>
  <c r="M991" i="2" s="1"/>
  <c r="A992" i="2"/>
  <c r="M992" i="2" s="1"/>
  <c r="A993" i="2"/>
  <c r="M993" i="2" s="1"/>
  <c r="A994" i="2"/>
  <c r="M994" i="2" s="1"/>
  <c r="A995" i="2"/>
  <c r="M995" i="2" s="1"/>
  <c r="A996" i="2"/>
  <c r="M996" i="2" s="1"/>
  <c r="A997" i="2"/>
  <c r="M997" i="2" s="1"/>
  <c r="A998" i="2"/>
  <c r="M998" i="2" s="1"/>
  <c r="A999" i="2"/>
  <c r="M999" i="2" s="1"/>
  <c r="A1000" i="2"/>
  <c r="M1000" i="2" s="1"/>
  <c r="A1001" i="2"/>
  <c r="M1001" i="2" s="1"/>
  <c r="A1002" i="2"/>
  <c r="M1002" i="2" s="1"/>
  <c r="A1003" i="2"/>
  <c r="M1003" i="2" s="1"/>
  <c r="A1004" i="2"/>
  <c r="M1004" i="2" s="1"/>
  <c r="A1005" i="2"/>
  <c r="M1005" i="2" s="1"/>
  <c r="A1006" i="2"/>
  <c r="M1006" i="2" s="1"/>
  <c r="A1007" i="2"/>
  <c r="M1007" i="2" s="1"/>
  <c r="A1008" i="2"/>
  <c r="M1008" i="2" s="1"/>
  <c r="A1009" i="2"/>
  <c r="M1009" i="2" s="1"/>
  <c r="A1010" i="2"/>
  <c r="M1010" i="2" s="1"/>
  <c r="A1011" i="2"/>
  <c r="M1011" i="2" s="1"/>
  <c r="A1012" i="2"/>
  <c r="M1012" i="2" s="1"/>
  <c r="A1013" i="2"/>
  <c r="M1013" i="2" s="1"/>
  <c r="A1014" i="2"/>
  <c r="M1014" i="2" s="1"/>
  <c r="A1015" i="2"/>
  <c r="M1015" i="2" s="1"/>
  <c r="A1016" i="2"/>
  <c r="M1016" i="2" s="1"/>
  <c r="A1017" i="2"/>
  <c r="M1017" i="2" s="1"/>
  <c r="A1018" i="2"/>
  <c r="M1018" i="2" s="1"/>
  <c r="A1019" i="2"/>
  <c r="M1019" i="2" s="1"/>
  <c r="A1020" i="2"/>
  <c r="M1020" i="2" s="1"/>
  <c r="A1021" i="2"/>
  <c r="M1021" i="2" s="1"/>
  <c r="A1022" i="2"/>
  <c r="M1022" i="2" s="1"/>
  <c r="A1023" i="2"/>
  <c r="M1023" i="2" s="1"/>
  <c r="A1024" i="2"/>
  <c r="M1024" i="2" s="1"/>
  <c r="A1025" i="2"/>
  <c r="M1025" i="2" s="1"/>
  <c r="A1026" i="2"/>
  <c r="M1026" i="2" s="1"/>
  <c r="A1027" i="2"/>
  <c r="M1027" i="2" s="1"/>
  <c r="A1028" i="2"/>
  <c r="M1028" i="2" s="1"/>
  <c r="A1029" i="2"/>
  <c r="M1029" i="2" s="1"/>
  <c r="A1030" i="2"/>
  <c r="M1030" i="2" s="1"/>
  <c r="A1031" i="2"/>
  <c r="M1031" i="2" s="1"/>
  <c r="A1032" i="2"/>
  <c r="M1032" i="2" s="1"/>
  <c r="A1033" i="2"/>
  <c r="M1033" i="2" s="1"/>
  <c r="A1034" i="2"/>
  <c r="M1034" i="2" s="1"/>
  <c r="A1035" i="2"/>
  <c r="M1035" i="2" s="1"/>
  <c r="A1036" i="2"/>
  <c r="M1036" i="2" s="1"/>
  <c r="A1037" i="2"/>
  <c r="M1037" i="2" s="1"/>
  <c r="A1038" i="2"/>
  <c r="M1038" i="2" s="1"/>
  <c r="A1039" i="2"/>
  <c r="M1039" i="2" s="1"/>
  <c r="A1040" i="2"/>
  <c r="M1040" i="2" s="1"/>
  <c r="A1041" i="2"/>
  <c r="M1041" i="2" s="1"/>
  <c r="A1042" i="2"/>
  <c r="M1042" i="2" s="1"/>
  <c r="A1043" i="2"/>
  <c r="M1043" i="2" s="1"/>
  <c r="A1044" i="2"/>
  <c r="M1044" i="2" s="1"/>
  <c r="A1045" i="2"/>
  <c r="M1045" i="2" s="1"/>
  <c r="A1046" i="2"/>
  <c r="M1046" i="2" s="1"/>
  <c r="A1047" i="2"/>
  <c r="M1047" i="2" s="1"/>
  <c r="A1048" i="2"/>
  <c r="M1048" i="2" s="1"/>
  <c r="A1049" i="2"/>
  <c r="M1049" i="2" s="1"/>
  <c r="A1050" i="2"/>
  <c r="M1050" i="2" s="1"/>
  <c r="A1051" i="2"/>
  <c r="M1051" i="2" s="1"/>
  <c r="A1052" i="2"/>
  <c r="M1052" i="2" s="1"/>
  <c r="A1053" i="2"/>
  <c r="M1053" i="2" s="1"/>
  <c r="A1054" i="2"/>
  <c r="M1054" i="2" s="1"/>
  <c r="A1055" i="2"/>
  <c r="M1055" i="2" s="1"/>
  <c r="A1056" i="2"/>
  <c r="M1056" i="2" s="1"/>
  <c r="A1057" i="2"/>
  <c r="M1057" i="2" s="1"/>
  <c r="A1058" i="2"/>
  <c r="M1058" i="2" s="1"/>
  <c r="A1059" i="2"/>
  <c r="M1059" i="2" s="1"/>
  <c r="A1060" i="2"/>
  <c r="M1060" i="2" s="1"/>
  <c r="A1061" i="2"/>
  <c r="M1061" i="2" s="1"/>
  <c r="A1062" i="2"/>
  <c r="M1062" i="2" s="1"/>
  <c r="A1063" i="2"/>
  <c r="M1063" i="2" s="1"/>
  <c r="A1064" i="2"/>
  <c r="M1064" i="2" s="1"/>
  <c r="A1065" i="2"/>
  <c r="M1065" i="2" s="1"/>
  <c r="A1066" i="2"/>
  <c r="M1066" i="2" s="1"/>
  <c r="A1067" i="2"/>
  <c r="M1067" i="2" s="1"/>
  <c r="A1068" i="2"/>
  <c r="M1068" i="2" s="1"/>
  <c r="A1069" i="2"/>
  <c r="M1069" i="2" s="1"/>
  <c r="A1070" i="2"/>
  <c r="M1070" i="2" s="1"/>
  <c r="A1071" i="2"/>
  <c r="M1071" i="2" s="1"/>
  <c r="A1072" i="2"/>
  <c r="M1072" i="2" s="1"/>
  <c r="A1073" i="2"/>
  <c r="M1073" i="2" s="1"/>
  <c r="A1074" i="2"/>
  <c r="M1074" i="2" s="1"/>
  <c r="A1075" i="2"/>
  <c r="M1075" i="2" s="1"/>
  <c r="A1076" i="2"/>
  <c r="M1076" i="2" s="1"/>
  <c r="A1077" i="2"/>
  <c r="M1077" i="2" s="1"/>
  <c r="A1078" i="2"/>
  <c r="M1078" i="2" s="1"/>
  <c r="A1079" i="2"/>
  <c r="M1079" i="2" s="1"/>
  <c r="A1080" i="2"/>
  <c r="M1080" i="2" s="1"/>
  <c r="A1081" i="2"/>
  <c r="M1081" i="2" s="1"/>
  <c r="A1082" i="2"/>
  <c r="M1082" i="2" s="1"/>
  <c r="A1083" i="2"/>
  <c r="M1083" i="2" s="1"/>
  <c r="A1084" i="2"/>
  <c r="M1084" i="2" s="1"/>
  <c r="A1085" i="2"/>
  <c r="M1085" i="2" s="1"/>
  <c r="A1086" i="2"/>
  <c r="M1086" i="2" s="1"/>
  <c r="A1087" i="2"/>
  <c r="M1087" i="2" s="1"/>
  <c r="A1088" i="2"/>
  <c r="M1088" i="2" s="1"/>
  <c r="A1089" i="2"/>
  <c r="M1089" i="2" s="1"/>
  <c r="A1090" i="2"/>
  <c r="M1090" i="2" s="1"/>
  <c r="A1091" i="2"/>
  <c r="M1091" i="2" s="1"/>
  <c r="A1092" i="2"/>
  <c r="M1092" i="2" s="1"/>
  <c r="A1093" i="2"/>
  <c r="M1093" i="2" s="1"/>
  <c r="A1094" i="2"/>
  <c r="M1094" i="2" s="1"/>
  <c r="A1095" i="2"/>
  <c r="M1095" i="2" s="1"/>
  <c r="A1096" i="2"/>
  <c r="M1096" i="2" s="1"/>
  <c r="A1097" i="2"/>
  <c r="M1097" i="2" s="1"/>
  <c r="A1098" i="2"/>
  <c r="M1098" i="2" s="1"/>
  <c r="A1099" i="2"/>
  <c r="M1099" i="2" s="1"/>
  <c r="A1100" i="2"/>
  <c r="M1100" i="2" s="1"/>
  <c r="A1101" i="2"/>
  <c r="M1101" i="2" s="1"/>
  <c r="A1102" i="2"/>
  <c r="M1102" i="2" s="1"/>
  <c r="A1103" i="2"/>
  <c r="M1103" i="2" s="1"/>
  <c r="A1104" i="2"/>
  <c r="M1104" i="2" s="1"/>
  <c r="A1105" i="2"/>
  <c r="M1105" i="2" s="1"/>
  <c r="A1106" i="2"/>
  <c r="M1106" i="2" s="1"/>
  <c r="A1107" i="2"/>
  <c r="M1107" i="2" s="1"/>
  <c r="A1108" i="2"/>
  <c r="M1108" i="2" s="1"/>
  <c r="A1109" i="2"/>
  <c r="M1109" i="2" s="1"/>
  <c r="A1110" i="2"/>
  <c r="M1110" i="2" s="1"/>
  <c r="A1111" i="2"/>
  <c r="M1111" i="2" s="1"/>
  <c r="A1112" i="2"/>
  <c r="M1112" i="2" s="1"/>
  <c r="A1113" i="2"/>
  <c r="M1113" i="2" s="1"/>
  <c r="A1114" i="2"/>
  <c r="M1114" i="2" s="1"/>
  <c r="A1115" i="2"/>
  <c r="M1115" i="2" s="1"/>
  <c r="A1116" i="2"/>
  <c r="M1116" i="2" s="1"/>
  <c r="A1117" i="2"/>
  <c r="M1117" i="2" s="1"/>
  <c r="A1118" i="2"/>
  <c r="M1118" i="2" s="1"/>
  <c r="A1119" i="2"/>
  <c r="M1119" i="2" s="1"/>
  <c r="A1120" i="2"/>
  <c r="M1120" i="2" s="1"/>
  <c r="A1121" i="2"/>
  <c r="M1121" i="2" s="1"/>
  <c r="A1122" i="2"/>
  <c r="M1122" i="2" s="1"/>
  <c r="A1123" i="2"/>
  <c r="M1123" i="2" s="1"/>
  <c r="A1124" i="2"/>
  <c r="M1124" i="2" s="1"/>
  <c r="A1125" i="2"/>
  <c r="M1125" i="2" s="1"/>
  <c r="A1126" i="2"/>
  <c r="M1126" i="2" s="1"/>
  <c r="A1127" i="2"/>
  <c r="M1127" i="2" s="1"/>
  <c r="A1128" i="2"/>
  <c r="M1128" i="2" s="1"/>
  <c r="A1129" i="2"/>
  <c r="M1129" i="2" s="1"/>
  <c r="A1130" i="2"/>
  <c r="M1130" i="2" s="1"/>
  <c r="A1131" i="2"/>
  <c r="M1131" i="2" s="1"/>
  <c r="A1132" i="2"/>
  <c r="M1132" i="2" s="1"/>
  <c r="A1133" i="2"/>
  <c r="M1133" i="2" s="1"/>
  <c r="A1134" i="2"/>
  <c r="M1134" i="2" s="1"/>
  <c r="A1135" i="2"/>
  <c r="M1135" i="2" s="1"/>
  <c r="A1136" i="2"/>
  <c r="M1136" i="2" s="1"/>
  <c r="A1137" i="2"/>
  <c r="M1137" i="2" s="1"/>
  <c r="A1138" i="2"/>
  <c r="M1138" i="2" s="1"/>
  <c r="A1139" i="2"/>
  <c r="M1139" i="2" s="1"/>
  <c r="A1140" i="2"/>
  <c r="M1140" i="2" s="1"/>
  <c r="A1141" i="2"/>
  <c r="M1141" i="2" s="1"/>
  <c r="A1142" i="2"/>
  <c r="M1142" i="2" s="1"/>
  <c r="A1143" i="2"/>
  <c r="M1143" i="2" s="1"/>
  <c r="A1144" i="2"/>
  <c r="M1144" i="2" s="1"/>
  <c r="A1145" i="2"/>
  <c r="M1145" i="2" s="1"/>
  <c r="A1146" i="2"/>
  <c r="M1146" i="2" s="1"/>
  <c r="A1147" i="2"/>
  <c r="M1147" i="2" s="1"/>
  <c r="A1148" i="2"/>
  <c r="M1148" i="2" s="1"/>
  <c r="A1149" i="2"/>
  <c r="M1149" i="2" s="1"/>
  <c r="A1150" i="2"/>
  <c r="M1150" i="2" s="1"/>
  <c r="A1151" i="2"/>
  <c r="M1151" i="2" s="1"/>
  <c r="A1152" i="2"/>
  <c r="M1152" i="2" s="1"/>
  <c r="A1153" i="2"/>
  <c r="M1153" i="2" s="1"/>
  <c r="A1154" i="2"/>
  <c r="M1154" i="2" s="1"/>
  <c r="A1155" i="2"/>
  <c r="M1155" i="2" s="1"/>
  <c r="A1156" i="2"/>
  <c r="M1156" i="2" s="1"/>
  <c r="A1157" i="2"/>
  <c r="M1157" i="2" s="1"/>
  <c r="A1158" i="2"/>
  <c r="M1158" i="2" s="1"/>
  <c r="A1159" i="2"/>
  <c r="M1159" i="2" s="1"/>
  <c r="A1160" i="2"/>
  <c r="M1160" i="2" s="1"/>
  <c r="A1161" i="2"/>
  <c r="M1161" i="2" s="1"/>
  <c r="A1162" i="2"/>
  <c r="M1162" i="2" s="1"/>
  <c r="A1163" i="2"/>
  <c r="M1163" i="2" s="1"/>
  <c r="A1164" i="2"/>
  <c r="M1164" i="2" s="1"/>
  <c r="A1165" i="2"/>
  <c r="M1165" i="2" s="1"/>
  <c r="A1166" i="2"/>
  <c r="M1166" i="2" s="1"/>
  <c r="A1167" i="2"/>
  <c r="M1167" i="2" s="1"/>
  <c r="A1168" i="2"/>
  <c r="M1168" i="2" s="1"/>
  <c r="A1169" i="2"/>
  <c r="M1169" i="2" s="1"/>
  <c r="A1170" i="2"/>
  <c r="M1170" i="2" s="1"/>
  <c r="A1171" i="2"/>
  <c r="M1171" i="2" s="1"/>
  <c r="A1172" i="2"/>
  <c r="M1172" i="2" s="1"/>
  <c r="A1173" i="2"/>
  <c r="M1173" i="2" s="1"/>
  <c r="A1174" i="2"/>
  <c r="M1174" i="2" s="1"/>
  <c r="A1175" i="2"/>
  <c r="M1175" i="2" s="1"/>
  <c r="A1176" i="2"/>
  <c r="M1176" i="2" s="1"/>
  <c r="A1177" i="2"/>
  <c r="M1177" i="2" s="1"/>
  <c r="A1178" i="2"/>
  <c r="M1178" i="2" s="1"/>
  <c r="A1179" i="2"/>
  <c r="M1179" i="2" s="1"/>
  <c r="A1180" i="2"/>
  <c r="M1180" i="2" s="1"/>
  <c r="A1181" i="2"/>
  <c r="M1181" i="2" s="1"/>
  <c r="A1182" i="2"/>
  <c r="M1182" i="2" s="1"/>
  <c r="A1183" i="2"/>
  <c r="M1183" i="2" s="1"/>
  <c r="A1184" i="2"/>
  <c r="M1184" i="2" s="1"/>
  <c r="A1185" i="2"/>
  <c r="M1185" i="2" s="1"/>
  <c r="A1186" i="2"/>
  <c r="M1186" i="2" s="1"/>
  <c r="A1187" i="2"/>
  <c r="M1187" i="2" s="1"/>
  <c r="A1188" i="2"/>
  <c r="M1188" i="2" s="1"/>
  <c r="A1189" i="2"/>
  <c r="M1189" i="2" s="1"/>
  <c r="A1190" i="2"/>
  <c r="M1190" i="2" s="1"/>
  <c r="A1191" i="2"/>
  <c r="M1191" i="2" s="1"/>
  <c r="A1192" i="2"/>
  <c r="M1192" i="2" s="1"/>
  <c r="A1193" i="2"/>
  <c r="M1193" i="2" s="1"/>
  <c r="A1194" i="2"/>
  <c r="M1194" i="2" s="1"/>
  <c r="A1195" i="2"/>
  <c r="M1195" i="2" s="1"/>
  <c r="A1196" i="2"/>
  <c r="M1196" i="2" s="1"/>
  <c r="A1197" i="2"/>
  <c r="M1197" i="2" s="1"/>
  <c r="A1198" i="2"/>
  <c r="M1198" i="2" s="1"/>
  <c r="A1199" i="2"/>
  <c r="M1199" i="2" s="1"/>
  <c r="A1200" i="2"/>
  <c r="M1200" i="2" s="1"/>
  <c r="A1201" i="2"/>
  <c r="M1201" i="2" s="1"/>
  <c r="A1202" i="2"/>
  <c r="M1202" i="2" s="1"/>
  <c r="A1203" i="2"/>
  <c r="M1203" i="2" s="1"/>
  <c r="A1204" i="2"/>
  <c r="M1204" i="2" s="1"/>
  <c r="A1205" i="2"/>
  <c r="M1205" i="2" s="1"/>
  <c r="A1206" i="2"/>
  <c r="M1206" i="2" s="1"/>
  <c r="A1207" i="2"/>
  <c r="M1207" i="2" s="1"/>
  <c r="A1208" i="2"/>
  <c r="M1208" i="2" s="1"/>
  <c r="A1209" i="2"/>
  <c r="M1209" i="2" s="1"/>
  <c r="A1210" i="2"/>
  <c r="M1210" i="2" s="1"/>
  <c r="A1211" i="2"/>
  <c r="M1211" i="2" s="1"/>
  <c r="A1212" i="2"/>
  <c r="M1212" i="2" s="1"/>
  <c r="A1213" i="2"/>
  <c r="M1213" i="2" s="1"/>
  <c r="A1214" i="2"/>
  <c r="M1214" i="2" s="1"/>
  <c r="A1215" i="2"/>
  <c r="M1215" i="2" s="1"/>
  <c r="A1216" i="2"/>
  <c r="M1216" i="2" s="1"/>
  <c r="A1217" i="2"/>
  <c r="M1217" i="2" s="1"/>
  <c r="A1218" i="2"/>
  <c r="M1218" i="2" s="1"/>
  <c r="A1219" i="2"/>
  <c r="M1219" i="2" s="1"/>
  <c r="A1220" i="2"/>
  <c r="M1220" i="2" s="1"/>
  <c r="A1221" i="2"/>
  <c r="M1221" i="2" s="1"/>
  <c r="A1222" i="2"/>
  <c r="M1222" i="2" s="1"/>
  <c r="A1223" i="2"/>
  <c r="M1223" i="2" s="1"/>
  <c r="A1224" i="2"/>
  <c r="M1224" i="2" s="1"/>
  <c r="A1225" i="2"/>
  <c r="M1225" i="2" s="1"/>
  <c r="A1226" i="2"/>
  <c r="M1226" i="2" s="1"/>
  <c r="A1227" i="2"/>
  <c r="M1227" i="2" s="1"/>
  <c r="A1228" i="2"/>
  <c r="M1228" i="2" s="1"/>
  <c r="A1229" i="2"/>
  <c r="M1229" i="2" s="1"/>
  <c r="A1230" i="2"/>
  <c r="M1230" i="2" s="1"/>
  <c r="A1231" i="2"/>
  <c r="M1231" i="2" s="1"/>
  <c r="A1232" i="2"/>
  <c r="M1232" i="2" s="1"/>
  <c r="A1233" i="2"/>
  <c r="M1233" i="2" s="1"/>
  <c r="A1234" i="2"/>
  <c r="M1234" i="2" s="1"/>
  <c r="A1235" i="2"/>
  <c r="M1235" i="2" s="1"/>
  <c r="A1236" i="2"/>
  <c r="M1236" i="2" s="1"/>
  <c r="A1237" i="2"/>
  <c r="M1237" i="2" s="1"/>
  <c r="A1238" i="2"/>
  <c r="M1238" i="2" s="1"/>
  <c r="A1239" i="2"/>
  <c r="M1239" i="2" s="1"/>
  <c r="A1240" i="2"/>
  <c r="M1240" i="2" s="1"/>
  <c r="A1241" i="2"/>
  <c r="M1241" i="2" s="1"/>
  <c r="A1242" i="2"/>
  <c r="M1242" i="2" s="1"/>
  <c r="A1243" i="2"/>
  <c r="M1243" i="2" s="1"/>
  <c r="A1244" i="2"/>
  <c r="M1244" i="2" s="1"/>
  <c r="A1245" i="2"/>
  <c r="M1245" i="2" s="1"/>
  <c r="A1246" i="2"/>
  <c r="M1246" i="2" s="1"/>
  <c r="A1247" i="2"/>
  <c r="M1247" i="2" s="1"/>
  <c r="A1248" i="2"/>
  <c r="M1248" i="2" s="1"/>
  <c r="A1249" i="2"/>
  <c r="M1249" i="2" s="1"/>
  <c r="A1250" i="2"/>
  <c r="M1250" i="2" s="1"/>
  <c r="A1251" i="2"/>
  <c r="M1251" i="2" s="1"/>
  <c r="A1252" i="2"/>
  <c r="M1252" i="2" s="1"/>
  <c r="A1253" i="2"/>
  <c r="M1253" i="2" s="1"/>
  <c r="A1254" i="2"/>
  <c r="M1254" i="2" s="1"/>
  <c r="A1255" i="2"/>
  <c r="M1255" i="2" s="1"/>
  <c r="A1256" i="2"/>
  <c r="M1256" i="2" s="1"/>
  <c r="A1257" i="2"/>
  <c r="M1257" i="2" s="1"/>
  <c r="A1258" i="2"/>
  <c r="M1258" i="2" s="1"/>
  <c r="A1259" i="2"/>
  <c r="M1259" i="2" s="1"/>
  <c r="A1260" i="2"/>
  <c r="M1260" i="2" s="1"/>
  <c r="A1261" i="2"/>
  <c r="M1261" i="2" s="1"/>
  <c r="A1262" i="2"/>
  <c r="M1262" i="2" s="1"/>
  <c r="A1263" i="2"/>
  <c r="M1263" i="2" s="1"/>
  <c r="A1264" i="2"/>
  <c r="M1264" i="2" s="1"/>
  <c r="A1265" i="2"/>
  <c r="M1265" i="2" s="1"/>
  <c r="A1266" i="2"/>
  <c r="M1266" i="2" s="1"/>
  <c r="A1267" i="2"/>
  <c r="M1267" i="2" s="1"/>
  <c r="A1268" i="2"/>
  <c r="M1268" i="2" s="1"/>
  <c r="A1269" i="2"/>
  <c r="M1269" i="2" s="1"/>
  <c r="A1270" i="2"/>
  <c r="M1270" i="2" s="1"/>
  <c r="A1271" i="2"/>
  <c r="M1271" i="2" s="1"/>
  <c r="A1272" i="2"/>
  <c r="M1272" i="2" s="1"/>
  <c r="A1273" i="2"/>
  <c r="M1273" i="2" s="1"/>
  <c r="A1274" i="2"/>
  <c r="M1274" i="2" s="1"/>
  <c r="A1275" i="2"/>
  <c r="M1275" i="2" s="1"/>
  <c r="A1276" i="2"/>
  <c r="M1276" i="2" s="1"/>
  <c r="A1277" i="2"/>
  <c r="M1277" i="2" s="1"/>
  <c r="A1278" i="2"/>
  <c r="M1278" i="2" s="1"/>
  <c r="A1279" i="2"/>
  <c r="M1279" i="2" s="1"/>
  <c r="A1280" i="2"/>
  <c r="M1280" i="2" s="1"/>
  <c r="A1281" i="2"/>
  <c r="M1281" i="2" s="1"/>
  <c r="A1282" i="2"/>
  <c r="M1282" i="2" s="1"/>
  <c r="A1283" i="2"/>
  <c r="M1283" i="2" s="1"/>
  <c r="A1284" i="2"/>
  <c r="M1284" i="2" s="1"/>
  <c r="A1285" i="2"/>
  <c r="M1285" i="2" s="1"/>
  <c r="A1286" i="2"/>
  <c r="M1286" i="2" s="1"/>
  <c r="A1287" i="2"/>
  <c r="M1287" i="2" s="1"/>
  <c r="A1288" i="2"/>
  <c r="M1288" i="2" s="1"/>
  <c r="A1289" i="2"/>
  <c r="M1289" i="2" s="1"/>
  <c r="A1290" i="2"/>
  <c r="M1290" i="2" s="1"/>
  <c r="A1291" i="2"/>
  <c r="M1291" i="2" s="1"/>
  <c r="A1292" i="2"/>
  <c r="M1292" i="2" s="1"/>
  <c r="A1293" i="2"/>
  <c r="M1293" i="2" s="1"/>
  <c r="A1294" i="2"/>
  <c r="M1294" i="2" s="1"/>
  <c r="A1295" i="2"/>
  <c r="M1295" i="2" s="1"/>
  <c r="A1296" i="2"/>
  <c r="M1296" i="2" s="1"/>
  <c r="A1297" i="2"/>
  <c r="M1297" i="2" s="1"/>
  <c r="A1298" i="2"/>
  <c r="M1298" i="2" s="1"/>
  <c r="A1299" i="2"/>
  <c r="M1299" i="2" s="1"/>
  <c r="A1300" i="2"/>
  <c r="M1300" i="2" s="1"/>
  <c r="A1301" i="2"/>
  <c r="M1301" i="2" s="1"/>
  <c r="A1302" i="2"/>
  <c r="M1302" i="2" s="1"/>
  <c r="A1303" i="2"/>
  <c r="M1303" i="2" s="1"/>
  <c r="A1304" i="2"/>
  <c r="M1304" i="2" s="1"/>
  <c r="A1305" i="2"/>
  <c r="M1305" i="2" s="1"/>
  <c r="A1306" i="2"/>
  <c r="M1306" i="2" s="1"/>
  <c r="A1307" i="2"/>
  <c r="M1307" i="2" s="1"/>
  <c r="A1308" i="2"/>
  <c r="M1308" i="2" s="1"/>
  <c r="A1309" i="2"/>
  <c r="M1309" i="2" s="1"/>
  <c r="A1310" i="2"/>
  <c r="M1310" i="2" s="1"/>
  <c r="A1311" i="2"/>
  <c r="M1311" i="2" s="1"/>
  <c r="A1312" i="2"/>
  <c r="M1312" i="2" s="1"/>
  <c r="A1313" i="2"/>
  <c r="M1313" i="2" s="1"/>
  <c r="A1314" i="2"/>
  <c r="M1314" i="2" s="1"/>
  <c r="A1315" i="2"/>
  <c r="M1315" i="2" s="1"/>
  <c r="A1316" i="2"/>
  <c r="M1316" i="2" s="1"/>
  <c r="A1317" i="2"/>
  <c r="M1317" i="2" s="1"/>
  <c r="A1318" i="2"/>
  <c r="M1318" i="2" s="1"/>
  <c r="A1319" i="2"/>
  <c r="M1319" i="2" s="1"/>
  <c r="A1320" i="2"/>
  <c r="M1320" i="2" s="1"/>
  <c r="A1321" i="2"/>
  <c r="M1321" i="2" s="1"/>
  <c r="A1322" i="2"/>
  <c r="M1322" i="2" s="1"/>
  <c r="A1323" i="2"/>
  <c r="M1323" i="2" s="1"/>
  <c r="A1324" i="2"/>
  <c r="M1324" i="2" s="1"/>
  <c r="A1325" i="2"/>
  <c r="M1325" i="2" s="1"/>
  <c r="A1326" i="2"/>
  <c r="M1326" i="2" s="1"/>
  <c r="A1327" i="2"/>
  <c r="M1327" i="2" s="1"/>
  <c r="A1328" i="2"/>
  <c r="M1328" i="2" s="1"/>
  <c r="A1329" i="2"/>
  <c r="M1329" i="2" s="1"/>
  <c r="A1330" i="2"/>
  <c r="M1330" i="2" s="1"/>
  <c r="A1331" i="2"/>
  <c r="M1331" i="2" s="1"/>
  <c r="A1332" i="2"/>
  <c r="M1332" i="2" s="1"/>
  <c r="A1333" i="2"/>
  <c r="M1333" i="2" s="1"/>
  <c r="A1334" i="2"/>
  <c r="M1334" i="2" s="1"/>
  <c r="A1335" i="2"/>
  <c r="M1335" i="2" s="1"/>
  <c r="A1336" i="2"/>
  <c r="M1336" i="2" s="1"/>
  <c r="A1337" i="2"/>
  <c r="M1337" i="2" s="1"/>
  <c r="A1338" i="2"/>
  <c r="M1338" i="2" s="1"/>
  <c r="A1339" i="2"/>
  <c r="M1339" i="2" s="1"/>
  <c r="A1340" i="2"/>
  <c r="M1340" i="2" s="1"/>
  <c r="A1341" i="2"/>
  <c r="M1341" i="2" s="1"/>
  <c r="A1342" i="2"/>
  <c r="M1342" i="2" s="1"/>
  <c r="A1343" i="2"/>
  <c r="M1343" i="2" s="1"/>
  <c r="A1344" i="2"/>
  <c r="M1344" i="2" s="1"/>
  <c r="A1345" i="2"/>
  <c r="M1345" i="2" s="1"/>
  <c r="A1346" i="2"/>
  <c r="M1346" i="2" s="1"/>
  <c r="A1347" i="2"/>
  <c r="M1347" i="2" s="1"/>
  <c r="A1348" i="2"/>
  <c r="M1348" i="2" s="1"/>
  <c r="A1349" i="2"/>
  <c r="M1349" i="2" s="1"/>
  <c r="A1350" i="2"/>
  <c r="M1350" i="2" s="1"/>
  <c r="A1351" i="2"/>
  <c r="M1351" i="2" s="1"/>
  <c r="A1352" i="2"/>
  <c r="M1352" i="2" s="1"/>
  <c r="A1353" i="2"/>
  <c r="M1353" i="2" s="1"/>
  <c r="A1354" i="2"/>
  <c r="M1354" i="2" s="1"/>
  <c r="A1355" i="2"/>
  <c r="M1355" i="2" s="1"/>
  <c r="A1356" i="2"/>
  <c r="M1356" i="2" s="1"/>
  <c r="A1357" i="2"/>
  <c r="M1357" i="2" s="1"/>
  <c r="A1358" i="2"/>
  <c r="M1358" i="2" s="1"/>
  <c r="A1359" i="2"/>
  <c r="M1359" i="2" s="1"/>
  <c r="A1360" i="2"/>
  <c r="M1360" i="2" s="1"/>
  <c r="A1361" i="2"/>
  <c r="M1361" i="2" s="1"/>
  <c r="A1362" i="2"/>
  <c r="M1362" i="2" s="1"/>
  <c r="A1363" i="2"/>
  <c r="M1363" i="2" s="1"/>
  <c r="A1364" i="2"/>
  <c r="M1364" i="2" s="1"/>
  <c r="A1365" i="2"/>
  <c r="M1365" i="2" s="1"/>
  <c r="A1366" i="2"/>
  <c r="M1366" i="2" s="1"/>
  <c r="A1367" i="2"/>
  <c r="M1367" i="2" s="1"/>
  <c r="A1368" i="2"/>
  <c r="M1368" i="2" s="1"/>
  <c r="A1369" i="2"/>
  <c r="M1369" i="2" s="1"/>
  <c r="A1370" i="2"/>
  <c r="M1370" i="2" s="1"/>
  <c r="A1371" i="2"/>
  <c r="M1371" i="2" s="1"/>
  <c r="A1372" i="2"/>
  <c r="M1372" i="2" s="1"/>
  <c r="A1373" i="2"/>
  <c r="M1373" i="2" s="1"/>
  <c r="A1374" i="2"/>
  <c r="M1374" i="2" s="1"/>
  <c r="A1375" i="2"/>
  <c r="M1375" i="2" s="1"/>
  <c r="A1376" i="2"/>
  <c r="M1376" i="2" s="1"/>
  <c r="A1377" i="2"/>
  <c r="M1377" i="2" s="1"/>
  <c r="A1378" i="2"/>
  <c r="M1378" i="2" s="1"/>
  <c r="A1379" i="2"/>
  <c r="M1379" i="2" s="1"/>
  <c r="A1380" i="2"/>
  <c r="M1380" i="2" s="1"/>
  <c r="A1381" i="2"/>
  <c r="M1381" i="2" s="1"/>
  <c r="A1382" i="2"/>
  <c r="M1382" i="2" s="1"/>
  <c r="A1383" i="2"/>
  <c r="M1383" i="2" s="1"/>
  <c r="A1384" i="2"/>
  <c r="M1384" i="2" s="1"/>
  <c r="A1385" i="2"/>
  <c r="M1385" i="2" s="1"/>
  <c r="A1386" i="2"/>
  <c r="M1386" i="2" s="1"/>
  <c r="A1387" i="2"/>
  <c r="M1387" i="2" s="1"/>
  <c r="A1388" i="2"/>
  <c r="M1388" i="2" s="1"/>
  <c r="A1389" i="2"/>
  <c r="M1389" i="2" s="1"/>
  <c r="A1390" i="2"/>
  <c r="M1390" i="2" s="1"/>
  <c r="A1391" i="2"/>
  <c r="M1391" i="2" s="1"/>
  <c r="A1392" i="2"/>
  <c r="M1392" i="2" s="1"/>
  <c r="A1393" i="2"/>
  <c r="M1393" i="2" s="1"/>
  <c r="A1394" i="2"/>
  <c r="M1394" i="2" s="1"/>
  <c r="A1395" i="2"/>
  <c r="M1395" i="2" s="1"/>
  <c r="A1396" i="2"/>
  <c r="M1396" i="2" s="1"/>
  <c r="A1397" i="2"/>
  <c r="M1397" i="2" s="1"/>
  <c r="A1398" i="2"/>
  <c r="M1398" i="2" s="1"/>
  <c r="A1399" i="2"/>
  <c r="M1399" i="2" s="1"/>
  <c r="A1400" i="2"/>
  <c r="M1400" i="2" s="1"/>
  <c r="A1401" i="2"/>
  <c r="M1401" i="2" s="1"/>
  <c r="A1402" i="2"/>
  <c r="M1402" i="2" s="1"/>
  <c r="A1403" i="2"/>
  <c r="M1403" i="2" s="1"/>
  <c r="A1404" i="2"/>
  <c r="M1404" i="2" s="1"/>
  <c r="A1405" i="2"/>
  <c r="M1405" i="2" s="1"/>
  <c r="A1406" i="2"/>
  <c r="M1406" i="2" s="1"/>
  <c r="A1407" i="2"/>
  <c r="M1407" i="2" s="1"/>
  <c r="A1408" i="2"/>
  <c r="M1408" i="2" s="1"/>
  <c r="A1409" i="2"/>
  <c r="M1409" i="2" s="1"/>
  <c r="A1410" i="2"/>
  <c r="M1410" i="2" s="1"/>
  <c r="A1411" i="2"/>
  <c r="M1411" i="2" s="1"/>
  <c r="A1412" i="2"/>
  <c r="M1412" i="2" s="1"/>
  <c r="A1413" i="2"/>
  <c r="M1413" i="2" s="1"/>
  <c r="A1414" i="2"/>
  <c r="M1414" i="2" s="1"/>
  <c r="A1415" i="2"/>
  <c r="M1415" i="2" s="1"/>
  <c r="A1416" i="2"/>
  <c r="M1416" i="2" s="1"/>
  <c r="A1417" i="2"/>
  <c r="M1417" i="2" s="1"/>
  <c r="A1418" i="2"/>
  <c r="M1418" i="2" s="1"/>
  <c r="A1419" i="2"/>
  <c r="M1419" i="2" s="1"/>
  <c r="A1420" i="2"/>
  <c r="M1420" i="2" s="1"/>
  <c r="A1421" i="2"/>
  <c r="M1421" i="2" s="1"/>
  <c r="A1422" i="2"/>
  <c r="M1422" i="2" s="1"/>
  <c r="A1423" i="2"/>
  <c r="M1423" i="2" s="1"/>
  <c r="A1424" i="2"/>
  <c r="M1424" i="2" s="1"/>
  <c r="A1425" i="2"/>
  <c r="M1425" i="2" s="1"/>
  <c r="A1426" i="2"/>
  <c r="M1426" i="2" s="1"/>
  <c r="A1427" i="2"/>
  <c r="M1427" i="2" s="1"/>
  <c r="A1428" i="2"/>
  <c r="M1428" i="2" s="1"/>
  <c r="A1429" i="2"/>
  <c r="M1429" i="2" s="1"/>
  <c r="A1430" i="2"/>
  <c r="M1430" i="2" s="1"/>
  <c r="A1431" i="2"/>
  <c r="M1431" i="2" s="1"/>
  <c r="A1432" i="2"/>
  <c r="M1432" i="2" s="1"/>
  <c r="A1433" i="2"/>
  <c r="M1433" i="2" s="1"/>
  <c r="A1434" i="2"/>
  <c r="M1434" i="2" s="1"/>
  <c r="A1435" i="2"/>
  <c r="M1435" i="2" s="1"/>
  <c r="A1436" i="2"/>
  <c r="M1436" i="2" s="1"/>
  <c r="A1437" i="2"/>
  <c r="M1437" i="2" s="1"/>
  <c r="A1438" i="2"/>
  <c r="M1438" i="2" s="1"/>
  <c r="A1439" i="2"/>
  <c r="M1439" i="2" s="1"/>
  <c r="A1440" i="2"/>
  <c r="M1440" i="2" s="1"/>
  <c r="A1441" i="2"/>
  <c r="M1441" i="2" s="1"/>
  <c r="A1442" i="2"/>
  <c r="M1442" i="2" s="1"/>
  <c r="A1443" i="2"/>
  <c r="M1443" i="2" s="1"/>
  <c r="A1444" i="2"/>
  <c r="M1444" i="2" s="1"/>
  <c r="A1445" i="2"/>
  <c r="M1445" i="2" s="1"/>
  <c r="A1446" i="2"/>
  <c r="M1446" i="2" s="1"/>
  <c r="A1447" i="2"/>
  <c r="M1447" i="2" s="1"/>
  <c r="A1448" i="2"/>
  <c r="M1448" i="2" s="1"/>
  <c r="A1449" i="2"/>
  <c r="M1449" i="2" s="1"/>
  <c r="A1450" i="2"/>
  <c r="M1450" i="2" s="1"/>
  <c r="A1451" i="2"/>
  <c r="M1451" i="2" s="1"/>
  <c r="A1452" i="2"/>
  <c r="M1452" i="2" s="1"/>
  <c r="A1453" i="2"/>
  <c r="M1453" i="2" s="1"/>
  <c r="A1454" i="2"/>
  <c r="M1454" i="2" s="1"/>
  <c r="A1455" i="2"/>
  <c r="M1455" i="2" s="1"/>
  <c r="A1456" i="2"/>
  <c r="M1456" i="2" s="1"/>
  <c r="A1457" i="2"/>
  <c r="M1457" i="2" s="1"/>
  <c r="A1458" i="2"/>
  <c r="M1458" i="2" s="1"/>
  <c r="A1459" i="2"/>
  <c r="M1459" i="2" s="1"/>
  <c r="A1460" i="2"/>
  <c r="M1460" i="2" s="1"/>
  <c r="A1461" i="2"/>
  <c r="M1461" i="2" s="1"/>
  <c r="A1462" i="2"/>
  <c r="M1462" i="2" s="1"/>
  <c r="A1463" i="2"/>
  <c r="M1463" i="2" s="1"/>
  <c r="A1464" i="2"/>
  <c r="M1464" i="2" s="1"/>
  <c r="A1465" i="2"/>
  <c r="M1465" i="2" s="1"/>
  <c r="A1466" i="2"/>
  <c r="M1466" i="2" s="1"/>
  <c r="A1467" i="2"/>
  <c r="M1467" i="2" s="1"/>
  <c r="A1468" i="2"/>
  <c r="M1468" i="2" s="1"/>
  <c r="A1469" i="2"/>
  <c r="M1469" i="2" s="1"/>
  <c r="A1470" i="2"/>
  <c r="M1470" i="2" s="1"/>
  <c r="A1471" i="2"/>
  <c r="M1471" i="2" s="1"/>
  <c r="A1472" i="2"/>
  <c r="M1472" i="2" s="1"/>
  <c r="A1473" i="2"/>
  <c r="M1473" i="2" s="1"/>
  <c r="A1474" i="2"/>
  <c r="M1474" i="2" s="1"/>
  <c r="A1475" i="2"/>
  <c r="M1475" i="2" s="1"/>
  <c r="A1476" i="2"/>
  <c r="M1476" i="2" s="1"/>
  <c r="A1477" i="2"/>
  <c r="M1477" i="2" s="1"/>
  <c r="A1478" i="2"/>
  <c r="M1478" i="2" s="1"/>
  <c r="A1479" i="2"/>
  <c r="M1479" i="2" s="1"/>
  <c r="A1480" i="2"/>
  <c r="M1480" i="2" s="1"/>
  <c r="A1481" i="2"/>
  <c r="M1481" i="2" s="1"/>
  <c r="A1482" i="2"/>
  <c r="M1482" i="2" s="1"/>
  <c r="A1483" i="2"/>
  <c r="M1483" i="2" s="1"/>
  <c r="A1484" i="2"/>
  <c r="M1484" i="2" s="1"/>
  <c r="A1485" i="2"/>
  <c r="M1485" i="2" s="1"/>
  <c r="A1486" i="2"/>
  <c r="M1486" i="2" s="1"/>
  <c r="A1487" i="2"/>
  <c r="M1487" i="2" s="1"/>
  <c r="A1488" i="2"/>
  <c r="M1488" i="2" s="1"/>
  <c r="A1489" i="2"/>
  <c r="M1489" i="2" s="1"/>
  <c r="A1490" i="2"/>
  <c r="M1490" i="2" s="1"/>
  <c r="A1491" i="2"/>
  <c r="M1491" i="2" s="1"/>
  <c r="A1492" i="2"/>
  <c r="M1492" i="2" s="1"/>
  <c r="A1493" i="2"/>
  <c r="M1493" i="2" s="1"/>
  <c r="A1494" i="2"/>
  <c r="M1494" i="2" s="1"/>
  <c r="A1495" i="2"/>
  <c r="M1495" i="2" s="1"/>
  <c r="A1496" i="2"/>
  <c r="M1496" i="2" s="1"/>
  <c r="A1497" i="2"/>
  <c r="M1497" i="2" s="1"/>
  <c r="A1498" i="2"/>
  <c r="M1498" i="2" s="1"/>
  <c r="A1499" i="2"/>
  <c r="M1499" i="2" s="1"/>
  <c r="A1500" i="2"/>
  <c r="M1500" i="2" s="1"/>
  <c r="A1501" i="2"/>
  <c r="M1501" i="2" s="1"/>
  <c r="A1502" i="2"/>
  <c r="M1502" i="2" s="1"/>
  <c r="A1503" i="2"/>
  <c r="M1503" i="2" s="1"/>
  <c r="A1504" i="2"/>
  <c r="M1504" i="2" s="1"/>
  <c r="A1505" i="2"/>
  <c r="M1505" i="2" s="1"/>
  <c r="A1506" i="2"/>
  <c r="M1506" i="2" s="1"/>
  <c r="A1507" i="2"/>
  <c r="M1507" i="2" s="1"/>
  <c r="A1508" i="2"/>
  <c r="M1508" i="2" s="1"/>
  <c r="A1509" i="2"/>
  <c r="M1509" i="2" s="1"/>
  <c r="A1510" i="2"/>
  <c r="M1510" i="2" s="1"/>
  <c r="A1511" i="2"/>
  <c r="M1511" i="2" s="1"/>
  <c r="A1512" i="2"/>
  <c r="M1512" i="2" s="1"/>
  <c r="A1513" i="2"/>
  <c r="M1513" i="2" s="1"/>
  <c r="A1514" i="2"/>
  <c r="M1514" i="2" s="1"/>
  <c r="A1515" i="2"/>
  <c r="M1515" i="2" s="1"/>
  <c r="A1516" i="2"/>
  <c r="M1516" i="2" s="1"/>
  <c r="A1517" i="2"/>
  <c r="M1517" i="2" s="1"/>
  <c r="A1518" i="2"/>
  <c r="M1518" i="2" s="1"/>
  <c r="A1519" i="2"/>
  <c r="M1519" i="2" s="1"/>
  <c r="A1520" i="2"/>
  <c r="M1520" i="2" s="1"/>
  <c r="A1521" i="2"/>
  <c r="M1521" i="2" s="1"/>
  <c r="A1522" i="2"/>
  <c r="M1522" i="2" s="1"/>
  <c r="A1523" i="2"/>
  <c r="M1523" i="2" s="1"/>
  <c r="A1524" i="2"/>
  <c r="M1524" i="2" s="1"/>
  <c r="A1525" i="2"/>
  <c r="M1525" i="2" s="1"/>
  <c r="A1526" i="2"/>
  <c r="M1526" i="2" s="1"/>
  <c r="A1527" i="2"/>
  <c r="M1527" i="2" s="1"/>
  <c r="A1528" i="2"/>
  <c r="M1528" i="2" s="1"/>
  <c r="A1529" i="2"/>
  <c r="M1529" i="2" s="1"/>
  <c r="A1530" i="2"/>
  <c r="M1530" i="2" s="1"/>
  <c r="A1531" i="2"/>
  <c r="M1531" i="2" s="1"/>
  <c r="A1532" i="2"/>
  <c r="M1532" i="2" s="1"/>
  <c r="A1533" i="2"/>
  <c r="M1533" i="2" s="1"/>
  <c r="A1534" i="2"/>
  <c r="M1534" i="2" s="1"/>
  <c r="A1535" i="2"/>
  <c r="M1535" i="2" s="1"/>
  <c r="A1536" i="2"/>
  <c r="M1536" i="2" s="1"/>
  <c r="A1537" i="2"/>
  <c r="M1537" i="2" s="1"/>
  <c r="A1538" i="2"/>
  <c r="M1538" i="2" s="1"/>
  <c r="A1539" i="2"/>
  <c r="M1539" i="2" s="1"/>
  <c r="A1540" i="2"/>
  <c r="M1540" i="2" s="1"/>
  <c r="A1541" i="2"/>
  <c r="M1541" i="2" s="1"/>
  <c r="A1542" i="2"/>
  <c r="M1542" i="2" s="1"/>
  <c r="A1543" i="2"/>
  <c r="M1543" i="2" s="1"/>
  <c r="A1544" i="2"/>
  <c r="M1544" i="2" s="1"/>
  <c r="A1545" i="2"/>
  <c r="M1545" i="2" s="1"/>
  <c r="A1546" i="2"/>
  <c r="M1546" i="2" s="1"/>
  <c r="A1547" i="2"/>
  <c r="M1547" i="2" s="1"/>
  <c r="A1548" i="2"/>
  <c r="M1548" i="2" s="1"/>
  <c r="A1549" i="2"/>
  <c r="M1549" i="2" s="1"/>
  <c r="A1550" i="2"/>
  <c r="M1550" i="2" s="1"/>
  <c r="A1551" i="2"/>
  <c r="M1551" i="2" s="1"/>
  <c r="A1552" i="2"/>
  <c r="M1552" i="2" s="1"/>
  <c r="A1553" i="2"/>
  <c r="M1553" i="2" s="1"/>
  <c r="A1554" i="2"/>
  <c r="M1554" i="2" s="1"/>
  <c r="A1555" i="2"/>
  <c r="M1555" i="2" s="1"/>
  <c r="A1556" i="2"/>
  <c r="M1556" i="2" s="1"/>
  <c r="A1557" i="2"/>
  <c r="M1557" i="2" s="1"/>
  <c r="A1558" i="2"/>
  <c r="M1558" i="2" s="1"/>
  <c r="A1559" i="2"/>
  <c r="M1559" i="2" s="1"/>
  <c r="A1560" i="2"/>
  <c r="M1560" i="2" s="1"/>
  <c r="A1561" i="2"/>
  <c r="M1561" i="2" s="1"/>
  <c r="A1562" i="2"/>
  <c r="M1562" i="2" s="1"/>
  <c r="A1563" i="2"/>
  <c r="M1563" i="2" s="1"/>
  <c r="A1564" i="2"/>
  <c r="M1564" i="2" s="1"/>
  <c r="A1565" i="2"/>
  <c r="M1565" i="2" s="1"/>
  <c r="A1566" i="2"/>
  <c r="M1566" i="2" s="1"/>
  <c r="A1567" i="2"/>
  <c r="M1567" i="2" s="1"/>
  <c r="A1568" i="2"/>
  <c r="M1568" i="2" s="1"/>
  <c r="A1569" i="2"/>
  <c r="M1569" i="2" s="1"/>
  <c r="A1570" i="2"/>
  <c r="M1570" i="2" s="1"/>
  <c r="A1571" i="2"/>
  <c r="M1571" i="2" s="1"/>
  <c r="A1572" i="2"/>
  <c r="M1572" i="2" s="1"/>
  <c r="A1573" i="2"/>
  <c r="M1573" i="2" s="1"/>
  <c r="A1574" i="2"/>
  <c r="M1574" i="2" s="1"/>
  <c r="A1575" i="2"/>
  <c r="M1575" i="2" s="1"/>
  <c r="A1576" i="2"/>
  <c r="M1576" i="2" s="1"/>
  <c r="A1577" i="2"/>
  <c r="M1577" i="2" s="1"/>
  <c r="A1578" i="2"/>
  <c r="M1578" i="2" s="1"/>
  <c r="A1579" i="2"/>
  <c r="M1579" i="2" s="1"/>
  <c r="A1580" i="2"/>
  <c r="M1580" i="2" s="1"/>
  <c r="A1581" i="2"/>
  <c r="M1581" i="2" s="1"/>
  <c r="A1582" i="2"/>
  <c r="M1582" i="2" s="1"/>
  <c r="A1583" i="2"/>
  <c r="M1583" i="2" s="1"/>
  <c r="A1584" i="2"/>
  <c r="M1584" i="2" s="1"/>
  <c r="A1585" i="2"/>
  <c r="M1585" i="2" s="1"/>
  <c r="A1586" i="2"/>
  <c r="M1586" i="2" s="1"/>
  <c r="A1587" i="2"/>
  <c r="M1587" i="2" s="1"/>
  <c r="A1588" i="2"/>
  <c r="M1588" i="2" s="1"/>
  <c r="A1589" i="2"/>
  <c r="M1589" i="2" s="1"/>
  <c r="A1590" i="2"/>
  <c r="M1590" i="2" s="1"/>
  <c r="A1591" i="2"/>
  <c r="M1591" i="2" s="1"/>
  <c r="A1592" i="2"/>
  <c r="M1592" i="2" s="1"/>
  <c r="A1593" i="2"/>
  <c r="M1593" i="2" s="1"/>
  <c r="A1594" i="2"/>
  <c r="M1594" i="2" s="1"/>
  <c r="A1595" i="2"/>
  <c r="M1595" i="2" s="1"/>
  <c r="A1596" i="2"/>
  <c r="M1596" i="2" s="1"/>
  <c r="A1597" i="2"/>
  <c r="M1597" i="2" s="1"/>
  <c r="A1598" i="2"/>
  <c r="M1598" i="2" s="1"/>
  <c r="A1599" i="2"/>
  <c r="M1599" i="2" s="1"/>
  <c r="A1600" i="2"/>
  <c r="M1600" i="2" s="1"/>
  <c r="A1601" i="2"/>
  <c r="M1601" i="2" s="1"/>
  <c r="A1602" i="2"/>
  <c r="M1602" i="2" s="1"/>
  <c r="A1603" i="2"/>
  <c r="M1603" i="2" s="1"/>
  <c r="A1604" i="2"/>
  <c r="M1604" i="2" s="1"/>
  <c r="A1605" i="2"/>
  <c r="M1605" i="2" s="1"/>
  <c r="A1606" i="2"/>
  <c r="M1606" i="2" s="1"/>
  <c r="A1607" i="2"/>
  <c r="M1607" i="2" s="1"/>
  <c r="A1608" i="2"/>
  <c r="M1608" i="2" s="1"/>
  <c r="A1609" i="2"/>
  <c r="M1609" i="2" s="1"/>
  <c r="A1610" i="2"/>
  <c r="M1610" i="2" s="1"/>
  <c r="A1611" i="2"/>
  <c r="M1611" i="2" s="1"/>
  <c r="A1612" i="2"/>
  <c r="M1612" i="2" s="1"/>
  <c r="A1613" i="2"/>
  <c r="M1613" i="2" s="1"/>
  <c r="A1614" i="2"/>
  <c r="M1614" i="2" s="1"/>
  <c r="A1615" i="2"/>
  <c r="M1615" i="2" s="1"/>
  <c r="A1616" i="2"/>
  <c r="M1616" i="2" s="1"/>
  <c r="A1617" i="2"/>
  <c r="M1617" i="2" s="1"/>
  <c r="A1618" i="2"/>
  <c r="M1618" i="2" s="1"/>
  <c r="A1619" i="2"/>
  <c r="M1619" i="2" s="1"/>
  <c r="A1620" i="2"/>
  <c r="M1620" i="2" s="1"/>
  <c r="A1621" i="2"/>
  <c r="M1621" i="2" s="1"/>
  <c r="A1622" i="2"/>
  <c r="M1622" i="2" s="1"/>
  <c r="A1623" i="2"/>
  <c r="M1623" i="2" s="1"/>
  <c r="A1624" i="2"/>
  <c r="M1624" i="2" s="1"/>
  <c r="A1625" i="2"/>
  <c r="M1625" i="2" s="1"/>
  <c r="A1626" i="2"/>
  <c r="M1626" i="2" s="1"/>
  <c r="A1627" i="2"/>
  <c r="M1627" i="2" s="1"/>
  <c r="A1628" i="2"/>
  <c r="M1628" i="2" s="1"/>
  <c r="A1629" i="2"/>
  <c r="M1629" i="2" s="1"/>
  <c r="A1630" i="2"/>
  <c r="M1630" i="2" s="1"/>
  <c r="A1631" i="2"/>
  <c r="M1631" i="2" s="1"/>
  <c r="A1632" i="2"/>
  <c r="M1632" i="2" s="1"/>
  <c r="A1633" i="2"/>
  <c r="M1633" i="2" s="1"/>
  <c r="A1634" i="2"/>
  <c r="M1634" i="2" s="1"/>
  <c r="A1635" i="2"/>
  <c r="M1635" i="2" s="1"/>
  <c r="A1636" i="2"/>
  <c r="M1636" i="2" s="1"/>
  <c r="A1637" i="2"/>
  <c r="M1637" i="2" s="1"/>
  <c r="A1638" i="2"/>
  <c r="M1638" i="2" s="1"/>
  <c r="A1639" i="2"/>
  <c r="M1639" i="2" s="1"/>
  <c r="A1640" i="2"/>
  <c r="M1640" i="2" s="1"/>
  <c r="A1641" i="2"/>
  <c r="M1641" i="2" s="1"/>
  <c r="A1642" i="2"/>
  <c r="M1642" i="2" s="1"/>
  <c r="A1643" i="2"/>
  <c r="M1643" i="2" s="1"/>
  <c r="A1644" i="2"/>
  <c r="M1644" i="2" s="1"/>
  <c r="A1645" i="2"/>
  <c r="M1645" i="2" s="1"/>
  <c r="A1646" i="2"/>
  <c r="M1646" i="2" s="1"/>
  <c r="A1647" i="2"/>
  <c r="M1647" i="2" s="1"/>
  <c r="A1648" i="2"/>
  <c r="M1648" i="2" s="1"/>
  <c r="A1649" i="2"/>
  <c r="M1649" i="2" s="1"/>
  <c r="A1650" i="2"/>
  <c r="M1650" i="2" s="1"/>
  <c r="A1651" i="2"/>
  <c r="M1651" i="2" s="1"/>
  <c r="A1652" i="2"/>
  <c r="M1652" i="2" s="1"/>
  <c r="A1653" i="2"/>
  <c r="M1653" i="2" s="1"/>
  <c r="A1654" i="2"/>
  <c r="M1654" i="2" s="1"/>
  <c r="A1655" i="2"/>
  <c r="M1655" i="2" s="1"/>
  <c r="A1656" i="2"/>
  <c r="M1656" i="2" s="1"/>
  <c r="A1657" i="2"/>
  <c r="M1657" i="2" s="1"/>
  <c r="A1658" i="2"/>
  <c r="M1658" i="2" s="1"/>
  <c r="A1659" i="2"/>
  <c r="M1659" i="2" s="1"/>
  <c r="A1660" i="2"/>
  <c r="M1660" i="2" s="1"/>
  <c r="A1661" i="2"/>
  <c r="M1661" i="2" s="1"/>
  <c r="A1662" i="2"/>
  <c r="M1662" i="2" s="1"/>
  <c r="A1663" i="2"/>
  <c r="M1663" i="2" s="1"/>
  <c r="A1664" i="2"/>
  <c r="M1664" i="2" s="1"/>
  <c r="A1665" i="2"/>
  <c r="M1665" i="2" s="1"/>
  <c r="A1666" i="2"/>
  <c r="M1666" i="2" s="1"/>
  <c r="A1667" i="2"/>
  <c r="M1667" i="2" s="1"/>
  <c r="A1668" i="2"/>
  <c r="M1668" i="2" s="1"/>
  <c r="A1669" i="2"/>
  <c r="M1669" i="2" s="1"/>
  <c r="A1670" i="2"/>
  <c r="M1670" i="2" s="1"/>
  <c r="A1671" i="2"/>
  <c r="M1671" i="2" s="1"/>
  <c r="A1672" i="2"/>
  <c r="M1672" i="2" s="1"/>
  <c r="A1673" i="2"/>
  <c r="M1673" i="2" s="1"/>
  <c r="A1674" i="2"/>
  <c r="M1674" i="2" s="1"/>
  <c r="A1675" i="2"/>
  <c r="M1675" i="2" s="1"/>
  <c r="A1676" i="2"/>
  <c r="M1676" i="2" s="1"/>
  <c r="A1677" i="2"/>
  <c r="M1677" i="2" s="1"/>
  <c r="A1678" i="2"/>
  <c r="M1678" i="2" s="1"/>
  <c r="A1679" i="2"/>
  <c r="M1679" i="2" s="1"/>
  <c r="A1680" i="2"/>
  <c r="M1680" i="2" s="1"/>
  <c r="A1681" i="2"/>
  <c r="M1681" i="2" s="1"/>
  <c r="A1682" i="2"/>
  <c r="M1682" i="2" s="1"/>
  <c r="A1683" i="2"/>
  <c r="M1683" i="2" s="1"/>
  <c r="A1684" i="2"/>
  <c r="M1684" i="2" s="1"/>
  <c r="A1685" i="2"/>
  <c r="M1685" i="2" s="1"/>
  <c r="A1686" i="2"/>
  <c r="M1686" i="2" s="1"/>
  <c r="A1687" i="2"/>
  <c r="M1687" i="2" s="1"/>
  <c r="A1688" i="2"/>
  <c r="M1688" i="2" s="1"/>
  <c r="A1689" i="2"/>
  <c r="M1689" i="2" s="1"/>
  <c r="A1690" i="2"/>
  <c r="M1690" i="2" s="1"/>
  <c r="A1691" i="2"/>
  <c r="M1691" i="2" s="1"/>
  <c r="A1692" i="2"/>
  <c r="M1692" i="2" s="1"/>
  <c r="A1693" i="2"/>
  <c r="M1693" i="2" s="1"/>
  <c r="A1694" i="2"/>
  <c r="M1694" i="2" s="1"/>
  <c r="A1695" i="2"/>
  <c r="M1695" i="2" s="1"/>
  <c r="A1696" i="2"/>
  <c r="M1696" i="2" s="1"/>
  <c r="A1697" i="2"/>
  <c r="M1697" i="2" s="1"/>
  <c r="A1698" i="2"/>
  <c r="M1698" i="2" s="1"/>
  <c r="A1699" i="2"/>
  <c r="M1699" i="2" s="1"/>
  <c r="A1700" i="2"/>
  <c r="M1700" i="2" s="1"/>
  <c r="A1701" i="2"/>
  <c r="M1701" i="2" s="1"/>
  <c r="A1702" i="2"/>
  <c r="M1702" i="2" s="1"/>
  <c r="A1703" i="2"/>
  <c r="M1703" i="2" s="1"/>
  <c r="A1704" i="2"/>
  <c r="M1704" i="2" s="1"/>
  <c r="A1705" i="2"/>
  <c r="M1705" i="2" s="1"/>
  <c r="A1706" i="2"/>
  <c r="M1706" i="2" s="1"/>
  <c r="A1707" i="2"/>
  <c r="M1707" i="2" s="1"/>
  <c r="A1708" i="2"/>
  <c r="M1708" i="2" s="1"/>
  <c r="A1709" i="2"/>
  <c r="M1709" i="2" s="1"/>
  <c r="A1710" i="2"/>
  <c r="M1710" i="2" s="1"/>
  <c r="A1711" i="2"/>
  <c r="M1711" i="2" s="1"/>
  <c r="A1712" i="2"/>
  <c r="M1712" i="2" s="1"/>
  <c r="A1713" i="2"/>
  <c r="M1713" i="2" s="1"/>
  <c r="A1714" i="2"/>
  <c r="M1714" i="2" s="1"/>
  <c r="A1715" i="2"/>
  <c r="M1715" i="2" s="1"/>
  <c r="A1716" i="2"/>
  <c r="M1716" i="2" s="1"/>
  <c r="A1717" i="2"/>
  <c r="M1717" i="2" s="1"/>
  <c r="A1718" i="2"/>
  <c r="M1718" i="2" s="1"/>
  <c r="A1719" i="2"/>
  <c r="M1719" i="2" s="1"/>
  <c r="A1720" i="2"/>
  <c r="M1720" i="2" s="1"/>
  <c r="A1721" i="2"/>
  <c r="M1721" i="2" s="1"/>
  <c r="A1722" i="2"/>
  <c r="M1722" i="2" s="1"/>
  <c r="A1723" i="2"/>
  <c r="M1723" i="2" s="1"/>
  <c r="A1724" i="2"/>
  <c r="M1724" i="2" s="1"/>
  <c r="A1725" i="2"/>
  <c r="M1725" i="2" s="1"/>
  <c r="A1726" i="2"/>
  <c r="M1726" i="2" s="1"/>
  <c r="A1727" i="2"/>
  <c r="M1727" i="2" s="1"/>
  <c r="A1728" i="2"/>
  <c r="M1728" i="2" s="1"/>
  <c r="A1729" i="2"/>
  <c r="M1729" i="2" s="1"/>
  <c r="A1730" i="2"/>
  <c r="M1730" i="2" s="1"/>
  <c r="A1731" i="2"/>
  <c r="M1731" i="2" s="1"/>
  <c r="A1732" i="2"/>
  <c r="M1732" i="2" s="1"/>
  <c r="A1733" i="2"/>
  <c r="M1733" i="2" s="1"/>
  <c r="A1734" i="2"/>
  <c r="M1734" i="2" s="1"/>
  <c r="A1735" i="2"/>
  <c r="M1735" i="2" s="1"/>
  <c r="A1736" i="2"/>
  <c r="M1736" i="2" s="1"/>
  <c r="A1737" i="2"/>
  <c r="M1737" i="2" s="1"/>
  <c r="A1738" i="2"/>
  <c r="M1738" i="2" s="1"/>
  <c r="A1739" i="2"/>
  <c r="M1739" i="2" s="1"/>
  <c r="A1740" i="2"/>
  <c r="M1740" i="2" s="1"/>
  <c r="A1741" i="2"/>
  <c r="M1741" i="2" s="1"/>
  <c r="A1742" i="2"/>
  <c r="M1742" i="2" s="1"/>
  <c r="A1743" i="2"/>
  <c r="M1743" i="2" s="1"/>
  <c r="A1744" i="2"/>
  <c r="M1744" i="2" s="1"/>
  <c r="A1745" i="2"/>
  <c r="M1745" i="2" s="1"/>
  <c r="A1746" i="2"/>
  <c r="M1746" i="2" s="1"/>
  <c r="A1747" i="2"/>
  <c r="M1747" i="2" s="1"/>
  <c r="A1748" i="2"/>
  <c r="M1748" i="2" s="1"/>
  <c r="A1749" i="2"/>
  <c r="M1749" i="2" s="1"/>
  <c r="A1750" i="2"/>
  <c r="M1750" i="2" s="1"/>
  <c r="A1751" i="2"/>
  <c r="M1751" i="2" s="1"/>
  <c r="A1752" i="2"/>
  <c r="M1752" i="2" s="1"/>
  <c r="A1753" i="2"/>
  <c r="M1753" i="2" s="1"/>
  <c r="A1754" i="2"/>
  <c r="M1754" i="2" s="1"/>
  <c r="A1755" i="2"/>
  <c r="M1755" i="2" s="1"/>
  <c r="A1756" i="2"/>
  <c r="M1756" i="2" s="1"/>
  <c r="A1757" i="2"/>
  <c r="M1757" i="2" s="1"/>
  <c r="A1758" i="2"/>
  <c r="M1758" i="2" s="1"/>
  <c r="A1759" i="2"/>
  <c r="M1759" i="2" s="1"/>
  <c r="A1760" i="2"/>
  <c r="M1760" i="2" s="1"/>
  <c r="A1761" i="2"/>
  <c r="M1761" i="2" s="1"/>
  <c r="A1762" i="2"/>
  <c r="M1762" i="2" s="1"/>
  <c r="A1763" i="2"/>
  <c r="M1763" i="2" s="1"/>
  <c r="A1764" i="2"/>
  <c r="M1764" i="2" s="1"/>
  <c r="A1765" i="2"/>
  <c r="M1765" i="2" s="1"/>
  <c r="A1766" i="2"/>
  <c r="M1766" i="2" s="1"/>
  <c r="A1767" i="2"/>
  <c r="M1767" i="2" s="1"/>
  <c r="A1768" i="2"/>
  <c r="M1768" i="2" s="1"/>
  <c r="A1769" i="2"/>
  <c r="M1769" i="2" s="1"/>
  <c r="A1770" i="2"/>
  <c r="M1770" i="2" s="1"/>
  <c r="A1771" i="2"/>
  <c r="M1771" i="2" s="1"/>
  <c r="A1772" i="2"/>
  <c r="M1772" i="2" s="1"/>
  <c r="A1773" i="2"/>
  <c r="M1773" i="2" s="1"/>
  <c r="A1774" i="2"/>
  <c r="M1774" i="2" s="1"/>
  <c r="A1775" i="2"/>
  <c r="M1775" i="2" s="1"/>
  <c r="A1776" i="2"/>
  <c r="M1776" i="2" s="1"/>
  <c r="A1777" i="2"/>
  <c r="M1777" i="2" s="1"/>
  <c r="A1778" i="2"/>
  <c r="M1778" i="2" s="1"/>
  <c r="A1779" i="2"/>
  <c r="M1779" i="2" s="1"/>
  <c r="A1780" i="2"/>
  <c r="M1780" i="2" s="1"/>
  <c r="A1781" i="2"/>
  <c r="M1781" i="2" s="1"/>
  <c r="A1782" i="2"/>
  <c r="M1782" i="2" s="1"/>
  <c r="A1783" i="2"/>
  <c r="M1783" i="2" s="1"/>
  <c r="A1784" i="2"/>
  <c r="M1784" i="2" s="1"/>
  <c r="A1785" i="2"/>
  <c r="M1785" i="2" s="1"/>
  <c r="A1786" i="2"/>
  <c r="M1786" i="2" s="1"/>
  <c r="A1787" i="2"/>
  <c r="M1787" i="2" s="1"/>
  <c r="A1788" i="2"/>
  <c r="M1788" i="2" s="1"/>
  <c r="A1789" i="2"/>
  <c r="M1789" i="2" s="1"/>
  <c r="A1790" i="2"/>
  <c r="M1790" i="2" s="1"/>
  <c r="A1791" i="2"/>
  <c r="M1791" i="2" s="1"/>
  <c r="A1792" i="2"/>
  <c r="M1792" i="2" s="1"/>
  <c r="A1793" i="2"/>
  <c r="M1793" i="2" s="1"/>
  <c r="A1794" i="2"/>
  <c r="M1794" i="2" s="1"/>
  <c r="A1795" i="2"/>
  <c r="M1795" i="2" s="1"/>
  <c r="A1796" i="2"/>
  <c r="M1796" i="2" s="1"/>
  <c r="A1797" i="2"/>
  <c r="M1797" i="2" s="1"/>
  <c r="A1798" i="2"/>
  <c r="M1798" i="2" s="1"/>
  <c r="A1799" i="2"/>
  <c r="M1799" i="2" s="1"/>
  <c r="A1800" i="2"/>
  <c r="M1800" i="2" s="1"/>
  <c r="A1801" i="2"/>
  <c r="M1801" i="2" s="1"/>
  <c r="A1802" i="2"/>
  <c r="M1802" i="2" s="1"/>
  <c r="A1803" i="2"/>
  <c r="M1803" i="2" s="1"/>
  <c r="A1804" i="2"/>
  <c r="M1804" i="2" s="1"/>
  <c r="A1805" i="2"/>
  <c r="M1805" i="2" s="1"/>
  <c r="A1806" i="2"/>
  <c r="M1806" i="2" s="1"/>
  <c r="A1807" i="2"/>
  <c r="M1807" i="2" s="1"/>
  <c r="A1808" i="2"/>
  <c r="M1808" i="2" s="1"/>
  <c r="A1809" i="2"/>
  <c r="M1809" i="2" s="1"/>
  <c r="A1810" i="2"/>
  <c r="M1810" i="2" s="1"/>
  <c r="A1811" i="2"/>
  <c r="M1811" i="2" s="1"/>
  <c r="A1812" i="2"/>
  <c r="M1812" i="2" s="1"/>
  <c r="A1813" i="2"/>
  <c r="M1813" i="2" s="1"/>
  <c r="A1814" i="2"/>
  <c r="M1814" i="2" s="1"/>
  <c r="A1815" i="2"/>
  <c r="M1815" i="2" s="1"/>
  <c r="A1816" i="2"/>
  <c r="M1816" i="2" s="1"/>
  <c r="A1817" i="2"/>
  <c r="M1817" i="2" s="1"/>
  <c r="A1818" i="2"/>
  <c r="M1818" i="2" s="1"/>
  <c r="A1819" i="2"/>
  <c r="M1819" i="2" s="1"/>
  <c r="A1820" i="2"/>
  <c r="M1820" i="2" s="1"/>
  <c r="A1821" i="2"/>
  <c r="M1821" i="2" s="1"/>
  <c r="A1822" i="2"/>
  <c r="M1822" i="2" s="1"/>
  <c r="A1823" i="2"/>
  <c r="M1823" i="2" s="1"/>
  <c r="A1824" i="2"/>
  <c r="M1824" i="2" s="1"/>
  <c r="A1825" i="2"/>
  <c r="M1825" i="2" s="1"/>
  <c r="A1826" i="2"/>
  <c r="M1826" i="2" s="1"/>
  <c r="A1827" i="2"/>
  <c r="M1827" i="2" s="1"/>
  <c r="A1828" i="2"/>
  <c r="M1828" i="2" s="1"/>
  <c r="A1829" i="2"/>
  <c r="M1829" i="2" s="1"/>
  <c r="A1830" i="2"/>
  <c r="M1830" i="2" s="1"/>
  <c r="A1831" i="2"/>
  <c r="M1831" i="2" s="1"/>
  <c r="A1832" i="2"/>
  <c r="M1832" i="2" s="1"/>
  <c r="A1833" i="2"/>
  <c r="M1833" i="2" s="1"/>
  <c r="A1834" i="2"/>
  <c r="M1834" i="2" s="1"/>
  <c r="A1835" i="2"/>
  <c r="M1835" i="2" s="1"/>
  <c r="A1836" i="2"/>
  <c r="M1836" i="2" s="1"/>
  <c r="A1837" i="2"/>
  <c r="M1837" i="2" s="1"/>
  <c r="A1838" i="2"/>
  <c r="M1838" i="2" s="1"/>
  <c r="A1839" i="2"/>
  <c r="M1839" i="2" s="1"/>
  <c r="A1840" i="2"/>
  <c r="M1840" i="2" s="1"/>
  <c r="A1841" i="2"/>
  <c r="M1841" i="2" s="1"/>
  <c r="A1842" i="2"/>
  <c r="M1842" i="2" s="1"/>
  <c r="A1843" i="2"/>
  <c r="M1843" i="2" s="1"/>
  <c r="A1844" i="2"/>
  <c r="M1844" i="2" s="1"/>
  <c r="A1845" i="2"/>
  <c r="M1845" i="2" s="1"/>
  <c r="A1846" i="2"/>
  <c r="M1846" i="2" s="1"/>
  <c r="A1847" i="2"/>
  <c r="M1847" i="2" s="1"/>
  <c r="A1848" i="2"/>
  <c r="M1848" i="2" s="1"/>
  <c r="A1849" i="2"/>
  <c r="M1849" i="2" s="1"/>
  <c r="A1850" i="2"/>
  <c r="M1850" i="2" s="1"/>
  <c r="A1851" i="2"/>
  <c r="M1851" i="2" s="1"/>
  <c r="A1852" i="2"/>
  <c r="M1852" i="2" s="1"/>
  <c r="A1853" i="2"/>
  <c r="M1853" i="2" s="1"/>
  <c r="A1854" i="2"/>
  <c r="M1854" i="2" s="1"/>
  <c r="A1855" i="2"/>
  <c r="M1855" i="2" s="1"/>
  <c r="A1856" i="2"/>
  <c r="M1856" i="2" s="1"/>
  <c r="A1857" i="2"/>
  <c r="M1857" i="2" s="1"/>
  <c r="A1858" i="2"/>
  <c r="M1858" i="2" s="1"/>
  <c r="A1859" i="2"/>
  <c r="M1859" i="2" s="1"/>
  <c r="A1860" i="2"/>
  <c r="M1860" i="2" s="1"/>
  <c r="A1861" i="2"/>
  <c r="M1861" i="2" s="1"/>
  <c r="A1862" i="2"/>
  <c r="M1862" i="2" s="1"/>
  <c r="A1863" i="2"/>
  <c r="M1863" i="2" s="1"/>
  <c r="A1864" i="2"/>
  <c r="M1864" i="2" s="1"/>
  <c r="A1865" i="2"/>
  <c r="M1865" i="2" s="1"/>
  <c r="A1866" i="2"/>
  <c r="M1866" i="2" s="1"/>
  <c r="A1867" i="2"/>
  <c r="M1867" i="2" s="1"/>
  <c r="A1868" i="2"/>
  <c r="M1868" i="2" s="1"/>
  <c r="A1869" i="2"/>
  <c r="M1869" i="2" s="1"/>
  <c r="A1870" i="2"/>
  <c r="M1870" i="2" s="1"/>
  <c r="A1871" i="2"/>
  <c r="M1871" i="2" s="1"/>
  <c r="A1872" i="2"/>
  <c r="M1872" i="2" s="1"/>
  <c r="A1873" i="2"/>
  <c r="M1873" i="2" s="1"/>
  <c r="A1874" i="2"/>
  <c r="M1874" i="2" s="1"/>
  <c r="A1875" i="2"/>
  <c r="M1875" i="2" s="1"/>
  <c r="A1876" i="2"/>
  <c r="M1876" i="2" s="1"/>
  <c r="A1877" i="2"/>
  <c r="M1877" i="2" s="1"/>
  <c r="A1878" i="2"/>
  <c r="M1878" i="2" s="1"/>
  <c r="A1879" i="2"/>
  <c r="M1879" i="2" s="1"/>
  <c r="A1880" i="2"/>
  <c r="M1880" i="2" s="1"/>
  <c r="A1881" i="2"/>
  <c r="M1881" i="2" s="1"/>
  <c r="A1882" i="2"/>
  <c r="M1882" i="2" s="1"/>
  <c r="A1883" i="2"/>
  <c r="M1883" i="2" s="1"/>
  <c r="A1884" i="2"/>
  <c r="M1884" i="2" s="1"/>
  <c r="A1885" i="2"/>
  <c r="M1885" i="2" s="1"/>
  <c r="A1886" i="2"/>
  <c r="M1886" i="2" s="1"/>
  <c r="A1887" i="2"/>
  <c r="M1887" i="2" s="1"/>
  <c r="A1888" i="2"/>
  <c r="M1888" i="2" s="1"/>
  <c r="A1889" i="2"/>
  <c r="M1889" i="2" s="1"/>
  <c r="A1890" i="2"/>
  <c r="M1890" i="2" s="1"/>
  <c r="A1891" i="2"/>
  <c r="M1891" i="2" s="1"/>
  <c r="A1892" i="2"/>
  <c r="M1892" i="2" s="1"/>
  <c r="A1893" i="2"/>
  <c r="M1893" i="2" s="1"/>
  <c r="A1894" i="2"/>
  <c r="M1894" i="2" s="1"/>
  <c r="A1895" i="2"/>
  <c r="M1895" i="2" s="1"/>
  <c r="A1896" i="2"/>
  <c r="M1896" i="2" s="1"/>
  <c r="A1897" i="2"/>
  <c r="M1897" i="2" s="1"/>
  <c r="A1898" i="2"/>
  <c r="M1898" i="2" s="1"/>
  <c r="A1899" i="2"/>
  <c r="M1899" i="2" s="1"/>
  <c r="A1900" i="2"/>
  <c r="M1900" i="2" s="1"/>
  <c r="A1901" i="2"/>
  <c r="M1901" i="2" s="1"/>
  <c r="A1902" i="2"/>
  <c r="M1902" i="2" s="1"/>
  <c r="A1903" i="2"/>
  <c r="M1903" i="2" s="1"/>
  <c r="A1904" i="2"/>
  <c r="M1904" i="2" s="1"/>
  <c r="A1905" i="2"/>
  <c r="M1905" i="2" s="1"/>
  <c r="A1906" i="2"/>
  <c r="M1906" i="2" s="1"/>
  <c r="A1907" i="2"/>
  <c r="M1907" i="2" s="1"/>
  <c r="A1908" i="2"/>
  <c r="M1908" i="2" s="1"/>
  <c r="A1909" i="2"/>
  <c r="M1909" i="2" s="1"/>
  <c r="A1910" i="2"/>
  <c r="M1910" i="2" s="1"/>
  <c r="A1911" i="2"/>
  <c r="M1911" i="2" s="1"/>
  <c r="A1912" i="2"/>
  <c r="M1912" i="2" s="1"/>
  <c r="A1913" i="2"/>
  <c r="M1913" i="2" s="1"/>
  <c r="A1914" i="2"/>
  <c r="M1914" i="2" s="1"/>
  <c r="A1915" i="2"/>
  <c r="M1915" i="2" s="1"/>
  <c r="A1916" i="2"/>
  <c r="M1916" i="2" s="1"/>
  <c r="A1917" i="2"/>
  <c r="M1917" i="2" s="1"/>
  <c r="A1918" i="2"/>
  <c r="M1918" i="2" s="1"/>
  <c r="A1919" i="2"/>
  <c r="M1919" i="2" s="1"/>
  <c r="A1920" i="2"/>
  <c r="M1920" i="2" s="1"/>
  <c r="A1921" i="2"/>
  <c r="M1921" i="2" s="1"/>
  <c r="A1922" i="2"/>
  <c r="M1922" i="2" s="1"/>
  <c r="A1923" i="2"/>
  <c r="M1923" i="2" s="1"/>
  <c r="A1924" i="2"/>
  <c r="M1924" i="2" s="1"/>
  <c r="A1925" i="2"/>
  <c r="M1925" i="2" s="1"/>
  <c r="A1926" i="2"/>
  <c r="M1926" i="2" s="1"/>
  <c r="A1927" i="2"/>
  <c r="M1927" i="2" s="1"/>
  <c r="A1928" i="2"/>
  <c r="M1928" i="2" s="1"/>
  <c r="A1929" i="2"/>
  <c r="M1929" i="2" s="1"/>
  <c r="A1930" i="2"/>
  <c r="M1930" i="2" s="1"/>
  <c r="A1931" i="2"/>
  <c r="M1931" i="2" s="1"/>
  <c r="A2" i="2"/>
  <c r="M2" i="2" s="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2" i="2"/>
  <c r="B5" i="1"/>
  <c r="B4" i="1"/>
  <c r="B3" i="1"/>
  <c r="B6" i="1" l="1"/>
</calcChain>
</file>

<file path=xl/sharedStrings.xml><?xml version="1.0" encoding="utf-8"?>
<sst xmlns="http://schemas.openxmlformats.org/spreadsheetml/2006/main" count="13479" uniqueCount="5930">
  <si>
    <t>PhonePe Transaction Summary Dashboard</t>
  </si>
  <si>
    <t>Total Transactions</t>
  </si>
  <si>
    <t>Total Debits (Spends)</t>
  </si>
  <si>
    <t>Total Credits (Income)</t>
  </si>
  <si>
    <t>Net Cash Flow</t>
  </si>
  <si>
    <t>Top 10 Highest Debit Transactions</t>
  </si>
  <si>
    <t>Date</t>
  </si>
  <si>
    <t>Details</t>
  </si>
  <si>
    <t>Amount (INR)</t>
  </si>
  <si>
    <t>Jun 07, 2025</t>
  </si>
  <si>
    <t>Transfer to XXXX7370</t>
  </si>
  <si>
    <t>Feb 08, 2026</t>
  </si>
  <si>
    <t>Paid to Abhi 💗</t>
  </si>
  <si>
    <t>Transfer to XXXXXX6646</t>
  </si>
  <si>
    <t>Jul 30, 2025</t>
  </si>
  <si>
    <t>Paid to Kotak Mahindra Bank Ltd</t>
  </si>
  <si>
    <t>Jul 15, 2025</t>
  </si>
  <si>
    <t>Jun 25, 2025</t>
  </si>
  <si>
    <t>Paid to QSPIDERSUTEST YANTRA SW SOLIP LTD AIR1QlQW0jHkKpWos6T5769134280QPAY02</t>
  </si>
  <si>
    <t>Aug 25, 2025</t>
  </si>
  <si>
    <t>Transfer to XXXXXXXX1137</t>
  </si>
  <si>
    <t>Time</t>
  </si>
  <si>
    <t>Type</t>
  </si>
  <si>
    <t>Transaction ID</t>
  </si>
  <si>
    <t>UTR No.</t>
  </si>
  <si>
    <t>Account Info</t>
  </si>
  <si>
    <t>Jun 04, 2026</t>
  </si>
  <si>
    <t>10:11 am</t>
  </si>
  <si>
    <t>DEBIT</t>
  </si>
  <si>
    <t>Paid to Kodithyala Tejasvi</t>
  </si>
  <si>
    <t>T2606041011314875701288</t>
  </si>
  <si>
    <t>045220263536</t>
  </si>
  <si>
    <t>Paid by XXXXXXXX1137</t>
  </si>
  <si>
    <t>10:10 am</t>
  </si>
  <si>
    <t>T2606041010294837143118</t>
  </si>
  <si>
    <t>464727463411</t>
  </si>
  <si>
    <t>10:08 am</t>
  </si>
  <si>
    <t>Paid to GANGARABOINA MADHUKA</t>
  </si>
  <si>
    <t>T2606041008374360542582</t>
  </si>
  <si>
    <t>062979462011</t>
  </si>
  <si>
    <t>09:09 am</t>
  </si>
  <si>
    <t>Paid to JUNNU TEA POINT</t>
  </si>
  <si>
    <t>T2606040909435947046539</t>
  </si>
  <si>
    <t>141109617820</t>
  </si>
  <si>
    <t>08:29 am</t>
  </si>
  <si>
    <t>T2606040829273598415025</t>
  </si>
  <si>
    <t>684310994967</t>
  </si>
  <si>
    <t>Paid by XXXX7370</t>
  </si>
  <si>
    <t>06:00 am</t>
  </si>
  <si>
    <t>Payment to RentomojoPvtLtd</t>
  </si>
  <si>
    <t>OLEX2606040600103873282437</t>
  </si>
  <si>
    <t>615506335127</t>
  </si>
  <si>
    <t>Jun 03, 2026</t>
  </si>
  <si>
    <t>09:07 pm</t>
  </si>
  <si>
    <t>CREDIT</t>
  </si>
  <si>
    <t>Received from phani</t>
  </si>
  <si>
    <t>T2606032107243476749558</t>
  </si>
  <si>
    <t>336002225185</t>
  </si>
  <si>
    <t>Credited to XXXXXXXX1137</t>
  </si>
  <si>
    <t>08:47 pm</t>
  </si>
  <si>
    <t>Received from BACHU SHIVA SHANKAR</t>
  </si>
  <si>
    <t>T2606032047526816822372</t>
  </si>
  <si>
    <t>652044153724</t>
  </si>
  <si>
    <t>06:25 pm</t>
  </si>
  <si>
    <t>T2606031825293685051886</t>
  </si>
  <si>
    <t>789171415403</t>
  </si>
  <si>
    <t>02:51 pm</t>
  </si>
  <si>
    <t>T2606031451095158039712</t>
  </si>
  <si>
    <t>673509106980</t>
  </si>
  <si>
    <t>02:48 pm</t>
  </si>
  <si>
    <t>Paid to B22_YOUSUFGUDA_2</t>
  </si>
  <si>
    <t>T2606031448258520977879</t>
  </si>
  <si>
    <t>227595184341</t>
  </si>
  <si>
    <t>02:33 pm</t>
  </si>
  <si>
    <t>T2606031433292725176840</t>
  </si>
  <si>
    <t>378486486222</t>
  </si>
  <si>
    <t>02:31 pm</t>
  </si>
  <si>
    <t>T2606031431387847536164</t>
  </si>
  <si>
    <t>348281251563</t>
  </si>
  <si>
    <t>10:04 am</t>
  </si>
  <si>
    <t>Paid to DIVYA KIRANAM AND GENERAL STORE</t>
  </si>
  <si>
    <t>T2606031004091974985352</t>
  </si>
  <si>
    <t>282313513317</t>
  </si>
  <si>
    <t>07:07 am</t>
  </si>
  <si>
    <t>Payment to Bajaj Auto Credit Limited</t>
  </si>
  <si>
    <t>OLEX2606030707115139235900</t>
  </si>
  <si>
    <t>103410866140</t>
  </si>
  <si>
    <t>Jun 02, 2026</t>
  </si>
  <si>
    <t>11:51 pm</t>
  </si>
  <si>
    <t>Received from Sai 😘😘</t>
  </si>
  <si>
    <t>T2606022351109294672219</t>
  </si>
  <si>
    <t>181727325730</t>
  </si>
  <si>
    <t>09:50 pm</t>
  </si>
  <si>
    <t>Received from ABHIJEET SAURABH</t>
  </si>
  <si>
    <t>T2606022150348900769725</t>
  </si>
  <si>
    <t>124111102745</t>
  </si>
  <si>
    <t>09:33 pm</t>
  </si>
  <si>
    <t>Received from GUDLA  SAIVEER SREEMAN</t>
  </si>
  <si>
    <t>T2606022133476444258727</t>
  </si>
  <si>
    <t>651900248496</t>
  </si>
  <si>
    <t>08:57 pm</t>
  </si>
  <si>
    <t>Paid to Jai bhavani chat bandar</t>
  </si>
  <si>
    <t>T2606022057209825157656</t>
  </si>
  <si>
    <t>729322584672</t>
  </si>
  <si>
    <t>08:52 pm</t>
  </si>
  <si>
    <t>Received from Nick</t>
  </si>
  <si>
    <t>T2606022051593029941662</t>
  </si>
  <si>
    <t>798371496661</t>
  </si>
  <si>
    <t>08:45 pm</t>
  </si>
  <si>
    <t>Received from shivakrishna yara</t>
  </si>
  <si>
    <t>T2606022045051417412275</t>
  </si>
  <si>
    <t>808646931368</t>
  </si>
  <si>
    <t>07:53 pm</t>
  </si>
  <si>
    <t>Received from Billa  Rahul</t>
  </si>
  <si>
    <t>T2606021953202411789037</t>
  </si>
  <si>
    <t>651988048209</t>
  </si>
  <si>
    <t>07:41 pm</t>
  </si>
  <si>
    <t>Paid to METRO FUEL POINT IOCL</t>
  </si>
  <si>
    <t>T2606021941188673344473</t>
  </si>
  <si>
    <t>007511435122</t>
  </si>
  <si>
    <t>07:10 pm</t>
  </si>
  <si>
    <t>T2606021910445010025083</t>
  </si>
  <si>
    <t>834990444447</t>
  </si>
  <si>
    <t>07:09 pm</t>
  </si>
  <si>
    <t>Received from ******3985</t>
  </si>
  <si>
    <t>T2606021909255449119372</t>
  </si>
  <si>
    <t>669032993815</t>
  </si>
  <si>
    <t>06:35 pm</t>
  </si>
  <si>
    <t>Received from Ramana</t>
  </si>
  <si>
    <t>T2606021835155804833935</t>
  </si>
  <si>
    <t>445748928131</t>
  </si>
  <si>
    <t>Paid to md imroze</t>
  </si>
  <si>
    <t>T2606021835010075718267</t>
  </si>
  <si>
    <t>595683922165</t>
  </si>
  <si>
    <t>06:14 pm</t>
  </si>
  <si>
    <t>Received from Vatsavayi Nagavenkata Ramabhad</t>
  </si>
  <si>
    <t>T2606021814518619381914</t>
  </si>
  <si>
    <t>024847359596</t>
  </si>
  <si>
    <t>05:18 pm</t>
  </si>
  <si>
    <t>Received from MALLAGUNTA ASHOK</t>
  </si>
  <si>
    <t>T2606021718344791987454</t>
  </si>
  <si>
    <t>651909446832</t>
  </si>
  <si>
    <t>04:09 pm</t>
  </si>
  <si>
    <t>Received from Shashi 🔥 Btech Frnd</t>
  </si>
  <si>
    <t>T2606021609100938424345</t>
  </si>
  <si>
    <t>540538321615</t>
  </si>
  <si>
    <t>02:30 pm</t>
  </si>
  <si>
    <t>Paid to SRI ABHIRUCHI CURRY AND BIRYANI POINT</t>
  </si>
  <si>
    <t>T2606021430524224741267</t>
  </si>
  <si>
    <t>440074585624</t>
  </si>
  <si>
    <t>11:47 am</t>
  </si>
  <si>
    <t>Paid to Jookuri Dhanalaxmi</t>
  </si>
  <si>
    <t>T2606021147249785748113</t>
  </si>
  <si>
    <t>906542671360</t>
  </si>
  <si>
    <t>Jun 01, 2026</t>
  </si>
  <si>
    <t>10:48 pm</t>
  </si>
  <si>
    <t>Received from Abhi 💗</t>
  </si>
  <si>
    <t>T2606012248187534833774</t>
  </si>
  <si>
    <t>893605518139</t>
  </si>
  <si>
    <t>10:42 pm</t>
  </si>
  <si>
    <t>T2606012242346382907619</t>
  </si>
  <si>
    <t>135298710341</t>
  </si>
  <si>
    <t>10:18 pm</t>
  </si>
  <si>
    <t>Received from ******8713</t>
  </si>
  <si>
    <t>T2606012218293919647064</t>
  </si>
  <si>
    <t>097083593879</t>
  </si>
  <si>
    <t>09:48 pm</t>
  </si>
  <si>
    <t>Paid to Manikanta</t>
  </si>
  <si>
    <t>T2606012148174601489091</t>
  </si>
  <si>
    <t>450216609461</t>
  </si>
  <si>
    <t>Paid to DU Pump 5</t>
  </si>
  <si>
    <t>T2606012133204823478638</t>
  </si>
  <si>
    <t>077416719847</t>
  </si>
  <si>
    <t>09:24 pm</t>
  </si>
  <si>
    <t>Received from Hemant Sonawane</t>
  </si>
  <si>
    <t>T2606012124126526296576</t>
  </si>
  <si>
    <t>684545709109</t>
  </si>
  <si>
    <t>Received from TEJ T</t>
  </si>
  <si>
    <t>T2606012057365955752733</t>
  </si>
  <si>
    <t>002591298978</t>
  </si>
  <si>
    <t>08:24 pm</t>
  </si>
  <si>
    <t>Received from NAIDU DHEERAJ VARDHAN</t>
  </si>
  <si>
    <t>T2606012024101523499035</t>
  </si>
  <si>
    <t>207464588391</t>
  </si>
  <si>
    <t>07:18 pm</t>
  </si>
  <si>
    <t>T2606011918106855940082</t>
  </si>
  <si>
    <t>834711583823</t>
  </si>
  <si>
    <t>06:47 pm</t>
  </si>
  <si>
    <t>T2606011847170523562988</t>
  </si>
  <si>
    <t>338263742126</t>
  </si>
  <si>
    <t>02:52 pm</t>
  </si>
  <si>
    <t>Paid to SAI YOGESHWARA KIRANA AND GENERAL STORES</t>
  </si>
  <si>
    <t>T2606011452528549227534</t>
  </si>
  <si>
    <t>931537159384</t>
  </si>
  <si>
    <t>T2606011451496116802190</t>
  </si>
  <si>
    <t>044084078308</t>
  </si>
  <si>
    <t>02:29 pm</t>
  </si>
  <si>
    <t>Paid to SHIVA REDDY MUTHIKE PALLI</t>
  </si>
  <si>
    <t>T2606011429152292011221</t>
  </si>
  <si>
    <t>609956191656</t>
  </si>
  <si>
    <t>09:30 am</t>
  </si>
  <si>
    <t>Paid to Shivaparvathi kirana general merchant</t>
  </si>
  <si>
    <t>T2606010930423325514672</t>
  </si>
  <si>
    <t>650322869658</t>
  </si>
  <si>
    <t>07:57 am</t>
  </si>
  <si>
    <t>Paid to JAGANDHAR  M</t>
  </si>
  <si>
    <t>T2606010757209933640086</t>
  </si>
  <si>
    <t>367284965824</t>
  </si>
  <si>
    <t>May 31, 2026</t>
  </si>
  <si>
    <t>11:15 pm</t>
  </si>
  <si>
    <t>Paid to NILU</t>
  </si>
  <si>
    <t>T2605312315081724580135</t>
  </si>
  <si>
    <t>014169507747</t>
  </si>
  <si>
    <t>11:14 pm</t>
  </si>
  <si>
    <t>T2605312314193047072653</t>
  </si>
  <si>
    <t>635332361684</t>
  </si>
  <si>
    <t>11:08 pm</t>
  </si>
  <si>
    <t>Received from PRINILA HAGTHANG</t>
  </si>
  <si>
    <t>T2605312308353051401488</t>
  </si>
  <si>
    <t>651789622837</t>
  </si>
  <si>
    <t>10:56 pm</t>
  </si>
  <si>
    <t>T2605312256513109381276</t>
  </si>
  <si>
    <t>052536239240</t>
  </si>
  <si>
    <t>10:55 pm</t>
  </si>
  <si>
    <t>Received from K RISHAN RAMI REDDY</t>
  </si>
  <si>
    <t>T2605312255332668735080</t>
  </si>
  <si>
    <t>615122701132</t>
  </si>
  <si>
    <t>10:34 pm</t>
  </si>
  <si>
    <t>Received from BISHNU DEV SRIVASTAVA</t>
  </si>
  <si>
    <t>T2605312234014237585915</t>
  </si>
  <si>
    <t>651752190959</t>
  </si>
  <si>
    <t>10:26 pm</t>
  </si>
  <si>
    <t>Received from RAM PRASAD YARLAGADDA</t>
  </si>
  <si>
    <t>T2605312226349970918983</t>
  </si>
  <si>
    <t>607160812255</t>
  </si>
  <si>
    <t>10:06 pm</t>
  </si>
  <si>
    <t>Received from ARPIT MATHUR</t>
  </si>
  <si>
    <t>T2605312206007410562785</t>
  </si>
  <si>
    <t>307174494435</t>
  </si>
  <si>
    <t>09:27 pm</t>
  </si>
  <si>
    <t>Received from ROHIT  VARFA</t>
  </si>
  <si>
    <t>T2605312127174875205087</t>
  </si>
  <si>
    <t>651768541561</t>
  </si>
  <si>
    <t>T2605312045537533662988</t>
  </si>
  <si>
    <t>418860607952</t>
  </si>
  <si>
    <t>08:26 pm</t>
  </si>
  <si>
    <t>T2605312026023381044436</t>
  </si>
  <si>
    <t>007736047246</t>
  </si>
  <si>
    <t>07:33 pm</t>
  </si>
  <si>
    <t>Paid to FAZAL LEMON SHOP</t>
  </si>
  <si>
    <t>T2605311933365459941521</t>
  </si>
  <si>
    <t>331126953216</t>
  </si>
  <si>
    <t>Received from Ravi</t>
  </si>
  <si>
    <t>T2605311918424105928607</t>
  </si>
  <si>
    <t>244696078780</t>
  </si>
  <si>
    <t>06:46 pm</t>
  </si>
  <si>
    <t>Paid to DMART AVENUE SUPERMARTS LTD</t>
  </si>
  <si>
    <t>T2605311846148725384469</t>
  </si>
  <si>
    <t>513064225489</t>
  </si>
  <si>
    <t>06:45 pm</t>
  </si>
  <si>
    <t>T2605311845431338190883</t>
  </si>
  <si>
    <t>362678386634</t>
  </si>
  <si>
    <t>05:30 pm</t>
  </si>
  <si>
    <t>Received from Md  Farhan</t>
  </si>
  <si>
    <t>T2605311730139730792174</t>
  </si>
  <si>
    <t>651751850880</t>
  </si>
  <si>
    <t>02:20 pm</t>
  </si>
  <si>
    <t>Paid to DHANALAKSHMITRADERS</t>
  </si>
  <si>
    <t>T2605311420400921634451</t>
  </si>
  <si>
    <t>920620082315</t>
  </si>
  <si>
    <t>02:13 pm</t>
  </si>
  <si>
    <t>Paid to Mangalam Enterprises</t>
  </si>
  <si>
    <t>T2605311413491727547837</t>
  </si>
  <si>
    <t>278371509360</t>
  </si>
  <si>
    <t>May 30, 2026</t>
  </si>
  <si>
    <t>11:32 pm</t>
  </si>
  <si>
    <t>Received from CHAKALI NAVNEETHA</t>
  </si>
  <si>
    <t>T2605302332147354930944</t>
  </si>
  <si>
    <t>615056075738</t>
  </si>
  <si>
    <t>Received from ******0430</t>
  </si>
  <si>
    <t>T2605302308440504714045</t>
  </si>
  <si>
    <t>715313437580</t>
  </si>
  <si>
    <t>10:52 pm</t>
  </si>
  <si>
    <t>Mobile recharged 7093233023 Jio Prepaid Reference ID HGALP009400541828750</t>
  </si>
  <si>
    <t>NX26053022521617082918931</t>
  </si>
  <si>
    <t>747992036284</t>
  </si>
  <si>
    <t>10:39 pm</t>
  </si>
  <si>
    <t>T2605302238596384104498</t>
  </si>
  <si>
    <t>875049645804</t>
  </si>
  <si>
    <t>10:16 pm</t>
  </si>
  <si>
    <t>Received from UBBAPALLI ROHITH</t>
  </si>
  <si>
    <t>T2605302216564626244647</t>
  </si>
  <si>
    <t>651616743357</t>
  </si>
  <si>
    <t>09:22 pm</t>
  </si>
  <si>
    <t>Paid to Viknashura juice center</t>
  </si>
  <si>
    <t>T2605302122043167523654</t>
  </si>
  <si>
    <t>067113095440</t>
  </si>
  <si>
    <t>09:15 pm</t>
  </si>
  <si>
    <t>Received from Vank  Manasa</t>
  </si>
  <si>
    <t>T2605302115028236826001</t>
  </si>
  <si>
    <t>615058713730</t>
  </si>
  <si>
    <t>08:13 pm</t>
  </si>
  <si>
    <t>Received from Y SHYAMALA</t>
  </si>
  <si>
    <t>T2605302013559839119284</t>
  </si>
  <si>
    <t>615046174607</t>
  </si>
  <si>
    <t>07:43 pm</t>
  </si>
  <si>
    <t>Received from Mr Mukhilan Ramalingam</t>
  </si>
  <si>
    <t>T2605301943572138271210</t>
  </si>
  <si>
    <t>651651295383</t>
  </si>
  <si>
    <t>Paid to Coco Hitech City 75</t>
  </si>
  <si>
    <t>T2605301909309829399994</t>
  </si>
  <si>
    <t>492293166052</t>
  </si>
  <si>
    <t>07:07 pm</t>
  </si>
  <si>
    <t>Received from Surendra Yalakala</t>
  </si>
  <si>
    <t>T2605301907034008544275</t>
  </si>
  <si>
    <t>249809089930</t>
  </si>
  <si>
    <t>06:28 pm</t>
  </si>
  <si>
    <t>Received from HAMEEDA BEGUM</t>
  </si>
  <si>
    <t>T2605301828421922032961</t>
  </si>
  <si>
    <t>615021172789</t>
  </si>
  <si>
    <t>06:04 pm</t>
  </si>
  <si>
    <t>Received from MASAMPELLI  PRAVALIKA</t>
  </si>
  <si>
    <t>T2605301804306061882378</t>
  </si>
  <si>
    <t>615000067537</t>
  </si>
  <si>
    <t>02:23 pm</t>
  </si>
  <si>
    <t>Paid to Sri Sai super cool drink 2</t>
  </si>
  <si>
    <t>T2605301423367198240220</t>
  </si>
  <si>
    <t>529913431188</t>
  </si>
  <si>
    <t>10:14 am</t>
  </si>
  <si>
    <t>T2605301014104163923579</t>
  </si>
  <si>
    <t>955170229101</t>
  </si>
  <si>
    <t>10:13 am</t>
  </si>
  <si>
    <t>T2605301013049383640120</t>
  </si>
  <si>
    <t>846392169698</t>
  </si>
  <si>
    <t>May 29, 2026</t>
  </si>
  <si>
    <t>11:43 pm</t>
  </si>
  <si>
    <t>Paid to ZOMATO</t>
  </si>
  <si>
    <t>T2605292343370212090893</t>
  </si>
  <si>
    <t>992080879682</t>
  </si>
  <si>
    <t>10:53 pm</t>
  </si>
  <si>
    <t>Received from Mahesh Maradapudi</t>
  </si>
  <si>
    <t>T2605292253493640029409</t>
  </si>
  <si>
    <t>986153608677</t>
  </si>
  <si>
    <t>10:41 pm</t>
  </si>
  <si>
    <t>T2605292241127503302504</t>
  </si>
  <si>
    <t>301108382051</t>
  </si>
  <si>
    <t>10:02 pm</t>
  </si>
  <si>
    <t>Received from ARSH GUPTA</t>
  </si>
  <si>
    <t>T2605292202034326563585</t>
  </si>
  <si>
    <t>614973105186</t>
  </si>
  <si>
    <t>09:32 pm</t>
  </si>
  <si>
    <t>Received from RUSHIIL BHATNAGAR</t>
  </si>
  <si>
    <t>T2605292132029579931266</t>
  </si>
  <si>
    <t>651546076915</t>
  </si>
  <si>
    <t>09:13 pm</t>
  </si>
  <si>
    <t>Received from Sukumar Poojari</t>
  </si>
  <si>
    <t>T2605292113033614796228</t>
  </si>
  <si>
    <t>614950100765</t>
  </si>
  <si>
    <t>08:55 pm</t>
  </si>
  <si>
    <t>Paid to PORTER</t>
  </si>
  <si>
    <t>T2605292054586836912181</t>
  </si>
  <si>
    <t>368641092237</t>
  </si>
  <si>
    <t>08:20 pm</t>
  </si>
  <si>
    <t>T2605292020053024978535</t>
  </si>
  <si>
    <t>259459636544</t>
  </si>
  <si>
    <t>07:32 pm</t>
  </si>
  <si>
    <t>T2605291932273772275639</t>
  </si>
  <si>
    <t>786648874203</t>
  </si>
  <si>
    <t>05:34 pm</t>
  </si>
  <si>
    <t>T2605291734014635228473</t>
  </si>
  <si>
    <t>133329825865</t>
  </si>
  <si>
    <t>T2605291451086211789458</t>
  </si>
  <si>
    <t>526776365570</t>
  </si>
  <si>
    <t>02:47 pm</t>
  </si>
  <si>
    <t>Paid to Mahalakshmi Vegetables</t>
  </si>
  <si>
    <t>T2605291447226746265442</t>
  </si>
  <si>
    <t>734254786443</t>
  </si>
  <si>
    <t>02:46 pm</t>
  </si>
  <si>
    <t>T2605291446202665341793</t>
  </si>
  <si>
    <t>745118529401</t>
  </si>
  <si>
    <t>02:42 pm</t>
  </si>
  <si>
    <t>T2605291442493864476594</t>
  </si>
  <si>
    <t>615645012682</t>
  </si>
  <si>
    <t>10:06 am</t>
  </si>
  <si>
    <t>Paid to Sri Durga bhavani reddy tiffin centre</t>
  </si>
  <si>
    <t>T2605291006161866594858</t>
  </si>
  <si>
    <t>525757806805</t>
  </si>
  <si>
    <t>May 28, 2026</t>
  </si>
  <si>
    <t>10:20 pm</t>
  </si>
  <si>
    <t>T2605282220079878138399</t>
  </si>
  <si>
    <t>406777990338</t>
  </si>
  <si>
    <t>10:13 pm</t>
  </si>
  <si>
    <t>Received from ******4462</t>
  </si>
  <si>
    <t>T2605282213438475718811</t>
  </si>
  <si>
    <t>776869836133</t>
  </si>
  <si>
    <t>09:49 pm</t>
  </si>
  <si>
    <t>Received from MUDUDUDDI YASWANTH ELISHA KUMAR</t>
  </si>
  <si>
    <t>T2605282149272630358752</t>
  </si>
  <si>
    <t>614853198922</t>
  </si>
  <si>
    <t>09:23 pm</t>
  </si>
  <si>
    <t>Received from KODURU HARSHATEJ REDDY</t>
  </si>
  <si>
    <t>T2605282123243871328683</t>
  </si>
  <si>
    <t>614868323915</t>
  </si>
  <si>
    <t>08:43 pm</t>
  </si>
  <si>
    <t>Received from nitheesh kumar</t>
  </si>
  <si>
    <t>T2605282043191088572632</t>
  </si>
  <si>
    <t>219466767198</t>
  </si>
  <si>
    <t>08:09 pm</t>
  </si>
  <si>
    <t>Paid to VADDENAN BALARAJU</t>
  </si>
  <si>
    <t>T2605282009468904961819</t>
  </si>
  <si>
    <t>450098764236</t>
  </si>
  <si>
    <t>07:55 pm</t>
  </si>
  <si>
    <t>Received from sushmitha</t>
  </si>
  <si>
    <t>T2605281955177435718732</t>
  </si>
  <si>
    <t>555648934432</t>
  </si>
  <si>
    <t>07:19 pm</t>
  </si>
  <si>
    <t>Received from CHINTA ASHOK</t>
  </si>
  <si>
    <t>T2605281919502189649024</t>
  </si>
  <si>
    <t>207164580986</t>
  </si>
  <si>
    <t>07:12 pm</t>
  </si>
  <si>
    <t>Paid to Pump 19 TS POLICE WELFARE SOCIETY -CYB-PB</t>
  </si>
  <si>
    <t>T2605281912305108735283</t>
  </si>
  <si>
    <t>107841318165</t>
  </si>
  <si>
    <t>05:42 pm</t>
  </si>
  <si>
    <t>Paid to District Dining</t>
  </si>
  <si>
    <t>T2605281742077123344839</t>
  </si>
  <si>
    <t>755908221676</t>
  </si>
  <si>
    <t>05:41 pm</t>
  </si>
  <si>
    <t>T2605281741511509486410</t>
  </si>
  <si>
    <t>889988682630</t>
  </si>
  <si>
    <t>04:54 pm</t>
  </si>
  <si>
    <t>Paid to DISTRICT DINING</t>
  </si>
  <si>
    <t>T2605281654108692757253</t>
  </si>
  <si>
    <t>450853876884</t>
  </si>
  <si>
    <t>04:53 pm</t>
  </si>
  <si>
    <t>T2605281653209231044161</t>
  </si>
  <si>
    <t>874746121855</t>
  </si>
  <si>
    <t>04:05 pm</t>
  </si>
  <si>
    <t>Paid to DISTRICT Dining</t>
  </si>
  <si>
    <t>T2605281605245272668548</t>
  </si>
  <si>
    <t>841156497899</t>
  </si>
  <si>
    <t>02:27 pm</t>
  </si>
  <si>
    <t>Paid to CHANDRA PRAKASH ELE</t>
  </si>
  <si>
    <t>T2605281427017643735251</t>
  </si>
  <si>
    <t>150948800468</t>
  </si>
  <si>
    <t>11:43 am</t>
  </si>
  <si>
    <t>T2605281143431113557353</t>
  </si>
  <si>
    <t>240723334788</t>
  </si>
  <si>
    <t>May 27, 2026</t>
  </si>
  <si>
    <t>08:33 pm</t>
  </si>
  <si>
    <t>Payment to Hyderabad Metro</t>
  </si>
  <si>
    <t>S2605272033112286828708D</t>
  </si>
  <si>
    <t>935464000148</t>
  </si>
  <si>
    <t>Mobile recharged 7093233023 Jio Prepaid Reference ID 25936515364</t>
  </si>
  <si>
    <t>NX26052718251043702999251</t>
  </si>
  <si>
    <t>762705492931</t>
  </si>
  <si>
    <t>May 26, 2026</t>
  </si>
  <si>
    <t>05:21 pm</t>
  </si>
  <si>
    <t>Paid to Prathap Kiranam</t>
  </si>
  <si>
    <t>T2605261721197677713067</t>
  </si>
  <si>
    <t>177184692725</t>
  </si>
  <si>
    <t>Paid to SRI SAIRAM RAJAKA COOPERATIVE SOCI</t>
  </si>
  <si>
    <t>T2605261718559663129822</t>
  </si>
  <si>
    <t>998962473181</t>
  </si>
  <si>
    <t>05:16 pm</t>
  </si>
  <si>
    <t>T2605261716160612183646</t>
  </si>
  <si>
    <t>653105303412</t>
  </si>
  <si>
    <t>05:09 pm</t>
  </si>
  <si>
    <t>T2605261709159612217262</t>
  </si>
  <si>
    <t>306372397845</t>
  </si>
  <si>
    <t>09:34 am</t>
  </si>
  <si>
    <t>Paid to MAMIDALA SRINIVAS</t>
  </si>
  <si>
    <t>T2605260934222200419434</t>
  </si>
  <si>
    <t>234596868356</t>
  </si>
  <si>
    <t>May 25, 2026</t>
  </si>
  <si>
    <t>Mobile recharged 7093233023 Jio Prepaid Reference ID 25924283107</t>
  </si>
  <si>
    <t>NX26052522412474973029371</t>
  </si>
  <si>
    <t>589298686834</t>
  </si>
  <si>
    <t>08:16 pm</t>
  </si>
  <si>
    <t>Paid to SRIKANTH KESHA</t>
  </si>
  <si>
    <t>T2605252016128021293184</t>
  </si>
  <si>
    <t>995622455855</t>
  </si>
  <si>
    <t>11:21 am</t>
  </si>
  <si>
    <t>Paid to Anjali Kirana Genaral Store</t>
  </si>
  <si>
    <t>T2605251121031652740452</t>
  </si>
  <si>
    <t>875524161216</t>
  </si>
  <si>
    <t>11:16 am</t>
  </si>
  <si>
    <t>Paid to Shashi 🔥 Btech Frnd</t>
  </si>
  <si>
    <t>T2605251116279140119880</t>
  </si>
  <si>
    <t>439320971424</t>
  </si>
  <si>
    <t>May 24, 2026</t>
  </si>
  <si>
    <t>Mobile recharged 7093233023 Jio Prepaid Reference ID 25915567153</t>
  </si>
  <si>
    <t>NX26052420454512488184921</t>
  </si>
  <si>
    <t>734671950999</t>
  </si>
  <si>
    <t>07:38 pm</t>
  </si>
  <si>
    <t>Paid to PATHA  CHANDRA MOULI</t>
  </si>
  <si>
    <t>T2605241938468410289733</t>
  </si>
  <si>
    <t>345321599862</t>
  </si>
  <si>
    <t>May 23, 2026</t>
  </si>
  <si>
    <t>09:03 pm</t>
  </si>
  <si>
    <t>Paid to KANISETTI MANMADHARAO</t>
  </si>
  <si>
    <t>T2605232103217137572070</t>
  </si>
  <si>
    <t>373494029146</t>
  </si>
  <si>
    <t>Paid to MS TEJA  ELECTRONICS MANCHERIAL</t>
  </si>
  <si>
    <t>T2605232057347595897316</t>
  </si>
  <si>
    <t>115888045072</t>
  </si>
  <si>
    <t>04:32 pm</t>
  </si>
  <si>
    <t>T2605231632042155828032</t>
  </si>
  <si>
    <t>714994197595</t>
  </si>
  <si>
    <t>12:30 pm</t>
  </si>
  <si>
    <t>Paid to KUMMARI  SANJEEV</t>
  </si>
  <si>
    <t>T2605231230222406723384</t>
  </si>
  <si>
    <t>215022203746</t>
  </si>
  <si>
    <t>11:58 am</t>
  </si>
  <si>
    <t>Paid to Rudhira Kiranam and general Store</t>
  </si>
  <si>
    <t>T2605231158349440359267</t>
  </si>
  <si>
    <t>033878408298</t>
  </si>
  <si>
    <t>May 22, 2026</t>
  </si>
  <si>
    <t>09:06 pm</t>
  </si>
  <si>
    <t>Mobile recharged 7093233023 Jio Prepaid Reference ID 25900613543</t>
  </si>
  <si>
    <t>NX26052221063077216701441</t>
  </si>
  <si>
    <t>093307121702</t>
  </si>
  <si>
    <t>12:35 pm</t>
  </si>
  <si>
    <t>T2605221234590544419992</t>
  </si>
  <si>
    <t>052021792877</t>
  </si>
  <si>
    <t>Paid to JADI  RAVINDAR</t>
  </si>
  <si>
    <t>T2605221147518125147624</t>
  </si>
  <si>
    <t>784834500157</t>
  </si>
  <si>
    <t>11:17 am</t>
  </si>
  <si>
    <t>T2605221117567527437701</t>
  </si>
  <si>
    <t>259484615851</t>
  </si>
  <si>
    <t>04:12 am</t>
  </si>
  <si>
    <t>Paid to Jammala Durgaprasad</t>
  </si>
  <si>
    <t>T2605220412291048937932</t>
  </si>
  <si>
    <t>721951449473</t>
  </si>
  <si>
    <t>02:45 am</t>
  </si>
  <si>
    <t>Paid to ZOMATO LIMITED</t>
  </si>
  <si>
    <t>T2605220245058696822278</t>
  </si>
  <si>
    <t>280627973673</t>
  </si>
  <si>
    <t>12:32 am</t>
  </si>
  <si>
    <t>Paid to Royal pan shop</t>
  </si>
  <si>
    <t>T2605220032253545216677</t>
  </si>
  <si>
    <t>335228927153</t>
  </si>
  <si>
    <t>12:26 am</t>
  </si>
  <si>
    <t>Received from Krishna priya</t>
  </si>
  <si>
    <t>T2605220026562280456063</t>
  </si>
  <si>
    <t>001772151114</t>
  </si>
  <si>
    <t>May 21, 2026</t>
  </si>
  <si>
    <t>11:38 pm</t>
  </si>
  <si>
    <t>Received from CHANDRA SEKHAR MAITY SO NITAI</t>
  </si>
  <si>
    <t>T2605212338004116800730</t>
  </si>
  <si>
    <t>206678854866</t>
  </si>
  <si>
    <t>11:01 pm</t>
  </si>
  <si>
    <t>Received from MEGHNA SHARAWAT JT1</t>
  </si>
  <si>
    <t>T2605212301492713724153</t>
  </si>
  <si>
    <t>614161800065</t>
  </si>
  <si>
    <t>T2605212256021062613739</t>
  </si>
  <si>
    <t>177934164464</t>
  </si>
  <si>
    <t>Paid to Supra Fuel Mart</t>
  </si>
  <si>
    <t>T2605212251579904335775</t>
  </si>
  <si>
    <t>729583261815</t>
  </si>
  <si>
    <t>09:36 pm</t>
  </si>
  <si>
    <t>Received from RAKESH AKULA</t>
  </si>
  <si>
    <t>T2605212136267746800698</t>
  </si>
  <si>
    <t>614124745142</t>
  </si>
  <si>
    <t>09:12 pm</t>
  </si>
  <si>
    <t>Paid to UBER INDIA SYSTEMS PRIVATE LIMITED</t>
  </si>
  <si>
    <t>T2605212112119702988508</t>
  </si>
  <si>
    <t>605257747686</t>
  </si>
  <si>
    <t>08:39 pm</t>
  </si>
  <si>
    <t>Received from Omprakasdeshmukh</t>
  </si>
  <si>
    <t>T2605212039466321633344</t>
  </si>
  <si>
    <t>196280914966</t>
  </si>
  <si>
    <t>08:05 pm</t>
  </si>
  <si>
    <t>Received from ******1210</t>
  </si>
  <si>
    <t>T2605212005393680671234</t>
  </si>
  <si>
    <t>255165132660</t>
  </si>
  <si>
    <t>06:43 pm</t>
  </si>
  <si>
    <t>Received from SAKSHI JAISWAL</t>
  </si>
  <si>
    <t>T2605211843434210057286</t>
  </si>
  <si>
    <t>650783991881</t>
  </si>
  <si>
    <t>06:23 pm</t>
  </si>
  <si>
    <t>Received from Siddharth Shankar Samal</t>
  </si>
  <si>
    <t>T2605211823005433421971</t>
  </si>
  <si>
    <t>861653433747</t>
  </si>
  <si>
    <t>05:46 pm</t>
  </si>
  <si>
    <t>Received from TRACY N LOTHA</t>
  </si>
  <si>
    <t>T2605211746471565457826</t>
  </si>
  <si>
    <t>614108961101</t>
  </si>
  <si>
    <t>04:16 pm</t>
  </si>
  <si>
    <t>Paid to Foam Wash and Polishing</t>
  </si>
  <si>
    <t>T2605211616086635498716</t>
  </si>
  <si>
    <t>373282489321</t>
  </si>
  <si>
    <t>04:03 pm</t>
  </si>
  <si>
    <t>Paid to M S VARUN MOTORS PVT LTD HYDERABAD</t>
  </si>
  <si>
    <t>T2605211603561679392466</t>
  </si>
  <si>
    <t>311482049022</t>
  </si>
  <si>
    <t>03:49 pm</t>
  </si>
  <si>
    <t>T2605211548593814556892</t>
  </si>
  <si>
    <t>254518383326</t>
  </si>
  <si>
    <t>02:19 pm</t>
  </si>
  <si>
    <t>T2605211419248945796553</t>
  </si>
  <si>
    <t>293699986644</t>
  </si>
  <si>
    <t>May 20, 2026</t>
  </si>
  <si>
    <t>10:27 pm</t>
  </si>
  <si>
    <t>T2605202227413202370900</t>
  </si>
  <si>
    <t>125839725863</t>
  </si>
  <si>
    <t>02:21 pm</t>
  </si>
  <si>
    <t>Paid to Abhiruchi curry point</t>
  </si>
  <si>
    <t>T2605201421346841507000</t>
  </si>
  <si>
    <t>429789966439</t>
  </si>
  <si>
    <t>May 19, 2026</t>
  </si>
  <si>
    <t>11:42 pm</t>
  </si>
  <si>
    <t>Received from NIKHIL CHAUHAN</t>
  </si>
  <si>
    <t>T2605192342112341927146</t>
  </si>
  <si>
    <t>306466729195</t>
  </si>
  <si>
    <t>10:36 pm</t>
  </si>
  <si>
    <t>Received from Mr Nipu  Das</t>
  </si>
  <si>
    <t>T2605192236573936035687</t>
  </si>
  <si>
    <t>650593109160</t>
  </si>
  <si>
    <t>10:07 pm</t>
  </si>
  <si>
    <t>Received from RANDEEP  NISHAD</t>
  </si>
  <si>
    <t>T2605192207478789052645</t>
  </si>
  <si>
    <t>650591006725</t>
  </si>
  <si>
    <t>09:57 pm</t>
  </si>
  <si>
    <t>T2605192157227716035268</t>
  </si>
  <si>
    <t>187436196371</t>
  </si>
  <si>
    <t>Paid to kgn xerox digital printing press</t>
  </si>
  <si>
    <t>T2605192124035657473535</t>
  </si>
  <si>
    <t>292488519312</t>
  </si>
  <si>
    <t>Received from H SHIVATEJA</t>
  </si>
  <si>
    <t>T2605192106214590011733</t>
  </si>
  <si>
    <t>650595250989</t>
  </si>
  <si>
    <t>08:49 pm</t>
  </si>
  <si>
    <t>Received from KULDEEP SINGH</t>
  </si>
  <si>
    <t>T2605192049309481843780</t>
  </si>
  <si>
    <t>613949150066</t>
  </si>
  <si>
    <t>07:52 pm</t>
  </si>
  <si>
    <t>Received from SURJA MURA</t>
  </si>
  <si>
    <t>T2605191952306845733341</t>
  </si>
  <si>
    <t>613907599701</t>
  </si>
  <si>
    <t>07:08 pm</t>
  </si>
  <si>
    <t>T2605191907574639436877</t>
  </si>
  <si>
    <t>278620710239</t>
  </si>
  <si>
    <t>07:06 pm</t>
  </si>
  <si>
    <t>T2605191906032277615196</t>
  </si>
  <si>
    <t>774346570906</t>
  </si>
  <si>
    <t>02:43 pm</t>
  </si>
  <si>
    <t>T2605191443356471024262</t>
  </si>
  <si>
    <t>363623607825</t>
  </si>
  <si>
    <t>T2605191442418476962747</t>
  </si>
  <si>
    <t>201352344538</t>
  </si>
  <si>
    <t>11:08 am</t>
  </si>
  <si>
    <t>T2605191108015629090456</t>
  </si>
  <si>
    <t>944575764918</t>
  </si>
  <si>
    <t>May 18, 2026</t>
  </si>
  <si>
    <t>09:40 pm</t>
  </si>
  <si>
    <t>T2605182140538293853453</t>
  </si>
  <si>
    <t>887380777190</t>
  </si>
  <si>
    <t>T2605182140300539260147</t>
  </si>
  <si>
    <t>881751005892</t>
  </si>
  <si>
    <t>09:38 pm</t>
  </si>
  <si>
    <t>Paid to DONDA ARUNA</t>
  </si>
  <si>
    <t>T2605182138168648082837</t>
  </si>
  <si>
    <t>598018686744</t>
  </si>
  <si>
    <t>09:14 pm</t>
  </si>
  <si>
    <t>Received from peruguprashanth</t>
  </si>
  <si>
    <t>T2605182114528995818085</t>
  </si>
  <si>
    <t>103350735295</t>
  </si>
  <si>
    <t>08:46 pm</t>
  </si>
  <si>
    <t>T2605182046325595524334</t>
  </si>
  <si>
    <t>937907353277</t>
  </si>
  <si>
    <t>08:44 pm</t>
  </si>
  <si>
    <t>T2605182044296495524208</t>
  </si>
  <si>
    <t>355411519879</t>
  </si>
  <si>
    <t>Received from MD  ZEESHAN</t>
  </si>
  <si>
    <t>T2605182026215895517102</t>
  </si>
  <si>
    <t>650481281690</t>
  </si>
  <si>
    <t>08:03 pm</t>
  </si>
  <si>
    <t>Received from HARSH VARDHAN KUMAR</t>
  </si>
  <si>
    <t>T2605182003036792705217</t>
  </si>
  <si>
    <t>650468204697</t>
  </si>
  <si>
    <t>Mobile recharged 7093233023 Jio Prepaid Reference ID 25868822863</t>
  </si>
  <si>
    <t>NX26051819322041400588871</t>
  </si>
  <si>
    <t>179591305960</t>
  </si>
  <si>
    <t>03:47 pm</t>
  </si>
  <si>
    <t>T2605181547160491688849</t>
  </si>
  <si>
    <t>757578713047</t>
  </si>
  <si>
    <t>03:43 pm</t>
  </si>
  <si>
    <t>T2605181543404287760173</t>
  </si>
  <si>
    <t>784024074697</t>
  </si>
  <si>
    <t>03:40 pm</t>
  </si>
  <si>
    <t>T2605181540477650667233</t>
  </si>
  <si>
    <t>900420450677</t>
  </si>
  <si>
    <t>T2605181447031252875747</t>
  </si>
  <si>
    <t>107660514453</t>
  </si>
  <si>
    <t>02:16 pm</t>
  </si>
  <si>
    <t>S2605181416521760049032D</t>
  </si>
  <si>
    <t>668882876823</t>
  </si>
  <si>
    <t>11:52 am</t>
  </si>
  <si>
    <t>T2605181152004477419258</t>
  </si>
  <si>
    <t>456522741272</t>
  </si>
  <si>
    <t>11:33 am</t>
  </si>
  <si>
    <t>S2605181133372537604569D</t>
  </si>
  <si>
    <t>316096146830</t>
  </si>
  <si>
    <t>May 17, 2026</t>
  </si>
  <si>
    <t>10:35 pm</t>
  </si>
  <si>
    <t>Received from EDMUND L NEIHSIAL</t>
  </si>
  <si>
    <t>T2605172235298960215953</t>
  </si>
  <si>
    <t>123299596035</t>
  </si>
  <si>
    <t>Paid to INDRA PETRO PRODUCTS</t>
  </si>
  <si>
    <t>T2605172206346151278557</t>
  </si>
  <si>
    <t>047222095987</t>
  </si>
  <si>
    <t>Received from Lahari Paila</t>
  </si>
  <si>
    <t>T2605172140137413033912</t>
  </si>
  <si>
    <t>473976089748</t>
  </si>
  <si>
    <t>Received from KASUKURTHI VARMA</t>
  </si>
  <si>
    <t>T2605172044456682818353</t>
  </si>
  <si>
    <t>650357160690</t>
  </si>
  <si>
    <t>08:32 pm</t>
  </si>
  <si>
    <t>Received from Daksh  Dhangar</t>
  </si>
  <si>
    <t>T2605172032151764094254</t>
  </si>
  <si>
    <t>613779792418</t>
  </si>
  <si>
    <t>08:12 pm</t>
  </si>
  <si>
    <t>Received from srija sriramula</t>
  </si>
  <si>
    <t>T2605172012434392490906</t>
  </si>
  <si>
    <t>688341491028</t>
  </si>
  <si>
    <t>01:46 pm</t>
  </si>
  <si>
    <t>T2605171346523340431676</t>
  </si>
  <si>
    <t>894564697949</t>
  </si>
  <si>
    <t>12:28 am</t>
  </si>
  <si>
    <t>Paid to Madeena bakery</t>
  </si>
  <si>
    <t>T2605170028103132077362</t>
  </si>
  <si>
    <t>909754905427</t>
  </si>
  <si>
    <t>Received from pradip kumar swain</t>
  </si>
  <si>
    <t>T2605170026291693008840</t>
  </si>
  <si>
    <t>685980986358</t>
  </si>
  <si>
    <t>12:14 am</t>
  </si>
  <si>
    <t>Paid to KOLLI NAVA TEJA COCO MADHAPUR</t>
  </si>
  <si>
    <t>T2605170014011927115191</t>
  </si>
  <si>
    <t>522650436362</t>
  </si>
  <si>
    <t>May 16, 2026</t>
  </si>
  <si>
    <t>11:52 pm</t>
  </si>
  <si>
    <t>T2605162352102041596662</t>
  </si>
  <si>
    <t>435754821005</t>
  </si>
  <si>
    <t>11:46 pm</t>
  </si>
  <si>
    <t>Received from Aditya Vijayan</t>
  </si>
  <si>
    <t>T2605162346273858253810</t>
  </si>
  <si>
    <t>382212220220</t>
  </si>
  <si>
    <t>Received from PRIYANSHU  PRIYANSHU</t>
  </si>
  <si>
    <t>T2605162248320830349233</t>
  </si>
  <si>
    <t>613674766953</t>
  </si>
  <si>
    <t>10:22 pm</t>
  </si>
  <si>
    <t>Paid to TAMMADAHALLI RAMANNA SOWMYA</t>
  </si>
  <si>
    <t>T2605162222071233132883</t>
  </si>
  <si>
    <t>242615240663</t>
  </si>
  <si>
    <t>Received from Parishith Hcl</t>
  </si>
  <si>
    <t>T2605162218497283132837</t>
  </si>
  <si>
    <t>945187424903</t>
  </si>
  <si>
    <t>Received from Mrs Soma Biswas</t>
  </si>
  <si>
    <t>T2605162133016523331363</t>
  </si>
  <si>
    <t>613689638555</t>
  </si>
  <si>
    <t>T2605162115010799717102</t>
  </si>
  <si>
    <t>713282702027</t>
  </si>
  <si>
    <t>09:11 pm</t>
  </si>
  <si>
    <t>Paid to JUBLEEHILL FILLING STATION</t>
  </si>
  <si>
    <t>T2605162111283648852708</t>
  </si>
  <si>
    <t>047842606571</t>
  </si>
  <si>
    <t>07:54 pm</t>
  </si>
  <si>
    <t>T2605161954235268624223</t>
  </si>
  <si>
    <t>854996232811</t>
  </si>
  <si>
    <t>T2605161446394529352373</t>
  </si>
  <si>
    <t>088209077886</t>
  </si>
  <si>
    <t>02:39 pm</t>
  </si>
  <si>
    <t>Paid to B22 YOUSUFGUDA 2</t>
  </si>
  <si>
    <t>T2605161439359856748253</t>
  </si>
  <si>
    <t>555094898153</t>
  </si>
  <si>
    <t>T2605161432577887194654</t>
  </si>
  <si>
    <t>773056692893</t>
  </si>
  <si>
    <t>T2605161431196424297571</t>
  </si>
  <si>
    <t>715287284445</t>
  </si>
  <si>
    <t>Paid to S S PAN MAHAL</t>
  </si>
  <si>
    <t>T2605161427337694795447</t>
  </si>
  <si>
    <t>556808510560</t>
  </si>
  <si>
    <t>Paid to SS WINES</t>
  </si>
  <si>
    <t>T2605161427029235277351</t>
  </si>
  <si>
    <t>640623759286</t>
  </si>
  <si>
    <t>02:26 pm</t>
  </si>
  <si>
    <t>T2605161426035108513255</t>
  </si>
  <si>
    <t>418692163521</t>
  </si>
  <si>
    <t>May 15, 2026</t>
  </si>
  <si>
    <t>11:09 pm</t>
  </si>
  <si>
    <t>Received from Vaish</t>
  </si>
  <si>
    <t>T2605152309224269680442</t>
  </si>
  <si>
    <t>849404611115</t>
  </si>
  <si>
    <t>10:45 pm</t>
  </si>
  <si>
    <t>Received from Siddhesh Darekar</t>
  </si>
  <si>
    <t>T2605152245187608564359</t>
  </si>
  <si>
    <t>509201796375</t>
  </si>
  <si>
    <t>10:03 pm</t>
  </si>
  <si>
    <t>Paid to DASHRATH  THAKUR</t>
  </si>
  <si>
    <t>T2605152203321763353677</t>
  </si>
  <si>
    <t>812465244929</t>
  </si>
  <si>
    <t>10:00 pm</t>
  </si>
  <si>
    <t>Received from ******3480</t>
  </si>
  <si>
    <t>T2605152159556752977917</t>
  </si>
  <si>
    <t>983297511685</t>
  </si>
  <si>
    <t>Received from Priyanka Ravindrasingh Gahalot</t>
  </si>
  <si>
    <t>T2605152136361928896544</t>
  </si>
  <si>
    <t>613528159547</t>
  </si>
  <si>
    <t>T2605152106038677798504</t>
  </si>
  <si>
    <t>350033264961</t>
  </si>
  <si>
    <t>Received from ******8556</t>
  </si>
  <si>
    <t>T2605152055062498253627</t>
  </si>
  <si>
    <t>871038548742</t>
  </si>
  <si>
    <t>Paid to METRO FUEL POINT</t>
  </si>
  <si>
    <t>T2605151426144403595696</t>
  </si>
  <si>
    <t>179099413153</t>
  </si>
  <si>
    <t>01:16 pm</t>
  </si>
  <si>
    <t>T2605151316307750215596</t>
  </si>
  <si>
    <t>709430110706</t>
  </si>
  <si>
    <t>May 14, 2026</t>
  </si>
  <si>
    <t>11:12 pm</t>
  </si>
  <si>
    <t>Received from SK ASIF</t>
  </si>
  <si>
    <t>T2605142312141946462129</t>
  </si>
  <si>
    <t>011507524396</t>
  </si>
  <si>
    <t>10:14 pm</t>
  </si>
  <si>
    <t>Received from Venu Gopal</t>
  </si>
  <si>
    <t>T2605142214168807865298</t>
  </si>
  <si>
    <t>647665739912</t>
  </si>
  <si>
    <t>Received from ANSAR</t>
  </si>
  <si>
    <t>T2605142132306659102970</t>
  </si>
  <si>
    <t>613414252981</t>
  </si>
  <si>
    <t>09:02 pm</t>
  </si>
  <si>
    <t>Received from SYED ZUBAIR</t>
  </si>
  <si>
    <t>T2605142102297463754508</t>
  </si>
  <si>
    <t>613482856621</t>
  </si>
  <si>
    <t>Paid to COCO Jubilee Hills</t>
  </si>
  <si>
    <t>T2605142033565287576208</t>
  </si>
  <si>
    <t>940804238119</t>
  </si>
  <si>
    <t>07:22 pm</t>
  </si>
  <si>
    <t>T2605141922197752450302</t>
  </si>
  <si>
    <t>571190473066</t>
  </si>
  <si>
    <t>05:36 pm</t>
  </si>
  <si>
    <t>Received from Rakesh.Tkr</t>
  </si>
  <si>
    <t>T2605141736325043149883</t>
  </si>
  <si>
    <t>679122978870</t>
  </si>
  <si>
    <t>T2605141448065832570778</t>
  </si>
  <si>
    <t>803570382308</t>
  </si>
  <si>
    <t>T2605141447198136016200</t>
  </si>
  <si>
    <t>286228466796</t>
  </si>
  <si>
    <t>02:45 pm</t>
  </si>
  <si>
    <t>Paid to Swathi Vegetables</t>
  </si>
  <si>
    <t>T2605141445264286716580</t>
  </si>
  <si>
    <t>848958794672</t>
  </si>
  <si>
    <t>T2605141433119705439259</t>
  </si>
  <si>
    <t>879656518572</t>
  </si>
  <si>
    <t>09:20 am</t>
  </si>
  <si>
    <t>T2605140920442061717433</t>
  </si>
  <si>
    <t>948338991805</t>
  </si>
  <si>
    <t>08:20 am</t>
  </si>
  <si>
    <t>Paid to Niru Naturals</t>
  </si>
  <si>
    <t>T2605140820035446130885</t>
  </si>
  <si>
    <t>480170157718</t>
  </si>
  <si>
    <t>May 13, 2026</t>
  </si>
  <si>
    <t>09:43 pm</t>
  </si>
  <si>
    <t>Paid to ZAKIS BAWARCHI</t>
  </si>
  <si>
    <t>T2605132143129982387551</t>
  </si>
  <si>
    <t>198481834481</t>
  </si>
  <si>
    <t>09:31 pm</t>
  </si>
  <si>
    <t>Received from Pechetti Siva Kanth</t>
  </si>
  <si>
    <t>T2605132131108811305083</t>
  </si>
  <si>
    <t>849619576623</t>
  </si>
  <si>
    <t>09:01 pm</t>
  </si>
  <si>
    <t>Received from RAJDEEP KUMAR</t>
  </si>
  <si>
    <t>T2605132101285802574718</t>
  </si>
  <si>
    <t>613313016111</t>
  </si>
  <si>
    <t>Received from PAMIDI NAGA SILPA</t>
  </si>
  <si>
    <t>T2605132043172698550692</t>
  </si>
  <si>
    <t>123082731258</t>
  </si>
  <si>
    <t>08:28 pm</t>
  </si>
  <si>
    <t>Received from AMIT RANA</t>
  </si>
  <si>
    <t>T2605132028114980987832</t>
  </si>
  <si>
    <t>613393603383</t>
  </si>
  <si>
    <t>T2605132003405302654157</t>
  </si>
  <si>
    <t>904998607953</t>
  </si>
  <si>
    <t>07:42 pm</t>
  </si>
  <si>
    <t>Paid to Jatprole Filling Station</t>
  </si>
  <si>
    <t>T2605131942514949777712</t>
  </si>
  <si>
    <t>661904013164</t>
  </si>
  <si>
    <t>May 12, 2026</t>
  </si>
  <si>
    <t>10:10 pm</t>
  </si>
  <si>
    <t>S2605122210002000049219D</t>
  </si>
  <si>
    <t>988366759989</t>
  </si>
  <si>
    <t>T2605122127038102462740</t>
  </si>
  <si>
    <t>738601633971</t>
  </si>
  <si>
    <t>Received from ******2174</t>
  </si>
  <si>
    <t>T2605122013090084288222</t>
  </si>
  <si>
    <t>332447397928</t>
  </si>
  <si>
    <t>07:46 pm</t>
  </si>
  <si>
    <t>Received from Chinna Chinna</t>
  </si>
  <si>
    <t>T2605121946012888062886</t>
  </si>
  <si>
    <t>025871654571</t>
  </si>
  <si>
    <t>06:55 pm</t>
  </si>
  <si>
    <t>T2605121854582981996153</t>
  </si>
  <si>
    <t>684617626940</t>
  </si>
  <si>
    <t>04:12 pm</t>
  </si>
  <si>
    <t>Paid to Vijay Nrcm</t>
  </si>
  <si>
    <t>T2605121612016411103924</t>
  </si>
  <si>
    <t>556220458474</t>
  </si>
  <si>
    <t>03:42 pm</t>
  </si>
  <si>
    <t>Paid to ASHOK YADAV</t>
  </si>
  <si>
    <t>T2605121542140962381676</t>
  </si>
  <si>
    <t>946063236597</t>
  </si>
  <si>
    <t>03:27 pm</t>
  </si>
  <si>
    <t>Paid to Durga bhavani 2</t>
  </si>
  <si>
    <t>T2605121527042963516979</t>
  </si>
  <si>
    <t>325949894069</t>
  </si>
  <si>
    <t>12:20 pm</t>
  </si>
  <si>
    <t>Paid to SUNDARAM ENTERPRISES</t>
  </si>
  <si>
    <t>T2605121220577859034103</t>
  </si>
  <si>
    <t>823087572999</t>
  </si>
  <si>
    <t>12:05 pm</t>
  </si>
  <si>
    <t>T2605121205159236501736</t>
  </si>
  <si>
    <t>815551272382</t>
  </si>
  <si>
    <t>12:04 pm</t>
  </si>
  <si>
    <t>T2605121204170245309349</t>
  </si>
  <si>
    <t>490652890238</t>
  </si>
  <si>
    <t>11:20 am</t>
  </si>
  <si>
    <t>T2605121120418358306161</t>
  </si>
  <si>
    <t>439236072440</t>
  </si>
  <si>
    <t>May 11, 2026</t>
  </si>
  <si>
    <t>08:50 pm</t>
  </si>
  <si>
    <t>T2605112050368966531321</t>
  </si>
  <si>
    <t>401286828388</t>
  </si>
  <si>
    <t>08:48 pm</t>
  </si>
  <si>
    <t>T2605112048332988225100</t>
  </si>
  <si>
    <t>958631273961</t>
  </si>
  <si>
    <t>T2605111921599040489933</t>
  </si>
  <si>
    <t>567264384084</t>
  </si>
  <si>
    <t>07:15 pm</t>
  </si>
  <si>
    <t>T2605111915510658483268</t>
  </si>
  <si>
    <t>873755757755</t>
  </si>
  <si>
    <t>T2605111448041876169684</t>
  </si>
  <si>
    <t>450121504171</t>
  </si>
  <si>
    <t>T2605111427420302724545</t>
  </si>
  <si>
    <t>929386334012</t>
  </si>
  <si>
    <t>Received from Manikanta</t>
  </si>
  <si>
    <t>T2605111427177377570297</t>
  </si>
  <si>
    <t>878057106844</t>
  </si>
  <si>
    <t>May 10, 2026</t>
  </si>
  <si>
    <t>09:19 pm</t>
  </si>
  <si>
    <t>T2605102119426029772759</t>
  </si>
  <si>
    <t>290087654283</t>
  </si>
  <si>
    <t>T2605101427102959607827</t>
  </si>
  <si>
    <t>809793799683</t>
  </si>
  <si>
    <t>02:25 pm</t>
  </si>
  <si>
    <t>T2605101425518453447252</t>
  </si>
  <si>
    <t>955220436560</t>
  </si>
  <si>
    <t>12:50 pm</t>
  </si>
  <si>
    <t>T2605101250464724998069</t>
  </si>
  <si>
    <t>042480814375</t>
  </si>
  <si>
    <t>12:48 pm</t>
  </si>
  <si>
    <t>T2605101248158685693527</t>
  </si>
  <si>
    <t>127381783701</t>
  </si>
  <si>
    <t>May 09, 2026</t>
  </si>
  <si>
    <t>Paid to Divya kiranam and General Store</t>
  </si>
  <si>
    <t>T2605092218310256577868</t>
  </si>
  <si>
    <t>682935718094</t>
  </si>
  <si>
    <t>07:44 pm</t>
  </si>
  <si>
    <t>T2605091944026581750557</t>
  </si>
  <si>
    <t>231578671928</t>
  </si>
  <si>
    <t>Paid to SYED KHADER</t>
  </si>
  <si>
    <t>T2605091439411448551288</t>
  </si>
  <si>
    <t>405854166960</t>
  </si>
  <si>
    <t>02:36 pm</t>
  </si>
  <si>
    <t>T2605091435593106532017</t>
  </si>
  <si>
    <t>950389839270</t>
  </si>
  <si>
    <t>12:10 pm</t>
  </si>
  <si>
    <t>T2605091209589753129644</t>
  </si>
  <si>
    <t>736365322638</t>
  </si>
  <si>
    <t>11:02 am</t>
  </si>
  <si>
    <t>T2605091102304118962067</t>
  </si>
  <si>
    <t>650724075008</t>
  </si>
  <si>
    <t>May 08, 2026</t>
  </si>
  <si>
    <t>09:58 pm</t>
  </si>
  <si>
    <t>Received from SITHALKAR  RAJAYATH BOUDH</t>
  </si>
  <si>
    <t>T2605082158447192656596</t>
  </si>
  <si>
    <t>612879024735</t>
  </si>
  <si>
    <t>Received from Kodali  Manvita</t>
  </si>
  <si>
    <t>T2605082114134398238495</t>
  </si>
  <si>
    <t>612868027093</t>
  </si>
  <si>
    <t>Received from DEVARAKONDA RAMA KRISHNA</t>
  </si>
  <si>
    <t>T2605082057279175864945</t>
  </si>
  <si>
    <t>302203939898</t>
  </si>
  <si>
    <t>08:56 pm</t>
  </si>
  <si>
    <t>T2605082056360767559391</t>
  </si>
  <si>
    <t>302203864040</t>
  </si>
  <si>
    <t>T2605082016332912764910</t>
  </si>
  <si>
    <t>670513054733</t>
  </si>
  <si>
    <t>May 07, 2026</t>
  </si>
  <si>
    <t>11:59 pm</t>
  </si>
  <si>
    <t>Paid to Karthik Ngrm</t>
  </si>
  <si>
    <t>T2605072359473078238323</t>
  </si>
  <si>
    <t>247912166116</t>
  </si>
  <si>
    <t>T2605072359424837385880</t>
  </si>
  <si>
    <t>336490929483</t>
  </si>
  <si>
    <t>T2605072136561676025440</t>
  </si>
  <si>
    <t>751721682620</t>
  </si>
  <si>
    <t>06:38 pm</t>
  </si>
  <si>
    <t>Paid to RITIK KUMAR</t>
  </si>
  <si>
    <t>T2605071838485930168823</t>
  </si>
  <si>
    <t>895511721885</t>
  </si>
  <si>
    <t>03:32 pm</t>
  </si>
  <si>
    <t>T2605071532187247270452</t>
  </si>
  <si>
    <t>266324685195</t>
  </si>
  <si>
    <t>02:22 pm</t>
  </si>
  <si>
    <t>Paid to POLAR BEAR</t>
  </si>
  <si>
    <t>T2605071421580013096172</t>
  </si>
  <si>
    <t>003028596003</t>
  </si>
  <si>
    <t>May 06, 2026</t>
  </si>
  <si>
    <t>10:43 pm</t>
  </si>
  <si>
    <t>T2605062242572649630144</t>
  </si>
  <si>
    <t>800453491507</t>
  </si>
  <si>
    <t>T2605062241530890696857</t>
  </si>
  <si>
    <t>509331639074</t>
  </si>
  <si>
    <t>Paid to ASMA AFROZ BEGUM</t>
  </si>
  <si>
    <t>T2605061952018385569760</t>
  </si>
  <si>
    <t>986254510464</t>
  </si>
  <si>
    <t>07:49 pm</t>
  </si>
  <si>
    <t>T2605061948517211296474</t>
  </si>
  <si>
    <t>024592984230</t>
  </si>
  <si>
    <t>Paid to SRI KANAKA DURGA VEGETABLES</t>
  </si>
  <si>
    <t>T2605061941012447948691</t>
  </si>
  <si>
    <t>425447944298</t>
  </si>
  <si>
    <t>07:29 pm</t>
  </si>
  <si>
    <t>Paid to KHAJA VEGETABLES</t>
  </si>
  <si>
    <t>T2605061929379920543494</t>
  </si>
  <si>
    <t>870820202344</t>
  </si>
  <si>
    <t>07:13 pm</t>
  </si>
  <si>
    <t>Paid to Srinivas Watchman</t>
  </si>
  <si>
    <t>T2605061913191904539655</t>
  </si>
  <si>
    <t>574526299852</t>
  </si>
  <si>
    <t>T2605061847376021234297</t>
  </si>
  <si>
    <t>991936870310</t>
  </si>
  <si>
    <t>Paid to Romm Owner</t>
  </si>
  <si>
    <t>T2605061843043430953600</t>
  </si>
  <si>
    <t>609067928986</t>
  </si>
  <si>
    <t>06:32 pm</t>
  </si>
  <si>
    <t>T2605061832484333984286</t>
  </si>
  <si>
    <t>800429979382</t>
  </si>
  <si>
    <t>05:55 pm</t>
  </si>
  <si>
    <t>T2605061755070195359020</t>
  </si>
  <si>
    <t>003371498748</t>
  </si>
  <si>
    <t>11:32 am</t>
  </si>
  <si>
    <t>Paid to INDUBAALA CARRIERS</t>
  </si>
  <si>
    <t>T2605061132500483074462</t>
  </si>
  <si>
    <t>760774322556</t>
  </si>
  <si>
    <t>May 05, 2026</t>
  </si>
  <si>
    <t>Paid to NAAGARAM</t>
  </si>
  <si>
    <t>T2605052122384575069920</t>
  </si>
  <si>
    <t>538207813771</t>
  </si>
  <si>
    <t>11:38 am</t>
  </si>
  <si>
    <t>Paid to SIDDI VINAYAKA KIRANA AND GENERAL STORE</t>
  </si>
  <si>
    <t>T2605051138310755055233</t>
  </si>
  <si>
    <t>708346359230</t>
  </si>
  <si>
    <t>11:35 am</t>
  </si>
  <si>
    <t>Paid to KPN FARM FRESH</t>
  </si>
  <si>
    <t>T2605051135299425660936</t>
  </si>
  <si>
    <t>651362161400</t>
  </si>
  <si>
    <t>11:24 am</t>
  </si>
  <si>
    <t>Paid to AL BILAL CHICKEN TRADERS</t>
  </si>
  <si>
    <t>T2605051124152153934038</t>
  </si>
  <si>
    <t>206032219900</t>
  </si>
  <si>
    <t>11:09 am</t>
  </si>
  <si>
    <t>Received from Pinni</t>
  </si>
  <si>
    <t>T2605051108586092638498</t>
  </si>
  <si>
    <t>929697428514</t>
  </si>
  <si>
    <t>05:11 am</t>
  </si>
  <si>
    <t>Paid to A R ENTERPRISES</t>
  </si>
  <si>
    <t>T2605050511103958427404</t>
  </si>
  <si>
    <t>893151974196</t>
  </si>
  <si>
    <t>May 04, 2026</t>
  </si>
  <si>
    <t>Paid to PRAVEEN REDDY KORUPO</t>
  </si>
  <si>
    <t>T2605042057300406694896</t>
  </si>
  <si>
    <t>994635312116</t>
  </si>
  <si>
    <t>08:06 pm</t>
  </si>
  <si>
    <t>Paid to RUDRA WINES</t>
  </si>
  <si>
    <t>T2605042006070256262510</t>
  </si>
  <si>
    <t>238729396911</t>
  </si>
  <si>
    <t>Received from Babai</t>
  </si>
  <si>
    <t>T2605042005205280894718</t>
  </si>
  <si>
    <t>005226741011</t>
  </si>
  <si>
    <t>T2605042005158158464338</t>
  </si>
  <si>
    <t>459204597015</t>
  </si>
  <si>
    <t>07:45 pm</t>
  </si>
  <si>
    <t>Paid to Kakarla swagruha foods</t>
  </si>
  <si>
    <t>T2605041945291704503725</t>
  </si>
  <si>
    <t>434921327805</t>
  </si>
  <si>
    <t>Received from ******1106</t>
  </si>
  <si>
    <t>T2605041220147247724207</t>
  </si>
  <si>
    <t>215995163378</t>
  </si>
  <si>
    <t>Paid to Sri kanaka durga Juice Point</t>
  </si>
  <si>
    <t>T2605041210202061965066</t>
  </si>
  <si>
    <t>841342593185</t>
  </si>
  <si>
    <t>11:39 am</t>
  </si>
  <si>
    <t>Received from Greeshma Kanipaka</t>
  </si>
  <si>
    <t>T2605041139504125509249</t>
  </si>
  <si>
    <t>610138275360</t>
  </si>
  <si>
    <t>11:18 am</t>
  </si>
  <si>
    <t>Received from User</t>
  </si>
  <si>
    <t>T2605041118128801509613</t>
  </si>
  <si>
    <t>989920953054</t>
  </si>
  <si>
    <t>10:56 am</t>
  </si>
  <si>
    <t>Paid to P6 1ST BATTALION TSSP- YOUSUFGUDA EDC 04</t>
  </si>
  <si>
    <t>T2605041056255047290790</t>
  </si>
  <si>
    <t>385300653818</t>
  </si>
  <si>
    <t>05:53 am</t>
  </si>
  <si>
    <t>OLEX2605040553373413104347</t>
  </si>
  <si>
    <t>612405760315</t>
  </si>
  <si>
    <t>05:10 am</t>
  </si>
  <si>
    <t>Paid to Uligitti  Narasimha</t>
  </si>
  <si>
    <t>T2605040510286206281325</t>
  </si>
  <si>
    <t>976143819376</t>
  </si>
  <si>
    <t>12:07 am</t>
  </si>
  <si>
    <t>Paid to T SHANKAR GADIGE</t>
  </si>
  <si>
    <t>T2605040007088228658364</t>
  </si>
  <si>
    <t>719268754920</t>
  </si>
  <si>
    <t>May 03, 2026</t>
  </si>
  <si>
    <t>09:53 pm</t>
  </si>
  <si>
    <t>Paid to UTG02e Polar Bear</t>
  </si>
  <si>
    <t>T2605032153129565246537</t>
  </si>
  <si>
    <t>423445288849</t>
  </si>
  <si>
    <t>Paid to Lulu Bangalore</t>
  </si>
  <si>
    <t>T2605032024033045560287</t>
  </si>
  <si>
    <t>374252789116</t>
  </si>
  <si>
    <t>T2605032003433134766654</t>
  </si>
  <si>
    <t>935445541079</t>
  </si>
  <si>
    <t>05:57 pm</t>
  </si>
  <si>
    <t>Paid to GOPIZZA INDIA P LTD</t>
  </si>
  <si>
    <t>T2605031757096884580820</t>
  </si>
  <si>
    <t>857789413957</t>
  </si>
  <si>
    <t>05:39 pm</t>
  </si>
  <si>
    <t>T2605031739110612433282</t>
  </si>
  <si>
    <t>950095796945</t>
  </si>
  <si>
    <t>05:38 pm</t>
  </si>
  <si>
    <t>T2605031738235609805609</t>
  </si>
  <si>
    <t>743657498829</t>
  </si>
  <si>
    <t>05:15 pm</t>
  </si>
  <si>
    <t>T2605031715130410057675</t>
  </si>
  <si>
    <t>800589209574</t>
  </si>
  <si>
    <t>Paid to BMTC BUS KA57F5775</t>
  </si>
  <si>
    <t>T2605031603469225805597</t>
  </si>
  <si>
    <t>868290750415</t>
  </si>
  <si>
    <t>01:45 pm</t>
  </si>
  <si>
    <t>T2605031345140544276184</t>
  </si>
  <si>
    <t>750217140912</t>
  </si>
  <si>
    <t>09:17 am</t>
  </si>
  <si>
    <t>OLEX2605030917455010704349</t>
  </si>
  <si>
    <t>103224104591</t>
  </si>
  <si>
    <t>May 02, 2026</t>
  </si>
  <si>
    <t>08:41 pm</t>
  </si>
  <si>
    <t>T2605022041396406325114</t>
  </si>
  <si>
    <t>543007415181</t>
  </si>
  <si>
    <t>04:51 pm</t>
  </si>
  <si>
    <t>Paid to ZOXO FRESH MART</t>
  </si>
  <si>
    <t>T2605021651046404284719</t>
  </si>
  <si>
    <t>496356797781</t>
  </si>
  <si>
    <t>01:05 am</t>
  </si>
  <si>
    <t>T2605020104582350167630</t>
  </si>
  <si>
    <t>188777952986</t>
  </si>
  <si>
    <t>May 01, 2026</t>
  </si>
  <si>
    <t>09:44 pm</t>
  </si>
  <si>
    <t>Paid to POPULAR BURGER</t>
  </si>
  <si>
    <t>T2605012144333011480701</t>
  </si>
  <si>
    <t>192517522056</t>
  </si>
  <si>
    <t>03:38 pm</t>
  </si>
  <si>
    <t>T2605011538381085607592</t>
  </si>
  <si>
    <t>242769167480</t>
  </si>
  <si>
    <t>03:33 pm</t>
  </si>
  <si>
    <t>Paid to Pure Punjabi</t>
  </si>
  <si>
    <t>T2605011533399345881417</t>
  </si>
  <si>
    <t>169274100721</t>
  </si>
  <si>
    <t>Apr 30, 2026</t>
  </si>
  <si>
    <t>T2604302050458403410033</t>
  </si>
  <si>
    <t>981374570831</t>
  </si>
  <si>
    <t>Paid to RIYA JAISWAL</t>
  </si>
  <si>
    <t>T2604302045227331509190</t>
  </si>
  <si>
    <t>738374628344</t>
  </si>
  <si>
    <t>06:17 pm</t>
  </si>
  <si>
    <t>T2604301817345170701817</t>
  </si>
  <si>
    <t>412249713355</t>
  </si>
  <si>
    <t>T2604301738138182587589</t>
  </si>
  <si>
    <t>436950616267</t>
  </si>
  <si>
    <t>10:37 am</t>
  </si>
  <si>
    <t>Paid to BASIREDDY SUSHMA</t>
  </si>
  <si>
    <t>T2604301037244451846258</t>
  </si>
  <si>
    <t>919856843290</t>
  </si>
  <si>
    <t>12:10 am</t>
  </si>
  <si>
    <t>Paid to PRAVEEN KUMAR Y K</t>
  </si>
  <si>
    <t>T2604300010400541679819</t>
  </si>
  <si>
    <t>493071458337</t>
  </si>
  <si>
    <t>Apr 29, 2026</t>
  </si>
  <si>
    <t>11:29 pm</t>
  </si>
  <si>
    <t>Paid to RENIL  BIJU</t>
  </si>
  <si>
    <t>T2604292329311518590774</t>
  </si>
  <si>
    <t>101203002282</t>
  </si>
  <si>
    <t>Paid to BIGGUYS</t>
  </si>
  <si>
    <t>T2604292136102141743706</t>
  </si>
  <si>
    <t>507161379883</t>
  </si>
  <si>
    <t>09:05 pm</t>
  </si>
  <si>
    <t>T2604292105401289712987</t>
  </si>
  <si>
    <t>058696339508</t>
  </si>
  <si>
    <t>08:51 pm</t>
  </si>
  <si>
    <t>Paid to SYED AZGAR</t>
  </si>
  <si>
    <t>T2604292051562505801565</t>
  </si>
  <si>
    <t>190818156696</t>
  </si>
  <si>
    <t>04:37 pm</t>
  </si>
  <si>
    <t>Paid to Siragugal</t>
  </si>
  <si>
    <t>T2604291637222034181268</t>
  </si>
  <si>
    <t>222657666918</t>
  </si>
  <si>
    <t>04:22 pm</t>
  </si>
  <si>
    <t>Paid to GLOBAL BAKERY</t>
  </si>
  <si>
    <t>T2604291622138772138254</t>
  </si>
  <si>
    <t>677784006477</t>
  </si>
  <si>
    <t>04:10 pm</t>
  </si>
  <si>
    <t>Paid to BMTC BUS KA57F6414</t>
  </si>
  <si>
    <t>T2604291610532380027551</t>
  </si>
  <si>
    <t>163735777897</t>
  </si>
  <si>
    <t>03:15 pm</t>
  </si>
  <si>
    <t>T2604291515541409244378</t>
  </si>
  <si>
    <t>927980978150</t>
  </si>
  <si>
    <t>03:00 pm</t>
  </si>
  <si>
    <t>Paid to AMITH KUMAR</t>
  </si>
  <si>
    <t>T2604291500504193454513</t>
  </si>
  <si>
    <t>880191397625</t>
  </si>
  <si>
    <t>10:58 am</t>
  </si>
  <si>
    <t>Paid to KAVYA</t>
  </si>
  <si>
    <t>T2604291058567515700576</t>
  </si>
  <si>
    <t>872097011568</t>
  </si>
  <si>
    <t>03:17 am</t>
  </si>
  <si>
    <t>T2604290317112640768356</t>
  </si>
  <si>
    <t>951238429251</t>
  </si>
  <si>
    <t>Apr 28, 2026</t>
  </si>
  <si>
    <t>Paid to SWIGGY INSTAMART</t>
  </si>
  <si>
    <t>T2604282106546636504606</t>
  </si>
  <si>
    <t>598644622184</t>
  </si>
  <si>
    <t>Paid to I SMOKE CHOCOLATE  MORE</t>
  </si>
  <si>
    <t>T2604282009116272661230</t>
  </si>
  <si>
    <t>358766873482</t>
  </si>
  <si>
    <t>07:59 pm</t>
  </si>
  <si>
    <t>Paid to GO HAPPY HYPER MARKET</t>
  </si>
  <si>
    <t>T2604281959325951186291</t>
  </si>
  <si>
    <t>927585913431</t>
  </si>
  <si>
    <t>07:57 pm</t>
  </si>
  <si>
    <t>Paid to GO HAPPY HYPER MARKET 2</t>
  </si>
  <si>
    <t>T2604281957223942105700</t>
  </si>
  <si>
    <t>760853094759</t>
  </si>
  <si>
    <t>Paid to BMTC BUS KA57F4244</t>
  </si>
  <si>
    <t>T2604281915190354143023</t>
  </si>
  <si>
    <t>652071394074</t>
  </si>
  <si>
    <t>03:50 pm</t>
  </si>
  <si>
    <t>Paid to PVR INOX Limited</t>
  </si>
  <si>
    <t>T2604281550402876830971</t>
  </si>
  <si>
    <t>087989711655</t>
  </si>
  <si>
    <t>03:06 pm</t>
  </si>
  <si>
    <t>T2604281506209508487588</t>
  </si>
  <si>
    <t>670149958142</t>
  </si>
  <si>
    <t>11:11 am</t>
  </si>
  <si>
    <t>T2604281111145920368508</t>
  </si>
  <si>
    <t>762628843453</t>
  </si>
  <si>
    <t>10:44 am</t>
  </si>
  <si>
    <t>T2604281044151376493067</t>
  </si>
  <si>
    <t>749016636492</t>
  </si>
  <si>
    <t>10:01 am</t>
  </si>
  <si>
    <t>Paid to SURENDRA SINGH DADAL</t>
  </si>
  <si>
    <t>T2604281001356047886522</t>
  </si>
  <si>
    <t>994552266197</t>
  </si>
  <si>
    <t>Apr 27, 2026</t>
  </si>
  <si>
    <t>Paid to UPPUTHOLLA SRINU</t>
  </si>
  <si>
    <t>T2604271845466952302537</t>
  </si>
  <si>
    <t>496993315234</t>
  </si>
  <si>
    <t>04:19 pm</t>
  </si>
  <si>
    <t>T2604271619185111003725</t>
  </si>
  <si>
    <t>600326199698</t>
  </si>
  <si>
    <t>01:02 pm</t>
  </si>
  <si>
    <t>Received from Sai Kiran savara</t>
  </si>
  <si>
    <t>T2604271302522648494349</t>
  </si>
  <si>
    <t>516119092099</t>
  </si>
  <si>
    <t>Paid to Shivarathri Arun</t>
  </si>
  <si>
    <t>T2604271143421174531490</t>
  </si>
  <si>
    <t>369884275771</t>
  </si>
  <si>
    <t>Apr 26, 2026</t>
  </si>
  <si>
    <t>09:42 pm</t>
  </si>
  <si>
    <t>Paid to Redbus India Private Limited</t>
  </si>
  <si>
    <t>T2604262142072921704808</t>
  </si>
  <si>
    <t>631099935034</t>
  </si>
  <si>
    <t>Paid to MOHD TAJIR KHAN</t>
  </si>
  <si>
    <t>T2604262046241807648537</t>
  </si>
  <si>
    <t>009792971854</t>
  </si>
  <si>
    <t>T2604262046125947874890</t>
  </si>
  <si>
    <t>504926996189</t>
  </si>
  <si>
    <t>07:31 pm</t>
  </si>
  <si>
    <t>T2604261931533991012940</t>
  </si>
  <si>
    <t>441297961903</t>
  </si>
  <si>
    <t>T2604261912043999988905</t>
  </si>
  <si>
    <t>651101265844</t>
  </si>
  <si>
    <t>Paid to G KUMARA SWAMY</t>
  </si>
  <si>
    <t>T2604261433168530510751</t>
  </si>
  <si>
    <t>078911897947</t>
  </si>
  <si>
    <t>Received from DARSI SIVA SAI PHANI KUMAR</t>
  </si>
  <si>
    <t>T2604261345444018741352</t>
  </si>
  <si>
    <t>648227183906</t>
  </si>
  <si>
    <t>Apr 25, 2026</t>
  </si>
  <si>
    <t>11:55 pm</t>
  </si>
  <si>
    <t>T2604252355548004151979</t>
  </si>
  <si>
    <t>689031687357</t>
  </si>
  <si>
    <t>09:46 pm</t>
  </si>
  <si>
    <t>Received from ******4236</t>
  </si>
  <si>
    <t>T2604252146343990296584</t>
  </si>
  <si>
    <t>342585496952</t>
  </si>
  <si>
    <t>09:21 pm</t>
  </si>
  <si>
    <t>Received from Sri Lakshmi</t>
  </si>
  <si>
    <t>T2604252121538101878061</t>
  </si>
  <si>
    <t>316884227946</t>
  </si>
  <si>
    <t>T2604252119242515603526</t>
  </si>
  <si>
    <t>817079804771</t>
  </si>
  <si>
    <t>08:02 pm</t>
  </si>
  <si>
    <t>Received from Koteswara Rao Sadineni</t>
  </si>
  <si>
    <t>T2604252002367546654075</t>
  </si>
  <si>
    <t>742946487884</t>
  </si>
  <si>
    <t>Received from ******8898</t>
  </si>
  <si>
    <t>T2604251919497008655680</t>
  </si>
  <si>
    <t>852373248363</t>
  </si>
  <si>
    <t>06:15 pm</t>
  </si>
  <si>
    <t>T2604251815168603509204</t>
  </si>
  <si>
    <t>774726979765</t>
  </si>
  <si>
    <t>06:07 pm</t>
  </si>
  <si>
    <t>Paid to Mr SHANKER DAGUDU</t>
  </si>
  <si>
    <t>T2604251807223020649930</t>
  </si>
  <si>
    <t>851545903857</t>
  </si>
  <si>
    <t>06:05 pm</t>
  </si>
  <si>
    <t>T2604251805027225760873</t>
  </si>
  <si>
    <t>639296777808</t>
  </si>
  <si>
    <t>05:59 pm</t>
  </si>
  <si>
    <t>Mobile recharged 7093233023 Jio Prepaid Reference ID 25684415466</t>
  </si>
  <si>
    <t>NX26042517590843942142751</t>
  </si>
  <si>
    <t>611755350688</t>
  </si>
  <si>
    <t>T2604251316058776621667</t>
  </si>
  <si>
    <t>551390827833</t>
  </si>
  <si>
    <t>02:38 am</t>
  </si>
  <si>
    <t>T2604250238475387212716</t>
  </si>
  <si>
    <t>434223878514</t>
  </si>
  <si>
    <t>12:20 am</t>
  </si>
  <si>
    <t>T2604250020531366621149</t>
  </si>
  <si>
    <t>451177509865</t>
  </si>
  <si>
    <t>Apr 24, 2026</t>
  </si>
  <si>
    <t>Paid to DINESH PRASAD YADAV</t>
  </si>
  <si>
    <t>T2604242343509050296544</t>
  </si>
  <si>
    <t>855742073972</t>
  </si>
  <si>
    <t>Received from Pavan Sai Krishna</t>
  </si>
  <si>
    <t>T2604242338221772345462</t>
  </si>
  <si>
    <t>652827716556</t>
  </si>
  <si>
    <t>Received from Bura Anvesh</t>
  </si>
  <si>
    <t>T2604242248068582693839</t>
  </si>
  <si>
    <t>197463032403</t>
  </si>
  <si>
    <t>Received from GOPI CHINNI</t>
  </si>
  <si>
    <t>T2604242220313897212687</t>
  </si>
  <si>
    <t>745108840947</t>
  </si>
  <si>
    <t>09:47 pm</t>
  </si>
  <si>
    <t>Received from DABBA KRANTHI KUMAR</t>
  </si>
  <si>
    <t>T2604242147290427737663</t>
  </si>
  <si>
    <t>122109801925</t>
  </si>
  <si>
    <t>Received from ******6166</t>
  </si>
  <si>
    <t>T2604242121136005056805</t>
  </si>
  <si>
    <t>456105327142</t>
  </si>
  <si>
    <t>Received from ******9407</t>
  </si>
  <si>
    <t>T2604242041304153807080</t>
  </si>
  <si>
    <t>631471248135</t>
  </si>
  <si>
    <t>Paid to Chittaboina Chandrashekar</t>
  </si>
  <si>
    <t>T2604242006520408655646</t>
  </si>
  <si>
    <t>268317004326</t>
  </si>
  <si>
    <t>Received from rohini chindam</t>
  </si>
  <si>
    <t>T2604242002127569449798</t>
  </si>
  <si>
    <t>414634908387</t>
  </si>
  <si>
    <t>06:10 pm</t>
  </si>
  <si>
    <t>T2604241810188218741257</t>
  </si>
  <si>
    <t>437865230192</t>
  </si>
  <si>
    <t>06:09 pm</t>
  </si>
  <si>
    <t>T2604241809067609569086</t>
  </si>
  <si>
    <t>660590974958</t>
  </si>
  <si>
    <t>T2604241804426019449705</t>
  </si>
  <si>
    <t>103196479909</t>
  </si>
  <si>
    <t>05:05 pm</t>
  </si>
  <si>
    <t>T2604241705284760722777</t>
  </si>
  <si>
    <t>497393835734</t>
  </si>
  <si>
    <t>04:20 pm</t>
  </si>
  <si>
    <t>T2604241620524423656461</t>
  </si>
  <si>
    <t>072559153115</t>
  </si>
  <si>
    <t>01:38 pm</t>
  </si>
  <si>
    <t>Paid to AAA CINEMAS</t>
  </si>
  <si>
    <t>T2604241338162652289630</t>
  </si>
  <si>
    <t>654354026800</t>
  </si>
  <si>
    <t>01:26 pm</t>
  </si>
  <si>
    <t>Paid to BP Ameerpet</t>
  </si>
  <si>
    <t>T2604241326429308811100</t>
  </si>
  <si>
    <t>788437265202</t>
  </si>
  <si>
    <t>01:01 pm</t>
  </si>
  <si>
    <t>Paid to Passport Seva Project</t>
  </si>
  <si>
    <t>T2604241301517544635141</t>
  </si>
  <si>
    <t>507506418005</t>
  </si>
  <si>
    <t>12:56 pm</t>
  </si>
  <si>
    <t>T2604241256529125305356</t>
  </si>
  <si>
    <t>735589478600</t>
  </si>
  <si>
    <t>11:12 am</t>
  </si>
  <si>
    <t>T2604241112200732505524</t>
  </si>
  <si>
    <t>277149861788</t>
  </si>
  <si>
    <t>09:05 am</t>
  </si>
  <si>
    <t>T2604240905484504276880</t>
  </si>
  <si>
    <t>452419961460</t>
  </si>
  <si>
    <t>Apr 23, 2026</t>
  </si>
  <si>
    <t>10:31 pm</t>
  </si>
  <si>
    <t>T2604232231205028360605</t>
  </si>
  <si>
    <t>834050016367</t>
  </si>
  <si>
    <t>09:56 pm</t>
  </si>
  <si>
    <t>Received from govindhala ugandhar</t>
  </si>
  <si>
    <t>T2604232156134252227612</t>
  </si>
  <si>
    <t>341813054553</t>
  </si>
  <si>
    <t>Paid to Shiva Ganesh fruit juice</t>
  </si>
  <si>
    <t>T2604232136434094984695</t>
  </si>
  <si>
    <t>661741066633</t>
  </si>
  <si>
    <t>09:34 pm</t>
  </si>
  <si>
    <t>Received from MADATHIPARAMBIL SURESH ARUN KUMAR</t>
  </si>
  <si>
    <t>T2604232134516879711067</t>
  </si>
  <si>
    <t>109670711817</t>
  </si>
  <si>
    <t>Paid to Ramjilal toys</t>
  </si>
  <si>
    <t>T2604232119328810643546</t>
  </si>
  <si>
    <t>941543416127</t>
  </si>
  <si>
    <t>08:58 pm</t>
  </si>
  <si>
    <t>Received from ******3825</t>
  </si>
  <si>
    <t>T2604232058097343357402</t>
  </si>
  <si>
    <t>030720573899</t>
  </si>
  <si>
    <t>Received from ******6610</t>
  </si>
  <si>
    <t>T2604232033026158360671</t>
  </si>
  <si>
    <t>243749569743</t>
  </si>
  <si>
    <t>08:01 pm</t>
  </si>
  <si>
    <t>Received from Satheesh</t>
  </si>
  <si>
    <t>T2604232001498014723915</t>
  </si>
  <si>
    <t>474267216882</t>
  </si>
  <si>
    <t>07:17 pm</t>
  </si>
  <si>
    <t>Received from ******6162</t>
  </si>
  <si>
    <t>T2604231916584244190944</t>
  </si>
  <si>
    <t>421893739578</t>
  </si>
  <si>
    <t>06:49 pm</t>
  </si>
  <si>
    <t>Received from Bandaru likith</t>
  </si>
  <si>
    <t>T2604231849457426429175</t>
  </si>
  <si>
    <t>459104778560</t>
  </si>
  <si>
    <t>06:13 pm</t>
  </si>
  <si>
    <t>Paid to Pump 9</t>
  </si>
  <si>
    <t>T2604231813277060226924</t>
  </si>
  <si>
    <t>938485573701</t>
  </si>
  <si>
    <t>01:51 pm</t>
  </si>
  <si>
    <t>T2604231351157491680389</t>
  </si>
  <si>
    <t>158872139983</t>
  </si>
  <si>
    <t>01:49 pm</t>
  </si>
  <si>
    <t>Paid to GOVINDAARAPU RAJU</t>
  </si>
  <si>
    <t>T2604231349146475583942</t>
  </si>
  <si>
    <t>966231287247</t>
  </si>
  <si>
    <t>01:07 pm</t>
  </si>
  <si>
    <t>T2604231307207252166619</t>
  </si>
  <si>
    <t>243900473158</t>
  </si>
  <si>
    <t>Paid to DASHRATH THAKUR</t>
  </si>
  <si>
    <t>T2604231210059053529273</t>
  </si>
  <si>
    <t>191867629069</t>
  </si>
  <si>
    <t>11:42 am</t>
  </si>
  <si>
    <t>Paid to SRIYA AUTO XEROX</t>
  </si>
  <si>
    <t>T2604231142379229373595</t>
  </si>
  <si>
    <t>556628958455</t>
  </si>
  <si>
    <t>12:31 am</t>
  </si>
  <si>
    <t>T2604230031192622855150</t>
  </si>
  <si>
    <t>901852176212</t>
  </si>
  <si>
    <t>12:02 am</t>
  </si>
  <si>
    <t>T2604230002142890131561</t>
  </si>
  <si>
    <t>038659102312</t>
  </si>
  <si>
    <t>Apr 22, 2026</t>
  </si>
  <si>
    <t>11:56 pm</t>
  </si>
  <si>
    <t>T2604222356485827058240</t>
  </si>
  <si>
    <t>813274010093</t>
  </si>
  <si>
    <t>11:53 pm</t>
  </si>
  <si>
    <t>Received from ******2783</t>
  </si>
  <si>
    <t>T2604222352550022253783</t>
  </si>
  <si>
    <t>712770040606</t>
  </si>
  <si>
    <t>10:51 pm</t>
  </si>
  <si>
    <t>Received from KOLAGATLA BHAVADEEPKUMAR REDDY</t>
  </si>
  <si>
    <t>T2604222251391767825787</t>
  </si>
  <si>
    <t>647875425206</t>
  </si>
  <si>
    <t>10:33 pm</t>
  </si>
  <si>
    <t>Paid to Mahendra</t>
  </si>
  <si>
    <t>T2604222233477775191173</t>
  </si>
  <si>
    <t>483675382642</t>
  </si>
  <si>
    <t>10:32 pm</t>
  </si>
  <si>
    <t>Received from DEVANSH KHANDELWAL</t>
  </si>
  <si>
    <t>T2604222232063541928650</t>
  </si>
  <si>
    <t>611216785624</t>
  </si>
  <si>
    <t>09:28 pm</t>
  </si>
  <si>
    <t>T2604222128304693232353</t>
  </si>
  <si>
    <t>978181335489</t>
  </si>
  <si>
    <t>Received from ******3421</t>
  </si>
  <si>
    <t>T2604222046168312010322</t>
  </si>
  <si>
    <t>852662600215</t>
  </si>
  <si>
    <t>Paid to MD  NAIM</t>
  </si>
  <si>
    <t>T2604222006260728088945</t>
  </si>
  <si>
    <t>811074300883</t>
  </si>
  <si>
    <t>08:04 pm</t>
  </si>
  <si>
    <t>Received from P  RUCHITA</t>
  </si>
  <si>
    <t>T2604222004579337743431</t>
  </si>
  <si>
    <t>301254491552</t>
  </si>
  <si>
    <t>Paid to P2 1ST BATTALION TSSP- YOUSUFGUDA</t>
  </si>
  <si>
    <t>T2604221849231540527866</t>
  </si>
  <si>
    <t>474331312567</t>
  </si>
  <si>
    <t>05:29 pm</t>
  </si>
  <si>
    <t>Paid to Sudheer Punjab Kulfi</t>
  </si>
  <si>
    <t>T2604221729176523984333</t>
  </si>
  <si>
    <t>076530473821</t>
  </si>
  <si>
    <t>02:00 pm</t>
  </si>
  <si>
    <t>Paid to Venu Btech 🔥🔥</t>
  </si>
  <si>
    <t>T2604221400521610185577</t>
  </si>
  <si>
    <t>868968601715</t>
  </si>
  <si>
    <t>11:44 am</t>
  </si>
  <si>
    <t>Paid to Sai tejaswi</t>
  </si>
  <si>
    <t>T2604221144002959442282</t>
  </si>
  <si>
    <t>683472955303</t>
  </si>
  <si>
    <t>Apr 21, 2026</t>
  </si>
  <si>
    <t>08:21 pm</t>
  </si>
  <si>
    <t>T2604212021548433259844</t>
  </si>
  <si>
    <t>165099492737</t>
  </si>
  <si>
    <t>12:58 pm</t>
  </si>
  <si>
    <t>Paid to Syeda Gorima</t>
  </si>
  <si>
    <t>T2604211258026191108643</t>
  </si>
  <si>
    <t>884305140746</t>
  </si>
  <si>
    <t>T2604211255591135359811</t>
  </si>
  <si>
    <t>881059104897</t>
  </si>
  <si>
    <t>12:55 pm</t>
  </si>
  <si>
    <t>T2604211255308999094406</t>
  </si>
  <si>
    <t>791509412988</t>
  </si>
  <si>
    <t>Apr 20, 2026</t>
  </si>
  <si>
    <t>T2604202044076939547415</t>
  </si>
  <si>
    <t>143900672327</t>
  </si>
  <si>
    <t>Mobile recharged 7093233023 Jio Prepaid Reference ID 25647085078</t>
  </si>
  <si>
    <t>NX26042019443946352053051</t>
  </si>
  <si>
    <t>591225388886</t>
  </si>
  <si>
    <t>02:10 pm</t>
  </si>
  <si>
    <t>T2604201410531286809566</t>
  </si>
  <si>
    <t>133311069014</t>
  </si>
  <si>
    <t>10:45 am</t>
  </si>
  <si>
    <t>T2604201045172623789379</t>
  </si>
  <si>
    <t>179181491761</t>
  </si>
  <si>
    <t>10:22 am</t>
  </si>
  <si>
    <t>T2604201022304630421088</t>
  </si>
  <si>
    <t>357301447300</t>
  </si>
  <si>
    <t>Apr 19, 2026</t>
  </si>
  <si>
    <t>10:11 pm</t>
  </si>
  <si>
    <t>T2604192211316322563079</t>
  </si>
  <si>
    <t>730236460631</t>
  </si>
  <si>
    <t>10:09 pm</t>
  </si>
  <si>
    <t>Paid to Dairy Day Ice Cream</t>
  </si>
  <si>
    <t>T2604192209256659726569</t>
  </si>
  <si>
    <t>286539261325</t>
  </si>
  <si>
    <t>06:22 pm</t>
  </si>
  <si>
    <t>T2604191822057672929328</t>
  </si>
  <si>
    <t>045271204636</t>
  </si>
  <si>
    <t>06:19 pm</t>
  </si>
  <si>
    <t>Paid to KATTUNGA VENKATAPATHIRAJU</t>
  </si>
  <si>
    <t>T2604191819562378029943</t>
  </si>
  <si>
    <t>860633480824</t>
  </si>
  <si>
    <t>03:36 pm</t>
  </si>
  <si>
    <t>T2604191535584132526132</t>
  </si>
  <si>
    <t>934559765892</t>
  </si>
  <si>
    <t>01:56 pm</t>
  </si>
  <si>
    <t>T2604191356473626084542</t>
  </si>
  <si>
    <t>067916589805</t>
  </si>
  <si>
    <t>01:50 pm</t>
  </si>
  <si>
    <t>Paid to SHAIK DILSHAD</t>
  </si>
  <si>
    <t>T2604191350188068330172</t>
  </si>
  <si>
    <t>220220774350</t>
  </si>
  <si>
    <t>01:37 pm</t>
  </si>
  <si>
    <t>Received from Charan 💗</t>
  </si>
  <si>
    <t>T2604191337319933579532</t>
  </si>
  <si>
    <t>762002849877</t>
  </si>
  <si>
    <t>12:12 pm</t>
  </si>
  <si>
    <t>T2604191212071107508846</t>
  </si>
  <si>
    <t>530056688656</t>
  </si>
  <si>
    <t>11:40 am</t>
  </si>
  <si>
    <t>Paid to P 4 SREE VENKATA SAI AUTO CARE</t>
  </si>
  <si>
    <t>T2604191140025499263104</t>
  </si>
  <si>
    <t>932402787600</t>
  </si>
  <si>
    <t>Apr 18, 2026</t>
  </si>
  <si>
    <t>10:37 pm</t>
  </si>
  <si>
    <t>Paid to Lickees Maisammaguda</t>
  </si>
  <si>
    <t>T2604182237248774753306</t>
  </si>
  <si>
    <t>533609698997</t>
  </si>
  <si>
    <t>10:01 pm</t>
  </si>
  <si>
    <t>Paid to Mahesh Juice Shop</t>
  </si>
  <si>
    <t>T2604182201477156395478</t>
  </si>
  <si>
    <t>361232341395</t>
  </si>
  <si>
    <t>09:51 pm</t>
  </si>
  <si>
    <t>T2604182151269146194517</t>
  </si>
  <si>
    <t>728959747616</t>
  </si>
  <si>
    <t>Received from CHINTHAKULA  VENU</t>
  </si>
  <si>
    <t>T2604181423373755470226</t>
  </si>
  <si>
    <t>100507829454</t>
  </si>
  <si>
    <t>01:59 pm</t>
  </si>
  <si>
    <t>Paid to Hanuman Juice Centre</t>
  </si>
  <si>
    <t>T2604181359520767169009</t>
  </si>
  <si>
    <t>055758673630</t>
  </si>
  <si>
    <t>01:53 pm</t>
  </si>
  <si>
    <t>T2604181353006889969448</t>
  </si>
  <si>
    <t>648334921720</t>
  </si>
  <si>
    <t>01:31 pm</t>
  </si>
  <si>
    <t>T2604181330589255511672</t>
  </si>
  <si>
    <t>359338539477</t>
  </si>
  <si>
    <t>01:29 pm</t>
  </si>
  <si>
    <t>Paid to SRI SAI JUICE AND SALAD</t>
  </si>
  <si>
    <t>T2604181329355821104608</t>
  </si>
  <si>
    <t>749437857010</t>
  </si>
  <si>
    <t>01:22 pm</t>
  </si>
  <si>
    <t>T2604181322278806341202</t>
  </si>
  <si>
    <t>543178004200</t>
  </si>
  <si>
    <t>Apr 17, 2026</t>
  </si>
  <si>
    <t>05:03 pm</t>
  </si>
  <si>
    <t>Paid to Coffe Hub</t>
  </si>
  <si>
    <t>T2604171703071560662882</t>
  </si>
  <si>
    <t>595613967388</t>
  </si>
  <si>
    <t>12:07 pm</t>
  </si>
  <si>
    <t>T2604171207029704006600</t>
  </si>
  <si>
    <t>794860831356</t>
  </si>
  <si>
    <t>Apr 16, 2026</t>
  </si>
  <si>
    <t>10:04 pm</t>
  </si>
  <si>
    <t>Paid to PAWAR NAVEEN</t>
  </si>
  <si>
    <t>T2604162204002509676470</t>
  </si>
  <si>
    <t>546231120197</t>
  </si>
  <si>
    <t>05:17 pm</t>
  </si>
  <si>
    <t>Received from Bava 😘</t>
  </si>
  <si>
    <t>T2604161717442618716813</t>
  </si>
  <si>
    <t>528459252443</t>
  </si>
  <si>
    <t>09:53 am</t>
  </si>
  <si>
    <t>Paid to UTTAM KUMAR</t>
  </si>
  <si>
    <t>T2604160953351049421023</t>
  </si>
  <si>
    <t>638239815805</t>
  </si>
  <si>
    <t>09:52 am</t>
  </si>
  <si>
    <t>Paid to VENNELA COMMUNICATIONS</t>
  </si>
  <si>
    <t>T2604160952532884617313</t>
  </si>
  <si>
    <t>973713024017</t>
  </si>
  <si>
    <t>09:51 am</t>
  </si>
  <si>
    <t>T2604160951358311758063</t>
  </si>
  <si>
    <t>245061843043</t>
  </si>
  <si>
    <t>Apr 15, 2026</t>
  </si>
  <si>
    <t>Paid to R K SAMOSA POINT</t>
  </si>
  <si>
    <t>T2604151703007879074317</t>
  </si>
  <si>
    <t>480822301727</t>
  </si>
  <si>
    <t>Apr 14, 2026</t>
  </si>
  <si>
    <t>09:20 pm</t>
  </si>
  <si>
    <t>T2604142120495601260767</t>
  </si>
  <si>
    <t>368851502093</t>
  </si>
  <si>
    <t>08:37 pm</t>
  </si>
  <si>
    <t>Paid to Hari nrcm</t>
  </si>
  <si>
    <t>T2604142036582241533660</t>
  </si>
  <si>
    <t>376563781524</t>
  </si>
  <si>
    <t>07:23 pm</t>
  </si>
  <si>
    <t>Paid to GARDEN BAKERY</t>
  </si>
  <si>
    <t>T2604141923273488267413</t>
  </si>
  <si>
    <t>981410817423</t>
  </si>
  <si>
    <t>Apr 13, 2026</t>
  </si>
  <si>
    <t>Paid to Sree Ganesh Xerox</t>
  </si>
  <si>
    <t>T2604132138481878568007</t>
  </si>
  <si>
    <t>957059099512</t>
  </si>
  <si>
    <t>Paid to BIG DADDY MANDI &amp; RESTAURANT</t>
  </si>
  <si>
    <t>T2604131953389927233446</t>
  </si>
  <si>
    <t>174199352625</t>
  </si>
  <si>
    <t>Paid to P2 SAI SIRI AUTO CARE DULAPALLY</t>
  </si>
  <si>
    <t>T2604131609524785849873</t>
  </si>
  <si>
    <t>629348519513</t>
  </si>
  <si>
    <t>Paid to Anusha Fruit juice point</t>
  </si>
  <si>
    <t>T2604131337023854368112</t>
  </si>
  <si>
    <t>287783560566</t>
  </si>
  <si>
    <t>09:50 am</t>
  </si>
  <si>
    <t>T2604130950092106166521</t>
  </si>
  <si>
    <t>320260949078</t>
  </si>
  <si>
    <t>Apr 12, 2026</t>
  </si>
  <si>
    <t>08:54 pm</t>
  </si>
  <si>
    <t>T2604122054429133371717</t>
  </si>
  <si>
    <t>832303414802</t>
  </si>
  <si>
    <t>T2604122052469945128037</t>
  </si>
  <si>
    <t>093135119253</t>
  </si>
  <si>
    <t>05:43 pm</t>
  </si>
  <si>
    <t>T2604121743311396166391</t>
  </si>
  <si>
    <t>610218762839</t>
  </si>
  <si>
    <t>Paid to Ravindra</t>
  </si>
  <si>
    <t>T2604121739117216372135</t>
  </si>
  <si>
    <t>890127128603</t>
  </si>
  <si>
    <t>T2604121734543448116577</t>
  </si>
  <si>
    <t>348257182498</t>
  </si>
  <si>
    <t>05:26 pm</t>
  </si>
  <si>
    <t>T2604121726241253471287</t>
  </si>
  <si>
    <t>117499113037</t>
  </si>
  <si>
    <t>09:23 am</t>
  </si>
  <si>
    <t>T2604120923330282225778</t>
  </si>
  <si>
    <t>608011094199</t>
  </si>
  <si>
    <t>Apr 11, 2026</t>
  </si>
  <si>
    <t>T2604112353334201357210</t>
  </si>
  <si>
    <t>358904106163</t>
  </si>
  <si>
    <t>T2604112013267779185904</t>
  </si>
  <si>
    <t>476457205458</t>
  </si>
  <si>
    <t>Paid to SRI TIRMULA STATIONARY</t>
  </si>
  <si>
    <t>T2604111001143174533198</t>
  </si>
  <si>
    <t>938720065254</t>
  </si>
  <si>
    <t>09:57 am</t>
  </si>
  <si>
    <t>T2604110957298307820516</t>
  </si>
  <si>
    <t>152571935097</t>
  </si>
  <si>
    <t>Apr 10, 2026</t>
  </si>
  <si>
    <t>11:36 pm</t>
  </si>
  <si>
    <t>Paid to Ventak Sai. Bava</t>
  </si>
  <si>
    <t>T2604102335599835433967</t>
  </si>
  <si>
    <t>174409568132</t>
  </si>
  <si>
    <t>Paid to RAMKISHORE SINGH</t>
  </si>
  <si>
    <t>T2604102239129596151225</t>
  </si>
  <si>
    <t>364530316714</t>
  </si>
  <si>
    <t>T2604102210545716573742</t>
  </si>
  <si>
    <t>569763374079</t>
  </si>
  <si>
    <t>Received from Harsha Vardhan.Drlg Mm ❤</t>
  </si>
  <si>
    <t>T2604102127030357903755</t>
  </si>
  <si>
    <t>747790839085</t>
  </si>
  <si>
    <t>T2604102033487576958309</t>
  </si>
  <si>
    <t>686481285544</t>
  </si>
  <si>
    <t>03:34 pm</t>
  </si>
  <si>
    <t>Paid to KADARI JITHENDHAR YA</t>
  </si>
  <si>
    <t>T2604101534020928249697</t>
  </si>
  <si>
    <t>465086519351</t>
  </si>
  <si>
    <t>03:28 pm</t>
  </si>
  <si>
    <t>T2604101528399043918868</t>
  </si>
  <si>
    <t>918458020262</t>
  </si>
  <si>
    <t>T2604101450586279427385</t>
  </si>
  <si>
    <t>177031400696</t>
  </si>
  <si>
    <t>Apr 09, 2026</t>
  </si>
  <si>
    <t>08:25 pm</t>
  </si>
  <si>
    <t>Paid to Poojitha Kiranam</t>
  </si>
  <si>
    <t>T2604092025313453782561</t>
  </si>
  <si>
    <t>869282813672</t>
  </si>
  <si>
    <t>Paid to ANANTHALAKSHMI GAJULAPALLI</t>
  </si>
  <si>
    <t>T2604091932262124381326</t>
  </si>
  <si>
    <t>071913813134</t>
  </si>
  <si>
    <t>03:26 pm</t>
  </si>
  <si>
    <t>T2604091526491594786685</t>
  </si>
  <si>
    <t>066635924635</t>
  </si>
  <si>
    <t>Apr 08, 2026</t>
  </si>
  <si>
    <t>02:24 pm</t>
  </si>
  <si>
    <t>Paid to ASHOK MILLK</t>
  </si>
  <si>
    <t>T2604081424421443461933</t>
  </si>
  <si>
    <t>892224792332</t>
  </si>
  <si>
    <t>01:33 pm</t>
  </si>
  <si>
    <t>T2604081333124497750913</t>
  </si>
  <si>
    <t>457566579544</t>
  </si>
  <si>
    <t>01:20 pm</t>
  </si>
  <si>
    <t>Paid to Abdul  Saleem</t>
  </si>
  <si>
    <t>T2604081320545911711704</t>
  </si>
  <si>
    <t>198661767300</t>
  </si>
  <si>
    <t>01:11 pm</t>
  </si>
  <si>
    <t>T2604081311220883555240</t>
  </si>
  <si>
    <t>803125965793</t>
  </si>
  <si>
    <t>11:03 am</t>
  </si>
  <si>
    <t>OLEX2604081103010409604373</t>
  </si>
  <si>
    <t>609811584951</t>
  </si>
  <si>
    <t>T2604081102448710102575</t>
  </si>
  <si>
    <t>700053910265</t>
  </si>
  <si>
    <t>10:12 am</t>
  </si>
  <si>
    <t>Received from BINGI VENKAT SAI</t>
  </si>
  <si>
    <t>T2604081012150631032463</t>
  </si>
  <si>
    <t>121257244453</t>
  </si>
  <si>
    <t>Apr 07, 2026</t>
  </si>
  <si>
    <t>09:39 pm</t>
  </si>
  <si>
    <t>T2604072139450364337490</t>
  </si>
  <si>
    <t>252702918793</t>
  </si>
  <si>
    <t>07:24 pm</t>
  </si>
  <si>
    <t>Paid to Medisetti Srinu Goud</t>
  </si>
  <si>
    <t>T2604071923553242455352</t>
  </si>
  <si>
    <t>445907154912</t>
  </si>
  <si>
    <t>T2604071910064675045032</t>
  </si>
  <si>
    <t>908058893348</t>
  </si>
  <si>
    <t>T2604071909306581296365</t>
  </si>
  <si>
    <t>721697589434</t>
  </si>
  <si>
    <t>06:16 pm</t>
  </si>
  <si>
    <t>Paid to Srinu Manne02</t>
  </si>
  <si>
    <t>T2604071816375788775340</t>
  </si>
  <si>
    <t>994175114072</t>
  </si>
  <si>
    <t>04:50 pm</t>
  </si>
  <si>
    <t>T2604071650123234848403</t>
  </si>
  <si>
    <t>860220280971</t>
  </si>
  <si>
    <t>04:48 pm</t>
  </si>
  <si>
    <t>Paid to ANGARA VANI KUMARI</t>
  </si>
  <si>
    <t>T2604071648118292988976</t>
  </si>
  <si>
    <t>367826044429</t>
  </si>
  <si>
    <t>Paid to Vadlamudi Sravani</t>
  </si>
  <si>
    <t>T2604071637451890595999</t>
  </si>
  <si>
    <t>953016482879</t>
  </si>
  <si>
    <t>01:55 pm</t>
  </si>
  <si>
    <t>Payment to JioHotstar</t>
  </si>
  <si>
    <t>OM2604071355204992369776V</t>
  </si>
  <si>
    <t>609741422586</t>
  </si>
  <si>
    <t>Paid by XXXXXX6646</t>
  </si>
  <si>
    <t>10:31 am</t>
  </si>
  <si>
    <t>Paid to DIYA STORE</t>
  </si>
  <si>
    <t>T2604071031118695851620</t>
  </si>
  <si>
    <t>776448919542</t>
  </si>
  <si>
    <t>Apr 06, 2026</t>
  </si>
  <si>
    <t>T2604061954511859276596</t>
  </si>
  <si>
    <t>771056092414</t>
  </si>
  <si>
    <t>T2604061954226430665693</t>
  </si>
  <si>
    <t>240406266609</t>
  </si>
  <si>
    <t>T2604061954157860751635</t>
  </si>
  <si>
    <t>133087879078</t>
  </si>
  <si>
    <t>T2604061944244727781862</t>
  </si>
  <si>
    <t>836841961630</t>
  </si>
  <si>
    <t>02:49 pm</t>
  </si>
  <si>
    <t>T2604061449167635434739</t>
  </si>
  <si>
    <t>728651505233</t>
  </si>
  <si>
    <t>T2604061447522995480570</t>
  </si>
  <si>
    <t>439229542355</t>
  </si>
  <si>
    <t>Paid to RAJU PRASAD YADAV</t>
  </si>
  <si>
    <t>T2604061442410305997771</t>
  </si>
  <si>
    <t>743860514910</t>
  </si>
  <si>
    <t>T2604061429497874588444</t>
  </si>
  <si>
    <t>385668897069</t>
  </si>
  <si>
    <t>Apr 05, 2026</t>
  </si>
  <si>
    <t>Paid to SANA FATIMA</t>
  </si>
  <si>
    <t>T2604051953374612767423</t>
  </si>
  <si>
    <t>516910051496</t>
  </si>
  <si>
    <t>T2604051953020534519315</t>
  </si>
  <si>
    <t>315690635591</t>
  </si>
  <si>
    <t>07:51 pm</t>
  </si>
  <si>
    <t>Paid to Shaheen Chicken Maarket</t>
  </si>
  <si>
    <t>T2604051951079329593726</t>
  </si>
  <si>
    <t>462289588224</t>
  </si>
  <si>
    <t>11:59 am</t>
  </si>
  <si>
    <t>T2604051159187394939222</t>
  </si>
  <si>
    <t>073697967987</t>
  </si>
  <si>
    <t>T2604051158362001116636</t>
  </si>
  <si>
    <t>559641218694</t>
  </si>
  <si>
    <t>11:57 am</t>
  </si>
  <si>
    <t>T2604051157282652696376</t>
  </si>
  <si>
    <t>982653659237</t>
  </si>
  <si>
    <t>11:53 am</t>
  </si>
  <si>
    <t>T2604051153477999977684</t>
  </si>
  <si>
    <t>064623124889</t>
  </si>
  <si>
    <t>T2604051142299554873398</t>
  </si>
  <si>
    <t>002314578861</t>
  </si>
  <si>
    <t>T2604051140173958798276</t>
  </si>
  <si>
    <t>856953382640</t>
  </si>
  <si>
    <t>T2604051138387681310150</t>
  </si>
  <si>
    <t>237981090485</t>
  </si>
  <si>
    <t>T2604051131569900602790</t>
  </si>
  <si>
    <t>574651121205</t>
  </si>
  <si>
    <t>Apr 04, 2026</t>
  </si>
  <si>
    <t>11:48 pm</t>
  </si>
  <si>
    <t>T2604042348526706784594</t>
  </si>
  <si>
    <t>138359649068</t>
  </si>
  <si>
    <t>Paid to BANDI NIKITHA</t>
  </si>
  <si>
    <t>T2604041741487190671287</t>
  </si>
  <si>
    <t>078479892465</t>
  </si>
  <si>
    <t>05:31 pm</t>
  </si>
  <si>
    <t>T2604041731113506941559</t>
  </si>
  <si>
    <t>875532944146</t>
  </si>
  <si>
    <t>05:01 pm</t>
  </si>
  <si>
    <t>Paid to ELLABELLI PADMAVATHI</t>
  </si>
  <si>
    <t>T2604041701386111787988</t>
  </si>
  <si>
    <t>724488385906</t>
  </si>
  <si>
    <t>04:04 pm</t>
  </si>
  <si>
    <t>T2604041604003739593575</t>
  </si>
  <si>
    <t>388005235559</t>
  </si>
  <si>
    <t>03:58 pm</t>
  </si>
  <si>
    <t>Paid to IRFAN SO FAKRUDDIN</t>
  </si>
  <si>
    <t>T2604041558416112740108</t>
  </si>
  <si>
    <t>124279371061</t>
  </si>
  <si>
    <t>05:45 am</t>
  </si>
  <si>
    <t>Paid to BANARSI PAN MAHAL</t>
  </si>
  <si>
    <t>T2604040545304389627685</t>
  </si>
  <si>
    <t>859199889261</t>
  </si>
  <si>
    <t>Apr 03, 2026</t>
  </si>
  <si>
    <t>11:26 pm</t>
  </si>
  <si>
    <t>T2604032326189814087602</t>
  </si>
  <si>
    <t>566166352406</t>
  </si>
  <si>
    <t>08:36 pm</t>
  </si>
  <si>
    <t>T2604032036141632456837</t>
  </si>
  <si>
    <t>417083423834</t>
  </si>
  <si>
    <t>T2604031954027906805539</t>
  </si>
  <si>
    <t>167027842853</t>
  </si>
  <si>
    <t>T2604031953401101586967</t>
  </si>
  <si>
    <t>033040023543</t>
  </si>
  <si>
    <t>T2604031703173617347825</t>
  </si>
  <si>
    <t>092342977835</t>
  </si>
  <si>
    <t>11:34 am</t>
  </si>
  <si>
    <t>Paid to NRCM Canteen</t>
  </si>
  <si>
    <t>T2604031134074479627764</t>
  </si>
  <si>
    <t>961437758342</t>
  </si>
  <si>
    <t>09:02 am</t>
  </si>
  <si>
    <t>OLEX2604030902480219604906</t>
  </si>
  <si>
    <t>103039168416</t>
  </si>
  <si>
    <t>07:50 am</t>
  </si>
  <si>
    <t>Paid to Sri Sai Manikanta Tiffins</t>
  </si>
  <si>
    <t>T2604030750199027398888</t>
  </si>
  <si>
    <t>747166251877</t>
  </si>
  <si>
    <t>Apr 02, 2026</t>
  </si>
  <si>
    <t>Paid to KGN 777 LIFE STYLE</t>
  </si>
  <si>
    <t>T2604022158366922958281</t>
  </si>
  <si>
    <t>147454171366</t>
  </si>
  <si>
    <t>09:41 pm</t>
  </si>
  <si>
    <t>T2604022141052517124785</t>
  </si>
  <si>
    <t>692688647783</t>
  </si>
  <si>
    <t>08:59 pm</t>
  </si>
  <si>
    <t>T2604022059269047340930</t>
  </si>
  <si>
    <t>572913617569</t>
  </si>
  <si>
    <t>T2604022059001814823254</t>
  </si>
  <si>
    <t>452785564074</t>
  </si>
  <si>
    <t>Received from ******5455</t>
  </si>
  <si>
    <t>T2604021622395833177300</t>
  </si>
  <si>
    <t>206029461471</t>
  </si>
  <si>
    <t>04:06 pm</t>
  </si>
  <si>
    <t>T2604021605578490644010</t>
  </si>
  <si>
    <t>842748629568</t>
  </si>
  <si>
    <t>03:12 pm</t>
  </si>
  <si>
    <t>T2604021512118812225240</t>
  </si>
  <si>
    <t>926711600578</t>
  </si>
  <si>
    <t>02:41 pm</t>
  </si>
  <si>
    <t>T2604021441504291596686</t>
  </si>
  <si>
    <t>051168954356</t>
  </si>
  <si>
    <t>02:15 pm</t>
  </si>
  <si>
    <t>Paid to NRCM STATIONERY</t>
  </si>
  <si>
    <t>T2604021415201688232173</t>
  </si>
  <si>
    <t>031600692612</t>
  </si>
  <si>
    <t>T2604021359021267834179</t>
  </si>
  <si>
    <t>319187710011</t>
  </si>
  <si>
    <t>01:52 pm</t>
  </si>
  <si>
    <t>T2604021352463765236788</t>
  </si>
  <si>
    <t>277028120221</t>
  </si>
  <si>
    <t>12:52 pm</t>
  </si>
  <si>
    <t>Paid to KOLI RAJU</t>
  </si>
  <si>
    <t>T2604021252513027367744</t>
  </si>
  <si>
    <t>992290363249</t>
  </si>
  <si>
    <t>12:41 pm</t>
  </si>
  <si>
    <t>Received from ******6375</t>
  </si>
  <si>
    <t>T2604021241357772225340</t>
  </si>
  <si>
    <t>371190904829</t>
  </si>
  <si>
    <t>Received from Vicky</t>
  </si>
  <si>
    <t>T2604021143006644794304</t>
  </si>
  <si>
    <t>662566738720</t>
  </si>
  <si>
    <t>11:36 am</t>
  </si>
  <si>
    <t>T2604021135577815315606</t>
  </si>
  <si>
    <t>118435081271</t>
  </si>
  <si>
    <t>11:26 am</t>
  </si>
  <si>
    <t>Received from Sai Nivas</t>
  </si>
  <si>
    <t>T2604021126413461652669</t>
  </si>
  <si>
    <t>138228190850</t>
  </si>
  <si>
    <t>11:14 am</t>
  </si>
  <si>
    <t>T2604021114529127452258</t>
  </si>
  <si>
    <t>145438705769</t>
  </si>
  <si>
    <t>Received from Rohitha Frnd</t>
  </si>
  <si>
    <t>T2604021111265022143229</t>
  </si>
  <si>
    <t>697352379454</t>
  </si>
  <si>
    <t>09:37 am</t>
  </si>
  <si>
    <t>T2604020937030822263080</t>
  </si>
  <si>
    <t>997829336698</t>
  </si>
  <si>
    <t>Apr 01, 2026</t>
  </si>
  <si>
    <t>T2604012051337854451963</t>
  </si>
  <si>
    <t>742260586351</t>
  </si>
  <si>
    <t>T2604012045564954778663</t>
  </si>
  <si>
    <t>012847269084</t>
  </si>
  <si>
    <t>T2604011945133950545804</t>
  </si>
  <si>
    <t>741239629712</t>
  </si>
  <si>
    <t>05:00 pm</t>
  </si>
  <si>
    <t>T2604011700034522617008</t>
  </si>
  <si>
    <t>390229993992</t>
  </si>
  <si>
    <t>T2604011022437291169369</t>
  </si>
  <si>
    <t>098889629420</t>
  </si>
  <si>
    <t>10:15 am</t>
  </si>
  <si>
    <t>T2604011015053757142075</t>
  </si>
  <si>
    <t>692878061286</t>
  </si>
  <si>
    <t>T2604011013077136581161</t>
  </si>
  <si>
    <t>623292304944</t>
  </si>
  <si>
    <t>Mar 31, 2026</t>
  </si>
  <si>
    <t>Received from YARLAGADDA RAGHAVENDRA RAO</t>
  </si>
  <si>
    <t>T2603312115005691873252</t>
  </si>
  <si>
    <t>120875036900</t>
  </si>
  <si>
    <t>Received from D S S VARMA</t>
  </si>
  <si>
    <t>T2603312047310865800649</t>
  </si>
  <si>
    <t>120873257127</t>
  </si>
  <si>
    <t>08:10 pm</t>
  </si>
  <si>
    <t>Received from Anitha</t>
  </si>
  <si>
    <t>T2603312009556406581246</t>
  </si>
  <si>
    <t>883351243287</t>
  </si>
  <si>
    <t>07:37 pm</t>
  </si>
  <si>
    <t>Received from KOLLI DHRIVA UG KOLLI SYAM PRASAD</t>
  </si>
  <si>
    <t>T2603311937552275881643</t>
  </si>
  <si>
    <t>609034390812</t>
  </si>
  <si>
    <t>Received from Harsha</t>
  </si>
  <si>
    <t>T2603311813461195604745</t>
  </si>
  <si>
    <t>598783739550</t>
  </si>
  <si>
    <t>05:35 pm</t>
  </si>
  <si>
    <t>Received from BURRA  SATHWIKA</t>
  </si>
  <si>
    <t>T2603311735447947578688</t>
  </si>
  <si>
    <t>001453766690</t>
  </si>
  <si>
    <t>05:07 pm</t>
  </si>
  <si>
    <t>Received from Rafi Anna Accenture</t>
  </si>
  <si>
    <t>T2603311707235312988998</t>
  </si>
  <si>
    <t>086412815539</t>
  </si>
  <si>
    <t>Paid to MAHESHWARI CHAAT AND FOOD</t>
  </si>
  <si>
    <t>T2603311603465096633428</t>
  </si>
  <si>
    <t>042437229915</t>
  </si>
  <si>
    <t>03:57 pm</t>
  </si>
  <si>
    <t>Received from Srikanth Goud</t>
  </si>
  <si>
    <t>T2603311557110559550238</t>
  </si>
  <si>
    <t>498788531483</t>
  </si>
  <si>
    <t>12:18 pm</t>
  </si>
  <si>
    <t>T2603311218489494207420</t>
  </si>
  <si>
    <t>191760598044</t>
  </si>
  <si>
    <t>12:17 pm</t>
  </si>
  <si>
    <t>T2603311217552251817656</t>
  </si>
  <si>
    <t>124610294178</t>
  </si>
  <si>
    <t>Mar 30, 2026</t>
  </si>
  <si>
    <t>T2603302206098952896710</t>
  </si>
  <si>
    <t>529410343468</t>
  </si>
  <si>
    <t>Paid to Bell Puri</t>
  </si>
  <si>
    <t>T2603302119301778483659</t>
  </si>
  <si>
    <t>040010294370</t>
  </si>
  <si>
    <t>09:17 pm</t>
  </si>
  <si>
    <t>Paid to Charan 💗</t>
  </si>
  <si>
    <t>T2603302117261305055392</t>
  </si>
  <si>
    <t>467141711048</t>
  </si>
  <si>
    <t>09:10 pm</t>
  </si>
  <si>
    <t>T2603302110115801934309</t>
  </si>
  <si>
    <t>058370577190</t>
  </si>
  <si>
    <t>Received from DEEPSHIKA J</t>
  </si>
  <si>
    <t>T2603302039334985513915</t>
  </si>
  <si>
    <t>109486751714</t>
  </si>
  <si>
    <t>08:17 pm</t>
  </si>
  <si>
    <t>Received from DASARI SAILUSHA</t>
  </si>
  <si>
    <t>T2603302017452142896087</t>
  </si>
  <si>
    <t>608947042295</t>
  </si>
  <si>
    <t>10:39 am</t>
  </si>
  <si>
    <t>T2603301039313495626108</t>
  </si>
  <si>
    <t>614942995444</t>
  </si>
  <si>
    <t>10:35 am</t>
  </si>
  <si>
    <t>T2603301035427135151054</t>
  </si>
  <si>
    <t>184507943464</t>
  </si>
  <si>
    <t>10:23 am</t>
  </si>
  <si>
    <t>T2603301023056694872983</t>
  </si>
  <si>
    <t>993336941312</t>
  </si>
  <si>
    <t>Mar 29, 2026</t>
  </si>
  <si>
    <t>09:09 pm</t>
  </si>
  <si>
    <t>Paid to Edunetwork Private Limited</t>
  </si>
  <si>
    <t>T2603292109101519347710</t>
  </si>
  <si>
    <t>768585059308</t>
  </si>
  <si>
    <t>T2603292107252324132375</t>
  </si>
  <si>
    <t>430567053983</t>
  </si>
  <si>
    <t>T2603292050465754358786</t>
  </si>
  <si>
    <t>682449340762</t>
  </si>
  <si>
    <t>08:27 pm</t>
  </si>
  <si>
    <t>T2603292027512226862428</t>
  </si>
  <si>
    <t>327201723775</t>
  </si>
  <si>
    <t>T2603292020142413528799</t>
  </si>
  <si>
    <t>878668239697</t>
  </si>
  <si>
    <t>T2603292016349781000636</t>
  </si>
  <si>
    <t>252603985296</t>
  </si>
  <si>
    <t>T2603291651116066856814</t>
  </si>
  <si>
    <t>269770675052</t>
  </si>
  <si>
    <t>03:35 pm</t>
  </si>
  <si>
    <t>Paid to NEETISH KUMAR</t>
  </si>
  <si>
    <t>T2603291535346783491136</t>
  </si>
  <si>
    <t>680741271242</t>
  </si>
  <si>
    <t>12:03 pm</t>
  </si>
  <si>
    <t>Paid to A1 mobiles</t>
  </si>
  <si>
    <t>T2603291203174640382463</t>
  </si>
  <si>
    <t>178064409062</t>
  </si>
  <si>
    <t>Received from Rahul Sai Yarram</t>
  </si>
  <si>
    <t>T2603291158514558897037</t>
  </si>
  <si>
    <t>973126332264</t>
  </si>
  <si>
    <t>09:49 am</t>
  </si>
  <si>
    <t>T2603290949379900471946</t>
  </si>
  <si>
    <t>556386655602</t>
  </si>
  <si>
    <t>01:48 am</t>
  </si>
  <si>
    <t>Received from Vijay Kumar</t>
  </si>
  <si>
    <t>T2603290148533895792484</t>
  </si>
  <si>
    <t>794702773770</t>
  </si>
  <si>
    <t>01:07 am</t>
  </si>
  <si>
    <t>Received from AGAM SACHAN</t>
  </si>
  <si>
    <t>T2603290107087664277949</t>
  </si>
  <si>
    <t>608891542935</t>
  </si>
  <si>
    <t>12:33 am</t>
  </si>
  <si>
    <t>Received from S GNANA PRAKASH</t>
  </si>
  <si>
    <t>T2603290033309583528499</t>
  </si>
  <si>
    <t>608834062388</t>
  </si>
  <si>
    <t>Mar 28, 2026</t>
  </si>
  <si>
    <t>11:23 pm</t>
  </si>
  <si>
    <t>Received from GUJJULA NIRANJAN REDDY</t>
  </si>
  <si>
    <t>T2603282323493158897490</t>
  </si>
  <si>
    <t>120730414551</t>
  </si>
  <si>
    <t>Paid to Jatprole filling station hpcl</t>
  </si>
  <si>
    <t>T2603282248042601136474</t>
  </si>
  <si>
    <t>578209080107</t>
  </si>
  <si>
    <t>Received from Karthik Ngrm</t>
  </si>
  <si>
    <t>T2603282214230041715587</t>
  </si>
  <si>
    <t>537556731832</t>
  </si>
  <si>
    <t>T2603281849348972402398</t>
  </si>
  <si>
    <t>519639491439</t>
  </si>
  <si>
    <t>T2603281849171351388577</t>
  </si>
  <si>
    <t>456151382306</t>
  </si>
  <si>
    <t>04:59 pm</t>
  </si>
  <si>
    <t>T2603281659089113387847</t>
  </si>
  <si>
    <t>058666975670</t>
  </si>
  <si>
    <t>04:57 pm</t>
  </si>
  <si>
    <t>T2603281657326718145458</t>
  </si>
  <si>
    <t>812103742645</t>
  </si>
  <si>
    <t>Paid to Zepto Marketplace Private Limited</t>
  </si>
  <si>
    <t>T2603281549009086015261</t>
  </si>
  <si>
    <t>468066563240</t>
  </si>
  <si>
    <t>T2603281547579851482426</t>
  </si>
  <si>
    <t>691292759349</t>
  </si>
  <si>
    <t>01:12 am</t>
  </si>
  <si>
    <t>T2603280112110528953375</t>
  </si>
  <si>
    <t>536676552545</t>
  </si>
  <si>
    <t>12:27 am</t>
  </si>
  <si>
    <t>Paid to ETERNAL LIMITED</t>
  </si>
  <si>
    <t>T2603280027036010650933</t>
  </si>
  <si>
    <t>609046193701</t>
  </si>
  <si>
    <t>Mar 27, 2026</t>
  </si>
  <si>
    <t>Paid to SRAVANTHI YADA</t>
  </si>
  <si>
    <t>T2603272025171599357319</t>
  </si>
  <si>
    <t>035988351640</t>
  </si>
  <si>
    <t>Received from Sundar Thodeti</t>
  </si>
  <si>
    <t>T2603272012284673361798</t>
  </si>
  <si>
    <t>323002318905</t>
  </si>
  <si>
    <t>07:02 pm</t>
  </si>
  <si>
    <t>Paid to ACHA SRINIVAS</t>
  </si>
  <si>
    <t>T2603271902130136701750</t>
  </si>
  <si>
    <t>343654444711</t>
  </si>
  <si>
    <t>08:45 am</t>
  </si>
  <si>
    <t>T2603270845197303129396</t>
  </si>
  <si>
    <t>185916744394</t>
  </si>
  <si>
    <t>08:11 am</t>
  </si>
  <si>
    <t>Paid to GOLDEN STORE</t>
  </si>
  <si>
    <t>T2603270811176589643925</t>
  </si>
  <si>
    <t>848165365454</t>
  </si>
  <si>
    <t>08:06 am</t>
  </si>
  <si>
    <t>T2603270806324759857672</t>
  </si>
  <si>
    <t>913092848401</t>
  </si>
  <si>
    <t>02:08 am</t>
  </si>
  <si>
    <t>T2603270208523324886302</t>
  </si>
  <si>
    <t>599648441418</t>
  </si>
  <si>
    <t>Mar 26, 2026</t>
  </si>
  <si>
    <t>Paid to Vijaya Grain merchant</t>
  </si>
  <si>
    <t>T2603262338047342129052</t>
  </si>
  <si>
    <t>836818465363</t>
  </si>
  <si>
    <t>11:27 pm</t>
  </si>
  <si>
    <t>T2603262327087835555937</t>
  </si>
  <si>
    <t>115689217382</t>
  </si>
  <si>
    <t>T2603262312506611869895</t>
  </si>
  <si>
    <t>733893129005</t>
  </si>
  <si>
    <t>11:10 pm</t>
  </si>
  <si>
    <t>Received from PENDELA VENKATA SUBRAHMANYAM</t>
  </si>
  <si>
    <t>T2603262310000738480007</t>
  </si>
  <si>
    <t>645116356031</t>
  </si>
  <si>
    <t>Received from Nava Chaitanya Reddy Medapati</t>
  </si>
  <si>
    <t>T2603262241516083048827</t>
  </si>
  <si>
    <t>651694450905</t>
  </si>
  <si>
    <t>Paid to BHIM YADAV</t>
  </si>
  <si>
    <t>T2603262151295306208817</t>
  </si>
  <si>
    <t>629631449335</t>
  </si>
  <si>
    <t>Received from THOTDHARWON RAIHING</t>
  </si>
  <si>
    <t>T2603262148315195459933</t>
  </si>
  <si>
    <t>608558586641</t>
  </si>
  <si>
    <t>T2603262114260000351424</t>
  </si>
  <si>
    <t>314231280761</t>
  </si>
  <si>
    <t>Received from Guti Pardha Saradhi</t>
  </si>
  <si>
    <t>T2603262111468006550871</t>
  </si>
  <si>
    <t>608521286450</t>
  </si>
  <si>
    <t>Paid to NAYAN FOOD AND BEVERAGES</t>
  </si>
  <si>
    <t>T2603262057176307110305</t>
  </si>
  <si>
    <t>323182665284</t>
  </si>
  <si>
    <t>Received from HARSH SANTOSH SHELAR</t>
  </si>
  <si>
    <t>T2603262037183751985607</t>
  </si>
  <si>
    <t>602289253224</t>
  </si>
  <si>
    <t>07:58 pm</t>
  </si>
  <si>
    <t>Received from girija shankar</t>
  </si>
  <si>
    <t>T2603261958204241084090</t>
  </si>
  <si>
    <t>162255139845</t>
  </si>
  <si>
    <t>08:49 am</t>
  </si>
  <si>
    <t>T2603260849364815395510</t>
  </si>
  <si>
    <t>603223752668</t>
  </si>
  <si>
    <t>05:18 am</t>
  </si>
  <si>
    <t>Paid to G K Tiffins</t>
  </si>
  <si>
    <t>T2603260518093779864497</t>
  </si>
  <si>
    <t>851393227833</t>
  </si>
  <si>
    <t>Mar 25, 2026</t>
  </si>
  <si>
    <t>11:07 pm</t>
  </si>
  <si>
    <t>Received from shivanand</t>
  </si>
  <si>
    <t>T2603252307336286126991</t>
  </si>
  <si>
    <t>662687022646</t>
  </si>
  <si>
    <t>Received from ANJALI M</t>
  </si>
  <si>
    <t>T2603252209582168824046</t>
  </si>
  <si>
    <t>562432218920</t>
  </si>
  <si>
    <t>09:00 pm</t>
  </si>
  <si>
    <t>Paid to BIRADAR ADITI</t>
  </si>
  <si>
    <t>T2603252100524923777504</t>
  </si>
  <si>
    <t>881226427032</t>
  </si>
  <si>
    <t>Paid to Aditya juice point</t>
  </si>
  <si>
    <t>T2603252044170774827374</t>
  </si>
  <si>
    <t>839526037990</t>
  </si>
  <si>
    <t>08:35 pm</t>
  </si>
  <si>
    <t>Received from Mrs Vellanki Lakshmi Sunitha</t>
  </si>
  <si>
    <t>T2603252035442722067746</t>
  </si>
  <si>
    <t>645016895617</t>
  </si>
  <si>
    <t>Received from Vinil Kumar N</t>
  </si>
  <si>
    <t>T2603252017247828824978</t>
  </si>
  <si>
    <t>719047492631</t>
  </si>
  <si>
    <t>T2603251709172072667610</t>
  </si>
  <si>
    <t>542364168959</t>
  </si>
  <si>
    <t>04:58 pm</t>
  </si>
  <si>
    <t>T2603251658133970991080</t>
  </si>
  <si>
    <t>662687291465</t>
  </si>
  <si>
    <t>T2603251533200857250258</t>
  </si>
  <si>
    <t>556358698992</t>
  </si>
  <si>
    <t>02:47 am</t>
  </si>
  <si>
    <t>T2603250247218038824653</t>
  </si>
  <si>
    <t>245238245404</t>
  </si>
  <si>
    <t>02:35 am</t>
  </si>
  <si>
    <t>T2603250234567422043764</t>
  </si>
  <si>
    <t>334019723302</t>
  </si>
  <si>
    <t>02:34 am</t>
  </si>
  <si>
    <t>T2603250234208951158953</t>
  </si>
  <si>
    <t>026520704472</t>
  </si>
  <si>
    <t>12:15 am</t>
  </si>
  <si>
    <t>T2603250015407628348614</t>
  </si>
  <si>
    <t>940198375516</t>
  </si>
  <si>
    <t>Mar 24, 2026</t>
  </si>
  <si>
    <t>11:34 pm</t>
  </si>
  <si>
    <t>T2603242334446579582247</t>
  </si>
  <si>
    <t>867937752725</t>
  </si>
  <si>
    <t>Paid to KUSHAMI DEVI</t>
  </si>
  <si>
    <t>T2603242119188000071867</t>
  </si>
  <si>
    <t>817790061059</t>
  </si>
  <si>
    <t>02:02 pm</t>
  </si>
  <si>
    <t>T2603241402393703822753</t>
  </si>
  <si>
    <t>852187623430</t>
  </si>
  <si>
    <t>01:44 pm</t>
  </si>
  <si>
    <t>Paid to SYED FAIYAZ AHMED</t>
  </si>
  <si>
    <t>T2603241344070333882652</t>
  </si>
  <si>
    <t>312575562454</t>
  </si>
  <si>
    <t>01:35 pm</t>
  </si>
  <si>
    <t>Paid to GURRAM PRAVEEN REDDY</t>
  </si>
  <si>
    <t>T2603241335044551576385</t>
  </si>
  <si>
    <t>678977627386</t>
  </si>
  <si>
    <t>11:04 am</t>
  </si>
  <si>
    <t>Paid to SYED OMER</t>
  </si>
  <si>
    <t>T2603241104198427162453</t>
  </si>
  <si>
    <t>440223676448</t>
  </si>
  <si>
    <t>10:55 am</t>
  </si>
  <si>
    <t>Received from APPIKONDA DHANA LAKS</t>
  </si>
  <si>
    <t>T2603241055252452419318</t>
  </si>
  <si>
    <t>608303419923</t>
  </si>
  <si>
    <t>06:47 am</t>
  </si>
  <si>
    <t>T2603240647227636529557</t>
  </si>
  <si>
    <t>816913589512</t>
  </si>
  <si>
    <t>06:29 am</t>
  </si>
  <si>
    <t>Received from kantha krishna</t>
  </si>
  <si>
    <t>T2603240629241452998812</t>
  </si>
  <si>
    <t>562187338940</t>
  </si>
  <si>
    <t>Mar 23, 2026</t>
  </si>
  <si>
    <t>04:28 pm</t>
  </si>
  <si>
    <t>T2603231627500420662517</t>
  </si>
  <si>
    <t>757892676844</t>
  </si>
  <si>
    <t>04:04 am</t>
  </si>
  <si>
    <t>T2603230404206435611208</t>
  </si>
  <si>
    <t>685639332520</t>
  </si>
  <si>
    <t>03:07 am</t>
  </si>
  <si>
    <t>Received from Mahendar jupaka</t>
  </si>
  <si>
    <t>T2603230306593561717738</t>
  </si>
  <si>
    <t>459546701652</t>
  </si>
  <si>
    <t>Mar 22, 2026</t>
  </si>
  <si>
    <t>Received from GADIRAJU REVANTH SAI</t>
  </si>
  <si>
    <t>T2603222132021480034002</t>
  </si>
  <si>
    <t>120431026870</t>
  </si>
  <si>
    <t>Received from K Vasu Deva Reddy</t>
  </si>
  <si>
    <t>T2603222106385750237097</t>
  </si>
  <si>
    <t>238039452547</t>
  </si>
  <si>
    <t>Payment to SAAVN MEDIA LIMITED</t>
  </si>
  <si>
    <t>OLEX2603221619078409839996</t>
  </si>
  <si>
    <t>644706134314</t>
  </si>
  <si>
    <t>03:53 pm</t>
  </si>
  <si>
    <t>Mobile recharged 7093233023 Jio Prepaid Reference ID 25416766352</t>
  </si>
  <si>
    <t>NB26032215531590113032072</t>
  </si>
  <si>
    <t>144741939502</t>
  </si>
  <si>
    <t>T2603221439301260152302</t>
  </si>
  <si>
    <t>275213184231</t>
  </si>
  <si>
    <t>10:48 am</t>
  </si>
  <si>
    <t>Paid to Praveen</t>
  </si>
  <si>
    <t>T2603221048493478592438</t>
  </si>
  <si>
    <t>531455092816</t>
  </si>
  <si>
    <t>03:19 am</t>
  </si>
  <si>
    <t>T2603220319486342746322</t>
  </si>
  <si>
    <t>784449165051</t>
  </si>
  <si>
    <t>Mar 21, 2026</t>
  </si>
  <si>
    <t>06:59 pm</t>
  </si>
  <si>
    <t>Mobile recharged 7093233023 Jio Prepaid Reference ID 25410360495</t>
  </si>
  <si>
    <t>NB26032118591024907947222</t>
  </si>
  <si>
    <t>082645985682</t>
  </si>
  <si>
    <t>01:28 pm</t>
  </si>
  <si>
    <t>Paid to Pavarala  Abisai</t>
  </si>
  <si>
    <t>T2603211328257474994569</t>
  </si>
  <si>
    <t>663973355045</t>
  </si>
  <si>
    <t>01:25 pm</t>
  </si>
  <si>
    <t>T2603211325489044537000</t>
  </si>
  <si>
    <t>985117106532</t>
  </si>
  <si>
    <t>Mar 20, 2026</t>
  </si>
  <si>
    <t>11:21 pm</t>
  </si>
  <si>
    <t>T2603202321238176843105</t>
  </si>
  <si>
    <t>593417143615</t>
  </si>
  <si>
    <t>Paid to BRANCH INTERNATIONAL FINANCIAL SERVICES PVT LTD</t>
  </si>
  <si>
    <t>T2603202117260759168413</t>
  </si>
  <si>
    <t>812550418519</t>
  </si>
  <si>
    <t>Received from BROKENTUSK TECHNOLOGIES PVT LTD</t>
  </si>
  <si>
    <t>T2603202102123928751218</t>
  </si>
  <si>
    <t>607999956145</t>
  </si>
  <si>
    <t>Credited to XXXXXX6646</t>
  </si>
  <si>
    <t>Paid to BROKENTUSK TECHNOLOGIES PVT LTD</t>
  </si>
  <si>
    <t>T2603202102012137244367</t>
  </si>
  <si>
    <t>974570134991</t>
  </si>
  <si>
    <t>T2603202101386692230630</t>
  </si>
  <si>
    <t>607999871070</t>
  </si>
  <si>
    <t>T2603202101265820457216</t>
  </si>
  <si>
    <t>186048065555</t>
  </si>
  <si>
    <t>T2603202058465496257049</t>
  </si>
  <si>
    <t>607999871134</t>
  </si>
  <si>
    <t>T2603202058300633226172</t>
  </si>
  <si>
    <t>460634191359</t>
  </si>
  <si>
    <t>T2603202050274658237726</t>
  </si>
  <si>
    <t>168183912648</t>
  </si>
  <si>
    <t>05:48 pm</t>
  </si>
  <si>
    <t>Paid to MAA DBS FUEL&amp;ENERGY STATION</t>
  </si>
  <si>
    <t>T2603201747528679863325</t>
  </si>
  <si>
    <t>685759308913</t>
  </si>
  <si>
    <t>05:44 pm</t>
  </si>
  <si>
    <t>Paid to Mrs  AZRA  BUTHUL</t>
  </si>
  <si>
    <t>T2603201744051035752925</t>
  </si>
  <si>
    <t>014440754936</t>
  </si>
  <si>
    <t>Received from Daddy</t>
  </si>
  <si>
    <t>T2603201743309966123964</t>
  </si>
  <si>
    <t>483244637088</t>
  </si>
  <si>
    <t>05:33 pm</t>
  </si>
  <si>
    <t>T2603201733525444310552</t>
  </si>
  <si>
    <t>945548218099</t>
  </si>
  <si>
    <t>Paid to D RAMESH</t>
  </si>
  <si>
    <t>T2603201715290832302084</t>
  </si>
  <si>
    <t>268991561770</t>
  </si>
  <si>
    <t>04:39 pm</t>
  </si>
  <si>
    <t>Mobile recharged 7093233023 Jio Prepaid Reference ID 25401021474</t>
  </si>
  <si>
    <t>NB26032016394889147968472</t>
  </si>
  <si>
    <t>787279553472</t>
  </si>
  <si>
    <t>12:47 pm</t>
  </si>
  <si>
    <t>T2603201247144209633339</t>
  </si>
  <si>
    <t>963307755018</t>
  </si>
  <si>
    <t>Mar 19, 2026</t>
  </si>
  <si>
    <t>Paid to Mr Koyyada Anjaney</t>
  </si>
  <si>
    <t>T2603190820437359581720</t>
  </si>
  <si>
    <t>400106428065</t>
  </si>
  <si>
    <t>Received from Gogu  Harshawardhan</t>
  </si>
  <si>
    <t>T2603190007028261179443</t>
  </si>
  <si>
    <t>644468815515</t>
  </si>
  <si>
    <t>Mar 18, 2026</t>
  </si>
  <si>
    <t>11:25 pm</t>
  </si>
  <si>
    <t>Paid to Mohammed Azhar  Hussain</t>
  </si>
  <si>
    <t>T2603182324100787288559</t>
  </si>
  <si>
    <t>428117691816</t>
  </si>
  <si>
    <t>T2603182312009849702132</t>
  </si>
  <si>
    <t>974166962233</t>
  </si>
  <si>
    <t>11:06 pm</t>
  </si>
  <si>
    <t>Received from Deborah  Saji</t>
  </si>
  <si>
    <t>T2603182306026319815842</t>
  </si>
  <si>
    <t>644350170270</t>
  </si>
  <si>
    <t>10:30 pm</t>
  </si>
  <si>
    <t>Received from SHANIGARAM VEERA CHANDANA</t>
  </si>
  <si>
    <t>T2603182230428620062656</t>
  </si>
  <si>
    <t>607715739374</t>
  </si>
  <si>
    <t>Received from DIPESH ANIL UPADHYAY</t>
  </si>
  <si>
    <t>T2603182214515531733082</t>
  </si>
  <si>
    <t>644357863157</t>
  </si>
  <si>
    <t>09:37 pm</t>
  </si>
  <si>
    <t>T2603182137437266698958</t>
  </si>
  <si>
    <t>123863702933</t>
  </si>
  <si>
    <t>Received from Gangavarapu Raja Ratnam</t>
  </si>
  <si>
    <t>T2603182110585280523914</t>
  </si>
  <si>
    <t>644332251962</t>
  </si>
  <si>
    <t>08:34 pm</t>
  </si>
  <si>
    <t>Received from Ramesh Pakam</t>
  </si>
  <si>
    <t>T2603182034219874457604</t>
  </si>
  <si>
    <t>167672063234</t>
  </si>
  <si>
    <t>08:15 pm</t>
  </si>
  <si>
    <t>Received from K KALI YADAV</t>
  </si>
  <si>
    <t>T2603182015398160857228</t>
  </si>
  <si>
    <t>644370550090</t>
  </si>
  <si>
    <t>03:18 pm</t>
  </si>
  <si>
    <t>T2603181518513920458716</t>
  </si>
  <si>
    <t>560374165067</t>
  </si>
  <si>
    <t>03:13 am</t>
  </si>
  <si>
    <t>T2603180313495777083399</t>
  </si>
  <si>
    <t>109468593513</t>
  </si>
  <si>
    <t>Mar 17, 2026</t>
  </si>
  <si>
    <t>Paid to Aunty Tiffin Centre</t>
  </si>
  <si>
    <t>T2603172006389194222296</t>
  </si>
  <si>
    <t>020575107440</t>
  </si>
  <si>
    <t>06:30 pm</t>
  </si>
  <si>
    <t>T2603171830552384840954</t>
  </si>
  <si>
    <t>264204156125</t>
  </si>
  <si>
    <t>Paid to Sri Laxmi Motor Works</t>
  </si>
  <si>
    <t>T2603171133220038273840</t>
  </si>
  <si>
    <t>024773838761</t>
  </si>
  <si>
    <t>11:19 am</t>
  </si>
  <si>
    <t>Paid to AYYAPPA FOAM WASH AND POLISHING</t>
  </si>
  <si>
    <t>T2603171119026210420299</t>
  </si>
  <si>
    <t>995867997460</t>
  </si>
  <si>
    <t>T2603171108059836069752</t>
  </si>
  <si>
    <t>913173926115</t>
  </si>
  <si>
    <t>10:40 am</t>
  </si>
  <si>
    <t>T2603171039570091248020</t>
  </si>
  <si>
    <t>893495146810</t>
  </si>
  <si>
    <t>01:58 am</t>
  </si>
  <si>
    <t>T2603170158142145847212</t>
  </si>
  <si>
    <t>996407305938</t>
  </si>
  <si>
    <t>Mar 16, 2026</t>
  </si>
  <si>
    <t>Paid to SRI MARUTHI PROVISIONAL STORES</t>
  </si>
  <si>
    <t>T2603162127021835573862</t>
  </si>
  <si>
    <t>916578056477</t>
  </si>
  <si>
    <t>09:25 pm</t>
  </si>
  <si>
    <t>T2603162125208709564791</t>
  </si>
  <si>
    <t>601973474146</t>
  </si>
  <si>
    <t>07:25 pm</t>
  </si>
  <si>
    <t>T2603161925026059863829</t>
  </si>
  <si>
    <t>540245464845</t>
  </si>
  <si>
    <t>02:31 am</t>
  </si>
  <si>
    <t>Paid to ASHOK SERV STATION IOCL</t>
  </si>
  <si>
    <t>T2603160231487929975790</t>
  </si>
  <si>
    <t>344932484295</t>
  </si>
  <si>
    <t>02:24 am</t>
  </si>
  <si>
    <t>T2603160224428568223700</t>
  </si>
  <si>
    <t>868407543020</t>
  </si>
  <si>
    <t>Mar 15, 2026</t>
  </si>
  <si>
    <t>T2603152149261572840405</t>
  </si>
  <si>
    <t>392412179167</t>
  </si>
  <si>
    <t>03:31 pm</t>
  </si>
  <si>
    <t>Paid to mPokket</t>
  </si>
  <si>
    <t>T2603151531502930647830</t>
  </si>
  <si>
    <t>561964963598</t>
  </si>
  <si>
    <t>T2603151531165581135777</t>
  </si>
  <si>
    <t>928766066486</t>
  </si>
  <si>
    <t>03:30 pm</t>
  </si>
  <si>
    <t>T2603151530092667153334</t>
  </si>
  <si>
    <t>341089141992</t>
  </si>
  <si>
    <t>T2603151527411922361765</t>
  </si>
  <si>
    <t>775689422004</t>
  </si>
  <si>
    <t>T2603151527313321069614</t>
  </si>
  <si>
    <t>192262059132</t>
  </si>
  <si>
    <t>05:21 am</t>
  </si>
  <si>
    <t>T2603150521474497552183</t>
  </si>
  <si>
    <t>053870411658</t>
  </si>
  <si>
    <t>01:43 am</t>
  </si>
  <si>
    <t>Received from Akash Dutta</t>
  </si>
  <si>
    <t>T2603150143355388396291</t>
  </si>
  <si>
    <t>249105156174</t>
  </si>
  <si>
    <t>12:44 am</t>
  </si>
  <si>
    <t>Received from Tharun Patel</t>
  </si>
  <si>
    <t>T2603150044218865257772</t>
  </si>
  <si>
    <t>764004947022</t>
  </si>
  <si>
    <t>Mar 14, 2026</t>
  </si>
  <si>
    <t>Received from SAHIL  AHUJA</t>
  </si>
  <si>
    <t>T2603142353368738834341</t>
  </si>
  <si>
    <t>643921450494</t>
  </si>
  <si>
    <t>11:31 pm</t>
  </si>
  <si>
    <t>Received from ******0955</t>
  </si>
  <si>
    <t>T2603142331490248964226</t>
  </si>
  <si>
    <t>079574627863</t>
  </si>
  <si>
    <t>Received from BYAGARI   NAGARAJU</t>
  </si>
  <si>
    <t>T2603142308029216947715</t>
  </si>
  <si>
    <t>643920371541</t>
  </si>
  <si>
    <t>Received from ******5685</t>
  </si>
  <si>
    <t>T2603142239456746947614</t>
  </si>
  <si>
    <t>324961279085</t>
  </si>
  <si>
    <t>09:59 pm</t>
  </si>
  <si>
    <t>Received from Mr Edula Prashanth</t>
  </si>
  <si>
    <t>T2603142159129554193438</t>
  </si>
  <si>
    <t>643919762086</t>
  </si>
  <si>
    <t>Received from AJAMBAR DAS</t>
  </si>
  <si>
    <t>T2603142121172630940744</t>
  </si>
  <si>
    <t>607356326170</t>
  </si>
  <si>
    <t>06:36 pm</t>
  </si>
  <si>
    <t>T2603141836280983685612</t>
  </si>
  <si>
    <t>767627753991</t>
  </si>
  <si>
    <t>Paid to Muthyala Kumar Swami</t>
  </si>
  <si>
    <t>T2603141835026436797896</t>
  </si>
  <si>
    <t>920067119440</t>
  </si>
  <si>
    <t>02:58 pm</t>
  </si>
  <si>
    <t>T2603141458191744852481</t>
  </si>
  <si>
    <t>648890061648</t>
  </si>
  <si>
    <t>02:56 pm</t>
  </si>
  <si>
    <t>T2603141456429971935982</t>
  </si>
  <si>
    <t>484658329560</t>
  </si>
  <si>
    <t>12:19 am</t>
  </si>
  <si>
    <t>T2603140019416657552127</t>
  </si>
  <si>
    <t>112336546907</t>
  </si>
  <si>
    <t>Mar 13, 2026</t>
  </si>
  <si>
    <t>Received from ******3868</t>
  </si>
  <si>
    <t>T2603132342042438240517</t>
  </si>
  <si>
    <t>921889633927</t>
  </si>
  <si>
    <t>Received from NALLAPU MAHESH</t>
  </si>
  <si>
    <t>T2603132321199780465684</t>
  </si>
  <si>
    <t>201874382308</t>
  </si>
  <si>
    <t>Paid to DU Pump 7</t>
  </si>
  <si>
    <t>T2603132231207822358924</t>
  </si>
  <si>
    <t>872328159011</t>
  </si>
  <si>
    <t>10:24 pm</t>
  </si>
  <si>
    <t>Received from SUSHMA PRAVEEN GADIPE</t>
  </si>
  <si>
    <t>T2603132224161040742396</t>
  </si>
  <si>
    <t>607285931771</t>
  </si>
  <si>
    <t>Received from Mimosa Saha</t>
  </si>
  <si>
    <t>T2603132046129428491759</t>
  </si>
  <si>
    <t>980062692267</t>
  </si>
  <si>
    <t>Received from Lakshmi Narayan</t>
  </si>
  <si>
    <t>T2603132027447654769880</t>
  </si>
  <si>
    <t>114200128509</t>
  </si>
  <si>
    <t>T2603131632056746775894</t>
  </si>
  <si>
    <t>283498097674</t>
  </si>
  <si>
    <t>04:30 pm</t>
  </si>
  <si>
    <t>T2603131630133873466174</t>
  </si>
  <si>
    <t>730409480138</t>
  </si>
  <si>
    <t>12:05 am</t>
  </si>
  <si>
    <t>Paid to ZAYAKA FOOD COURT</t>
  </si>
  <si>
    <t>T2603130005400982110896</t>
  </si>
  <si>
    <t>628656535813</t>
  </si>
  <si>
    <t>Mar 12, 2026</t>
  </si>
  <si>
    <t>10:08 pm</t>
  </si>
  <si>
    <t>T2603122207563850693660</t>
  </si>
  <si>
    <t>658491789729</t>
  </si>
  <si>
    <t>07:56 pm</t>
  </si>
  <si>
    <t>Mobile recharged 7093233023 Jio Prepaid Reference ID 25341418284</t>
  </si>
  <si>
    <t>NB26031219560662577579392</t>
  </si>
  <si>
    <t>512108964443</t>
  </si>
  <si>
    <t>T2603121116444633084840</t>
  </si>
  <si>
    <t>962112293900</t>
  </si>
  <si>
    <t>10:18 am</t>
  </si>
  <si>
    <t>Paid to Narsimha Reddy Engineering College PTM60312802827912628241202603121018</t>
  </si>
  <si>
    <t>201755603751</t>
  </si>
  <si>
    <t>T2603121012418335324743</t>
  </si>
  <si>
    <t>528910406974</t>
  </si>
  <si>
    <t>Mar 11, 2026</t>
  </si>
  <si>
    <t>T2603112111282360388611</t>
  </si>
  <si>
    <t>707452042790</t>
  </si>
  <si>
    <t>T2603112110316806416658</t>
  </si>
  <si>
    <t>294846718737</t>
  </si>
  <si>
    <t>T2603111116011860852908</t>
  </si>
  <si>
    <t>964483539313</t>
  </si>
  <si>
    <t>Mar 10, 2026</t>
  </si>
  <si>
    <t>T2603101012092977634860</t>
  </si>
  <si>
    <t>187390887701</t>
  </si>
  <si>
    <t>Mar 09, 2026</t>
  </si>
  <si>
    <t>11:24 pm</t>
  </si>
  <si>
    <t>T2603092324265952066037</t>
  </si>
  <si>
    <t>920583072131</t>
  </si>
  <si>
    <t>Paid to SWIGGY</t>
  </si>
  <si>
    <t>T2603092323316432677117</t>
  </si>
  <si>
    <t>747326013752</t>
  </si>
  <si>
    <t>07:36 pm</t>
  </si>
  <si>
    <t>T2603091936573672532277</t>
  </si>
  <si>
    <t>116822460073</t>
  </si>
  <si>
    <t>06:42 pm</t>
  </si>
  <si>
    <t>Paid to RAJAMMA  VEMULA</t>
  </si>
  <si>
    <t>T2603091842370219580366</t>
  </si>
  <si>
    <t>449355061023</t>
  </si>
  <si>
    <t>06:41 pm</t>
  </si>
  <si>
    <t>T2603091841428477592855</t>
  </si>
  <si>
    <t>079020923038</t>
  </si>
  <si>
    <t>10:02 am</t>
  </si>
  <si>
    <t>T2603091002384717451639</t>
  </si>
  <si>
    <t>129561376004</t>
  </si>
  <si>
    <t>Mar 08, 2026</t>
  </si>
  <si>
    <t>T2603082310233826218924</t>
  </si>
  <si>
    <t>903788678537</t>
  </si>
  <si>
    <t>Paid to CHEPYALA SRIKANTH GOUD</t>
  </si>
  <si>
    <t>T2603082032351272714684</t>
  </si>
  <si>
    <t>374874230897</t>
  </si>
  <si>
    <t>08:30 pm</t>
  </si>
  <si>
    <t>T2603082030419279220116</t>
  </si>
  <si>
    <t>378706754562</t>
  </si>
  <si>
    <t>Paid to KRIMMY THICKSHAKES</t>
  </si>
  <si>
    <t>T2603082017431473327873</t>
  </si>
  <si>
    <t>371981692680</t>
  </si>
  <si>
    <t>T2603082016521615956060</t>
  </si>
  <si>
    <t>385785389518</t>
  </si>
  <si>
    <t>T2603082012311046674729</t>
  </si>
  <si>
    <t>881375191071</t>
  </si>
  <si>
    <t>T2603081951118295383458</t>
  </si>
  <si>
    <t>540666094894</t>
  </si>
  <si>
    <t>Paid to J K PAN SHOP</t>
  </si>
  <si>
    <t>T2603081816597706913807</t>
  </si>
  <si>
    <t>827467824982</t>
  </si>
  <si>
    <t>04:34 pm</t>
  </si>
  <si>
    <t>Paid to RENTMOJO</t>
  </si>
  <si>
    <t>T2603081634519516966239</t>
  </si>
  <si>
    <t>835030906370</t>
  </si>
  <si>
    <t>T2603081634285862670650</t>
  </si>
  <si>
    <t>215752110230</t>
  </si>
  <si>
    <t>03:56 pm</t>
  </si>
  <si>
    <t>T2603081555567416913686</t>
  </si>
  <si>
    <t>100015643467</t>
  </si>
  <si>
    <t>03:54 pm</t>
  </si>
  <si>
    <t>T2603081554481120545893</t>
  </si>
  <si>
    <t>809912801695</t>
  </si>
  <si>
    <t>T2603081554479012804092</t>
  </si>
  <si>
    <t>208884711568</t>
  </si>
  <si>
    <t>T2603081554386539081868</t>
  </si>
  <si>
    <t>266048190838</t>
  </si>
  <si>
    <t>03:04 pm</t>
  </si>
  <si>
    <t>T2603081504120955178568</t>
  </si>
  <si>
    <t>084485038701</t>
  </si>
  <si>
    <t>06:08 am</t>
  </si>
  <si>
    <t>Paid to TAQUEI HAIDER</t>
  </si>
  <si>
    <t>T2603080608261880593458</t>
  </si>
  <si>
    <t>999868221057</t>
  </si>
  <si>
    <t>T2603080608317781075337</t>
  </si>
  <si>
    <t>858298725964</t>
  </si>
  <si>
    <t>06:07 am</t>
  </si>
  <si>
    <t>T2603080607304365122911</t>
  </si>
  <si>
    <t>761088937234</t>
  </si>
  <si>
    <t>06:06 am</t>
  </si>
  <si>
    <t>T2603080606314125011118</t>
  </si>
  <si>
    <t>607374048742</t>
  </si>
  <si>
    <t>06:05 am</t>
  </si>
  <si>
    <t>T2603080605449856337799</t>
  </si>
  <si>
    <t>159481989973</t>
  </si>
  <si>
    <t>04:25 am</t>
  </si>
  <si>
    <t>Paid to SRK Shawarma AND MAGGIE POINT</t>
  </si>
  <si>
    <t>T2603080425403817458344</t>
  </si>
  <si>
    <t>899619224702</t>
  </si>
  <si>
    <t>03:59 am</t>
  </si>
  <si>
    <t>T2603080359308293009896</t>
  </si>
  <si>
    <t>006024347213</t>
  </si>
  <si>
    <t>Mar 07, 2026</t>
  </si>
  <si>
    <t>04:14 pm</t>
  </si>
  <si>
    <t>Paid to Asian Tea</t>
  </si>
  <si>
    <t>T2603071614045139492454</t>
  </si>
  <si>
    <t>772512617908</t>
  </si>
  <si>
    <t>Mar 05, 2026</t>
  </si>
  <si>
    <t>11:16 pm</t>
  </si>
  <si>
    <t>T2603052316245765353046</t>
  </si>
  <si>
    <t>033828722652</t>
  </si>
  <si>
    <t>T2603052119305519215054</t>
  </si>
  <si>
    <t>622650588818</t>
  </si>
  <si>
    <t>T2603052119113246975827</t>
  </si>
  <si>
    <t>608544857330</t>
  </si>
  <si>
    <t>08:19 pm</t>
  </si>
  <si>
    <t>T2603052019113181857059</t>
  </si>
  <si>
    <t>409652330256</t>
  </si>
  <si>
    <t>T2603051931552759739506</t>
  </si>
  <si>
    <t>460314229191</t>
  </si>
  <si>
    <t>T2603051931533996268822</t>
  </si>
  <si>
    <t>158797051553</t>
  </si>
  <si>
    <t>12:02 pm</t>
  </si>
  <si>
    <t>T2603051202451130904933</t>
  </si>
  <si>
    <t>494209346287</t>
  </si>
  <si>
    <t>12:52 am</t>
  </si>
  <si>
    <t>T2603050052518193448068</t>
  </si>
  <si>
    <t>284584765758</t>
  </si>
  <si>
    <t>Mar 04, 2026</t>
  </si>
  <si>
    <t>11:17 pm</t>
  </si>
  <si>
    <t>T2603042316582946356210</t>
  </si>
  <si>
    <t>460341310629</t>
  </si>
  <si>
    <t>05:27 pm</t>
  </si>
  <si>
    <t>Paid to YESUBABU CHINTAPALLI</t>
  </si>
  <si>
    <t>T2603041727216926782281</t>
  </si>
  <si>
    <t>112374752477</t>
  </si>
  <si>
    <t>05:24 pm</t>
  </si>
  <si>
    <t>T2603041724137424683587</t>
  </si>
  <si>
    <t>079948590251</t>
  </si>
  <si>
    <t>T2603041654141483219906</t>
  </si>
  <si>
    <t>496278020503</t>
  </si>
  <si>
    <t>T2603041653203891108667</t>
  </si>
  <si>
    <t>262882618766</t>
  </si>
  <si>
    <t>10:53 am</t>
  </si>
  <si>
    <t>T2603041053327548426234</t>
  </si>
  <si>
    <t>261673080531</t>
  </si>
  <si>
    <t>10:52 am</t>
  </si>
  <si>
    <t>T2603041052043946762489</t>
  </si>
  <si>
    <t>521108204137</t>
  </si>
  <si>
    <t>10:49 am</t>
  </si>
  <si>
    <t>Paid to Panduu Wifi</t>
  </si>
  <si>
    <t>T2603041049269698426953</t>
  </si>
  <si>
    <t>513761871996</t>
  </si>
  <si>
    <t>12:34 am</t>
  </si>
  <si>
    <t>T2603040034081268224213</t>
  </si>
  <si>
    <t>682010761430</t>
  </si>
  <si>
    <t>T2603040034007926268438</t>
  </si>
  <si>
    <t>587380851173</t>
  </si>
  <si>
    <t>T2603040033187282595651</t>
  </si>
  <si>
    <t>833127774117</t>
  </si>
  <si>
    <t>Mar 03, 2026</t>
  </si>
  <si>
    <t>11:39 pm</t>
  </si>
  <si>
    <t>T2603032339021305464198</t>
  </si>
  <si>
    <t>671610882564</t>
  </si>
  <si>
    <t>Paid to jubleehill fillling station</t>
  </si>
  <si>
    <t>T2603032050509831348626</t>
  </si>
  <si>
    <t>997107202696</t>
  </si>
  <si>
    <t>06:30 am</t>
  </si>
  <si>
    <t>OLEX2603030630470838822194</t>
  </si>
  <si>
    <t>102832752391</t>
  </si>
  <si>
    <t>12:25 am</t>
  </si>
  <si>
    <t>Paid to Kalinga tiffin centre</t>
  </si>
  <si>
    <t>T2603030025077006398944</t>
  </si>
  <si>
    <t>453997986154</t>
  </si>
  <si>
    <t>T2603030014018078953361</t>
  </si>
  <si>
    <t>371967875783</t>
  </si>
  <si>
    <t>Mar 02, 2026</t>
  </si>
  <si>
    <t>Received from BALJINDER</t>
  </si>
  <si>
    <t>T2603022143154618470584</t>
  </si>
  <si>
    <t>642714367754</t>
  </si>
  <si>
    <t>05:51 pm</t>
  </si>
  <si>
    <t>Paid to Sainath Filling Station</t>
  </si>
  <si>
    <t>T2603021751376591559965</t>
  </si>
  <si>
    <t>237840642653</t>
  </si>
  <si>
    <t>04:36 pm</t>
  </si>
  <si>
    <t>T2603021636271677262276</t>
  </si>
  <si>
    <t>385325130292</t>
  </si>
  <si>
    <t>Paid to SHAIK ARRIF</t>
  </si>
  <si>
    <t>T2603021634331936781212</t>
  </si>
  <si>
    <t>742072977484</t>
  </si>
  <si>
    <t>03:59 pm</t>
  </si>
  <si>
    <t>T2603021559430159066789</t>
  </si>
  <si>
    <t>882068803501</t>
  </si>
  <si>
    <t>03:17 pm</t>
  </si>
  <si>
    <t>T2603021517096086569334</t>
  </si>
  <si>
    <t>063821046418</t>
  </si>
  <si>
    <t>12:49 pm</t>
  </si>
  <si>
    <t>Paid to SAI YOGESHWARA KIRANAM AND GENERAL STORE</t>
  </si>
  <si>
    <t>T2603021249268508266542</t>
  </si>
  <si>
    <t>734447453626</t>
  </si>
  <si>
    <t>02:36 am</t>
  </si>
  <si>
    <t>Paid to NAMALA  AVINASH</t>
  </si>
  <si>
    <t>T2603020236284397043500</t>
  </si>
  <si>
    <t>655797471856</t>
  </si>
  <si>
    <t>Paid to Mamu pan mahal</t>
  </si>
  <si>
    <t>T2603020231466739854694</t>
  </si>
  <si>
    <t>126901924041</t>
  </si>
  <si>
    <t>02:14 am</t>
  </si>
  <si>
    <t>T2603020214306800973598</t>
  </si>
  <si>
    <t>119366075010</t>
  </si>
  <si>
    <t>Mar 01, 2026</t>
  </si>
  <si>
    <t>T2603012256504861666772</t>
  </si>
  <si>
    <t>162187871750</t>
  </si>
  <si>
    <t>T2603011943187727414316</t>
  </si>
  <si>
    <t>646475724000</t>
  </si>
  <si>
    <t>07:40 pm</t>
  </si>
  <si>
    <t>Received from UTTURI JAYASRI</t>
  </si>
  <si>
    <t>T2603011939598772693061</t>
  </si>
  <si>
    <t>398166654199</t>
  </si>
  <si>
    <t>06:52 pm</t>
  </si>
  <si>
    <t>T2603011852108807870661</t>
  </si>
  <si>
    <t>363214695929</t>
  </si>
  <si>
    <t>Paid to ROYAL KITCHEN WARE</t>
  </si>
  <si>
    <t>T2603011842371092158083</t>
  </si>
  <si>
    <t>857050925408</t>
  </si>
  <si>
    <t>03:25 pm</t>
  </si>
  <si>
    <t>T2603011525151636870895</t>
  </si>
  <si>
    <t>865989451950</t>
  </si>
  <si>
    <t>03:23 pm</t>
  </si>
  <si>
    <t>Paid to LAIBAS CAFE</t>
  </si>
  <si>
    <t>T2603011523075711351801</t>
  </si>
  <si>
    <t>154085636626</t>
  </si>
  <si>
    <t>Feb 28, 2026</t>
  </si>
  <si>
    <t>Paid to GULAM ARSHAD</t>
  </si>
  <si>
    <t>T2602282325272887389635</t>
  </si>
  <si>
    <t>905099408934</t>
  </si>
  <si>
    <t>11:18 pm</t>
  </si>
  <si>
    <t>Paid to Mohammed Akif</t>
  </si>
  <si>
    <t>T2602282318206700043956</t>
  </si>
  <si>
    <t>501114711471</t>
  </si>
  <si>
    <t>T2602282218342282864760</t>
  </si>
  <si>
    <t>495472761747</t>
  </si>
  <si>
    <t>T2602281628076252677147</t>
  </si>
  <si>
    <t>242141451137</t>
  </si>
  <si>
    <t>06:24 am</t>
  </si>
  <si>
    <t>T2602280624307259206596</t>
  </si>
  <si>
    <t>877334299006</t>
  </si>
  <si>
    <t>05:07 am</t>
  </si>
  <si>
    <t>T2602280507515803265492</t>
  </si>
  <si>
    <t>788167098014</t>
  </si>
  <si>
    <t>04:59 am</t>
  </si>
  <si>
    <t>T2602280459207120973759</t>
  </si>
  <si>
    <t>115038849187</t>
  </si>
  <si>
    <t>04:57 am</t>
  </si>
  <si>
    <t>T2602280457016377702209</t>
  </si>
  <si>
    <t>224844816805</t>
  </si>
  <si>
    <t>04:13 am</t>
  </si>
  <si>
    <t>Received from BATHULA PRIYAANSH REDDY</t>
  </si>
  <si>
    <t>T2602280413263173436847</t>
  </si>
  <si>
    <t>605920565144</t>
  </si>
  <si>
    <t>03:55 am</t>
  </si>
  <si>
    <t>Received from ERVA SAI ANUDEEP</t>
  </si>
  <si>
    <t>T2602280355448634619940</t>
  </si>
  <si>
    <t>642542584804</t>
  </si>
  <si>
    <t>03:06 am</t>
  </si>
  <si>
    <t>Received from Abhivardhan Mogili</t>
  </si>
  <si>
    <t>T2602280306380167870363</t>
  </si>
  <si>
    <t>345219693727</t>
  </si>
  <si>
    <t>02:58 am</t>
  </si>
  <si>
    <t>Paid to SIVAM AUTO</t>
  </si>
  <si>
    <t>T2602280258217521351098</t>
  </si>
  <si>
    <t>758478609435</t>
  </si>
  <si>
    <t>02:28 am</t>
  </si>
  <si>
    <t>T2602280228049614456817</t>
  </si>
  <si>
    <t>784533158230</t>
  </si>
  <si>
    <t>Feb 27, 2026</t>
  </si>
  <si>
    <t>Mobile recharged 7093233023 Jio Prepaid Reference ID 25233591454</t>
  </si>
  <si>
    <t>NB26022719400031070533502</t>
  </si>
  <si>
    <t>720929874265</t>
  </si>
  <si>
    <t>09:59 am</t>
  </si>
  <si>
    <t>T2602270959365410287429</t>
  </si>
  <si>
    <t>658807370712</t>
  </si>
  <si>
    <t>09:56 am</t>
  </si>
  <si>
    <t>Paid to PAPPULA KANAKA DURGA RAO</t>
  </si>
  <si>
    <t>T2602270956430191388172</t>
  </si>
  <si>
    <t>726192271572</t>
  </si>
  <si>
    <t>06:42 am</t>
  </si>
  <si>
    <t>Mobile recharged 9063080906 Airtel Prepaid Reference ID 1313410402</t>
  </si>
  <si>
    <t>NB26022706424029175083312</t>
  </si>
  <si>
    <t>238324356577</t>
  </si>
  <si>
    <t>Feb 26, 2026</t>
  </si>
  <si>
    <t>T2602262053592200824615</t>
  </si>
  <si>
    <t>248131321879</t>
  </si>
  <si>
    <t>T2602262052235083122458</t>
  </si>
  <si>
    <t>354751984958</t>
  </si>
  <si>
    <t>T2602261902390744481571</t>
  </si>
  <si>
    <t>400878466740</t>
  </si>
  <si>
    <t>T2602261902326383468272</t>
  </si>
  <si>
    <t>348215799435</t>
  </si>
  <si>
    <t>Mobile recharged 9848996428 Airtel Prepaid Reference ID 1304348499</t>
  </si>
  <si>
    <t>NB26022618235123271054402</t>
  </si>
  <si>
    <t>712605478466</t>
  </si>
  <si>
    <t>03:02 pm</t>
  </si>
  <si>
    <t>T2602261501423021458843</t>
  </si>
  <si>
    <t>336042753152</t>
  </si>
  <si>
    <t>12:27 pm</t>
  </si>
  <si>
    <t>T2602261227251361711796</t>
  </si>
  <si>
    <t>476585855919</t>
  </si>
  <si>
    <t>10:57 am</t>
  </si>
  <si>
    <t>T2602261057076823582002</t>
  </si>
  <si>
    <t>520501190588</t>
  </si>
  <si>
    <t>T2602261040386209935956</t>
  </si>
  <si>
    <t>176113101876</t>
  </si>
  <si>
    <t>Paid to PUMP 4</t>
  </si>
  <si>
    <t>T2602261014086174385555</t>
  </si>
  <si>
    <t>847771026476</t>
  </si>
  <si>
    <t>Feb 25, 2026</t>
  </si>
  <si>
    <t>T2602252132359012477064</t>
  </si>
  <si>
    <t>354024524219</t>
  </si>
  <si>
    <t>T2602251142105680762788</t>
  </si>
  <si>
    <t>642786451404</t>
  </si>
  <si>
    <t>Feb 24, 2026</t>
  </si>
  <si>
    <t>Paid to Bava 😘</t>
  </si>
  <si>
    <t>T2602242027132636176825</t>
  </si>
  <si>
    <t>792164395059</t>
  </si>
  <si>
    <t>T2602242026104152710048</t>
  </si>
  <si>
    <t>854067312662</t>
  </si>
  <si>
    <t>06:51 pm</t>
  </si>
  <si>
    <t>T2602241851068676176771</t>
  </si>
  <si>
    <t>552015034877</t>
  </si>
  <si>
    <t>Paid to Sri Sai super cool drink 2 ₹ 1 Gift Card ₹ 9</t>
  </si>
  <si>
    <t>T2602241819381978058161</t>
  </si>
  <si>
    <t>486325389493</t>
  </si>
  <si>
    <t>12:08 pm</t>
  </si>
  <si>
    <t>Cashback from PhonePe Gift Card</t>
  </si>
  <si>
    <t>T2602241208084032157414</t>
  </si>
  <si>
    <t>Credited to</t>
  </si>
  <si>
    <t>T2602241207533286139354</t>
  </si>
  <si>
    <t>T2602241207459160484970</t>
  </si>
  <si>
    <t>11:45 am</t>
  </si>
  <si>
    <t>T2602241145268772709714</t>
  </si>
  <si>
    <t>839253122102</t>
  </si>
  <si>
    <t>12:01 am</t>
  </si>
  <si>
    <t>T2602240001009736939055</t>
  </si>
  <si>
    <t>188577753829</t>
  </si>
  <si>
    <t>Feb 23, 2026</t>
  </si>
  <si>
    <t>T2602232329469327009466</t>
  </si>
  <si>
    <t>326608300898</t>
  </si>
  <si>
    <t>T2602232329299318865390</t>
  </si>
  <si>
    <t>240116073032</t>
  </si>
  <si>
    <t>Paid to KULDEEP  CHHETRI</t>
  </si>
  <si>
    <t>T2602232020408236557082</t>
  </si>
  <si>
    <t>788944154797</t>
  </si>
  <si>
    <t>T2602232020262586057040</t>
  </si>
  <si>
    <t>772024139307</t>
  </si>
  <si>
    <t>T2602232017391167746726</t>
  </si>
  <si>
    <t>899351920465</t>
  </si>
  <si>
    <t>T2602231929382187452670</t>
  </si>
  <si>
    <t>981023739573</t>
  </si>
  <si>
    <t>11:49 am</t>
  </si>
  <si>
    <t>Paid to SAI YOGESHWARA KIRANAM AND GENERAL STORE Gift Card</t>
  </si>
  <si>
    <t>T2602231149357725168833</t>
  </si>
  <si>
    <t>Paid by</t>
  </si>
  <si>
    <t>T2602230234153307094677</t>
  </si>
  <si>
    <t>02:30 am</t>
  </si>
  <si>
    <t>T2602230230239042553136</t>
  </si>
  <si>
    <t>133540710772</t>
  </si>
  <si>
    <t>02:10 am</t>
  </si>
  <si>
    <t>T2602230210374879286566</t>
  </si>
  <si>
    <t>01:53 am</t>
  </si>
  <si>
    <t>Paid to SHAIK  YOUSUF</t>
  </si>
  <si>
    <t>T2602230153045912015641</t>
  </si>
  <si>
    <t>474049257385</t>
  </si>
  <si>
    <t>01:31 am</t>
  </si>
  <si>
    <t>T2602230131283793117402</t>
  </si>
  <si>
    <t>119024734012</t>
  </si>
  <si>
    <t>12:53 am</t>
  </si>
  <si>
    <t>T2602230053502561644206</t>
  </si>
  <si>
    <t>234536505106</t>
  </si>
  <si>
    <t>Feb 22, 2026</t>
  </si>
  <si>
    <t>T2602222136196321484171</t>
  </si>
  <si>
    <t>Paid to Asian Tea Gift Card</t>
  </si>
  <si>
    <t>T2602222136038989145476</t>
  </si>
  <si>
    <t>Paid to JAGDAMBA MITHAI BHANDAR</t>
  </si>
  <si>
    <t>T2602221951207970278059</t>
  </si>
  <si>
    <t>092536714577</t>
  </si>
  <si>
    <t>T2602221846212631451141</t>
  </si>
  <si>
    <t>T2602221846080305260048</t>
  </si>
  <si>
    <t>T2602221845588005854318</t>
  </si>
  <si>
    <t>T2602221845503934540699</t>
  </si>
  <si>
    <t>T2602221845423977027319</t>
  </si>
  <si>
    <t>T2602221845397632729223</t>
  </si>
  <si>
    <t>T2602221845364062729161</t>
  </si>
  <si>
    <t>T2602221845334351834098</t>
  </si>
  <si>
    <t>T2602221845302370256502</t>
  </si>
  <si>
    <t>T2602221845270010378632</t>
  </si>
  <si>
    <t>T2602221845234763697774</t>
  </si>
  <si>
    <t>T2602221845199725921804</t>
  </si>
  <si>
    <t>T2602221845165688351631</t>
  </si>
  <si>
    <t>T2602221845130965067142</t>
  </si>
  <si>
    <t>T2602221845102001987505</t>
  </si>
  <si>
    <t>T2602221845069737915962</t>
  </si>
  <si>
    <t>T2602221845029823445538</t>
  </si>
  <si>
    <t>06:44 pm</t>
  </si>
  <si>
    <t>T2602221844575174943111</t>
  </si>
  <si>
    <t>T2602221844515557043239</t>
  </si>
  <si>
    <t>T2602221843135985699161</t>
  </si>
  <si>
    <t>853343126888</t>
  </si>
  <si>
    <t>T2602221841184869145174</t>
  </si>
  <si>
    <t>764563591268</t>
  </si>
  <si>
    <t>T2602221425238801266894</t>
  </si>
  <si>
    <t>119000058299</t>
  </si>
  <si>
    <t>T2602221410143808963831</t>
  </si>
  <si>
    <t>908290981479</t>
  </si>
  <si>
    <t>02:09 pm</t>
  </si>
  <si>
    <t>Received from Ashwik Reddy</t>
  </si>
  <si>
    <t>T2602221409480553256943</t>
  </si>
  <si>
    <t>629917450886</t>
  </si>
  <si>
    <t>02:04 pm</t>
  </si>
  <si>
    <t>T2602221404279172128661</t>
  </si>
  <si>
    <t>623350704063</t>
  </si>
  <si>
    <t>Feb 21, 2026</t>
  </si>
  <si>
    <t>T2602212137333305462014</t>
  </si>
  <si>
    <t>751872838594</t>
  </si>
  <si>
    <t>T2602212137306442708662</t>
  </si>
  <si>
    <t>554136110448</t>
  </si>
  <si>
    <t>T2602212127147033033077</t>
  </si>
  <si>
    <t>757419656026</t>
  </si>
  <si>
    <t>02:18 pm</t>
  </si>
  <si>
    <t>T2602211418291400163373</t>
  </si>
  <si>
    <t>575475710417</t>
  </si>
  <si>
    <t>T2602211418228516419584</t>
  </si>
  <si>
    <t>991008137863</t>
  </si>
  <si>
    <t>12:51 pm</t>
  </si>
  <si>
    <t>T2602211251103168618511</t>
  </si>
  <si>
    <t>341447524767</t>
  </si>
  <si>
    <t>T2602211250561391835766</t>
  </si>
  <si>
    <t>927097435706</t>
  </si>
  <si>
    <t>Feb 20, 2026</t>
  </si>
  <si>
    <t>T2602202210090467613808</t>
  </si>
  <si>
    <t>828018217388</t>
  </si>
  <si>
    <t>T2602202209546034579933</t>
  </si>
  <si>
    <t>857786048023</t>
  </si>
  <si>
    <t>06:57 pm</t>
  </si>
  <si>
    <t>T2602201857552901352742</t>
  </si>
  <si>
    <t>920789102153</t>
  </si>
  <si>
    <t>05:58 pm</t>
  </si>
  <si>
    <t>Paid to Mr PABBATI SUDHEER</t>
  </si>
  <si>
    <t>T2602201758369580378935</t>
  </si>
  <si>
    <t>823573715130</t>
  </si>
  <si>
    <t>04:27 pm</t>
  </si>
  <si>
    <t>Paid to CLASSIC XEROX AND STATIONARY</t>
  </si>
  <si>
    <t>T2602201627443699083559</t>
  </si>
  <si>
    <t>664499483128</t>
  </si>
  <si>
    <t>03:29 pm</t>
  </si>
  <si>
    <t>Mobile recharged 7093233023 Jio Prepaid Reference ID 25178390612</t>
  </si>
  <si>
    <t>NB26022015294967742493272</t>
  </si>
  <si>
    <t>387179838630</t>
  </si>
  <si>
    <t>T2602201523041096909002</t>
  </si>
  <si>
    <t>666962272445</t>
  </si>
  <si>
    <t>01:17 pm</t>
  </si>
  <si>
    <t>T2602201317300423697176</t>
  </si>
  <si>
    <t>713976159660</t>
  </si>
  <si>
    <t>Received from Lucky Choudhary</t>
  </si>
  <si>
    <t>T2602200143240954676389</t>
  </si>
  <si>
    <t>074158542511</t>
  </si>
  <si>
    <t>01:22 am</t>
  </si>
  <si>
    <t>Received from MR CHAPPA  JAGADEESH</t>
  </si>
  <si>
    <t>T2602200122446344676379</t>
  </si>
  <si>
    <t>605035618817</t>
  </si>
  <si>
    <t>Paid to ZAFARON FOOD COUTRS</t>
  </si>
  <si>
    <t>T2602200031338936132107</t>
  </si>
  <si>
    <t>383527904939</t>
  </si>
  <si>
    <t>12:06 am</t>
  </si>
  <si>
    <t>Received from Saheel Prashant Kapse</t>
  </si>
  <si>
    <t>T2602200006115404054696</t>
  </si>
  <si>
    <t>605149434073</t>
  </si>
  <si>
    <t>Feb 19, 2026</t>
  </si>
  <si>
    <t>Received from Velangini Raju</t>
  </si>
  <si>
    <t>T2602192355299815175209</t>
  </si>
  <si>
    <t>613695053085</t>
  </si>
  <si>
    <t>Received from RABI   BIN</t>
  </si>
  <si>
    <t>T2602192336088674594352</t>
  </si>
  <si>
    <t>605028473224</t>
  </si>
  <si>
    <t>Received from Sreekanth Nagalla</t>
  </si>
  <si>
    <t>T2602192321406190247181</t>
  </si>
  <si>
    <t>284315581926</t>
  </si>
  <si>
    <t>Received from bimbisara</t>
  </si>
  <si>
    <t>T2602192237489583922595</t>
  </si>
  <si>
    <t>251379816516</t>
  </si>
  <si>
    <t>Received from Polkam Raj Kumar</t>
  </si>
  <si>
    <t>T2602192158446734838010</t>
  </si>
  <si>
    <t>641640580083</t>
  </si>
  <si>
    <t>09:16 pm</t>
  </si>
  <si>
    <t>T2602192116230319669653</t>
  </si>
  <si>
    <t>169198147312</t>
  </si>
  <si>
    <t>T2602192115311454867511</t>
  </si>
  <si>
    <t>877263916546</t>
  </si>
  <si>
    <t>Received from PARSI SRI RAM</t>
  </si>
  <si>
    <t>T2602192010450566367905</t>
  </si>
  <si>
    <t>641638874039</t>
  </si>
  <si>
    <t>06:11 pm</t>
  </si>
  <si>
    <t>T2602191811214895545678</t>
  </si>
  <si>
    <t>371042772147</t>
  </si>
  <si>
    <t>T2602191619129441605502</t>
  </si>
  <si>
    <t>236875579139</t>
  </si>
  <si>
    <t>04:18 pm</t>
  </si>
  <si>
    <t>T2602191618419239669135</t>
  </si>
  <si>
    <t>475214402451</t>
  </si>
  <si>
    <t>Paid to make your time ( myt)</t>
  </si>
  <si>
    <t>T2602191529070319430143</t>
  </si>
  <si>
    <t>289341104581</t>
  </si>
  <si>
    <t>09:04 am</t>
  </si>
  <si>
    <t>Paid to MS VIJAY KRISHNA FILLING STATION</t>
  </si>
  <si>
    <t>T2602190904063032412068</t>
  </si>
  <si>
    <t>888779390184</t>
  </si>
  <si>
    <t>Feb 18, 2026</t>
  </si>
  <si>
    <t>04:46 pm</t>
  </si>
  <si>
    <t>Received from Pavan Goud</t>
  </si>
  <si>
    <t>T2602181646012676291945</t>
  </si>
  <si>
    <t>839893383582</t>
  </si>
  <si>
    <t>01:24 pm</t>
  </si>
  <si>
    <t>T2602181324265688084243</t>
  </si>
  <si>
    <t>298195165295</t>
  </si>
  <si>
    <t>11:06 am</t>
  </si>
  <si>
    <t>T2602181106021714632356</t>
  </si>
  <si>
    <t>967465790687</t>
  </si>
  <si>
    <t>Feb 17, 2026</t>
  </si>
  <si>
    <t>07:00 pm</t>
  </si>
  <si>
    <t>T2602171900165556046183</t>
  </si>
  <si>
    <t>494965278602</t>
  </si>
  <si>
    <t>Paid to NARSIMHA REDDY ENGINEERING COLLEGE TRAINING AND PLACEMENTS ICI48202605172702sGprdcVULQbTjPxg0c</t>
  </si>
  <si>
    <t>109211984198</t>
  </si>
  <si>
    <t>T2602171724312572990078</t>
  </si>
  <si>
    <t>924802374420</t>
  </si>
  <si>
    <t>Paid to NARSIMHA REDDY ENGINEERING COLLEGE TRAINING AND PLACEMENTS ICI02202604172702RuJrP6NJMBVJciwqbk</t>
  </si>
  <si>
    <t>109211617008</t>
  </si>
  <si>
    <t>04:11 pm</t>
  </si>
  <si>
    <t>T2602171611376794332055</t>
  </si>
  <si>
    <t>112916445424</t>
  </si>
  <si>
    <t>07:03 am</t>
  </si>
  <si>
    <t>T2602170703253438822828</t>
  </si>
  <si>
    <t>428896139677</t>
  </si>
  <si>
    <t>Feb 16, 2026</t>
  </si>
  <si>
    <t>09:54 pm</t>
  </si>
  <si>
    <t>Paid to sri krishna authana</t>
  </si>
  <si>
    <t>T2602162154170196129940</t>
  </si>
  <si>
    <t>313957042697</t>
  </si>
  <si>
    <t>06:31 pm</t>
  </si>
  <si>
    <t>Paid to Kumar Fast Food</t>
  </si>
  <si>
    <t>T2602161831146949460089</t>
  </si>
  <si>
    <t>840559962425</t>
  </si>
  <si>
    <t>06:02 pm</t>
  </si>
  <si>
    <t>Paid to BMTC BUS KA57F6005</t>
  </si>
  <si>
    <t>T2602161802028573168236</t>
  </si>
  <si>
    <t>917677577953</t>
  </si>
  <si>
    <t>02:05 pm</t>
  </si>
  <si>
    <t>T2602161405056046302461</t>
  </si>
  <si>
    <t>602368416752</t>
  </si>
  <si>
    <t>T2602161324155322495860</t>
  </si>
  <si>
    <t>118738283759</t>
  </si>
  <si>
    <t>Paid to RAM MEDICALS03</t>
  </si>
  <si>
    <t>T2602161116162615945287</t>
  </si>
  <si>
    <t>415072721650</t>
  </si>
  <si>
    <t>Feb 15, 2026</t>
  </si>
  <si>
    <t>06:27 pm</t>
  </si>
  <si>
    <t>T2602151827294427800784</t>
  </si>
  <si>
    <t>121410908181</t>
  </si>
  <si>
    <t>03:55 pm</t>
  </si>
  <si>
    <t>Paid to ALLE MOHAN RAO</t>
  </si>
  <si>
    <t>T2602151555251325935322</t>
  </si>
  <si>
    <t>807622972860</t>
  </si>
  <si>
    <t>03:37 pm</t>
  </si>
  <si>
    <t>T2602151537403889181922</t>
  </si>
  <si>
    <t>962758988553</t>
  </si>
  <si>
    <t>Feb 14, 2026</t>
  </si>
  <si>
    <t>Paid to Magicpin</t>
  </si>
  <si>
    <t>T2602141703513065324501</t>
  </si>
  <si>
    <t>528353852359</t>
  </si>
  <si>
    <t>03:20 pm</t>
  </si>
  <si>
    <t>T2602141520204625935344</t>
  </si>
  <si>
    <t>961407749205</t>
  </si>
  <si>
    <t>06:52 am</t>
  </si>
  <si>
    <t>Paid to Pujari Lakshmipathi</t>
  </si>
  <si>
    <t>T2602140652079225435001</t>
  </si>
  <si>
    <t>501117928044</t>
  </si>
  <si>
    <t>06:31 am</t>
  </si>
  <si>
    <t>Paid to ZEPTO</t>
  </si>
  <si>
    <t>T2602140631420674196290</t>
  </si>
  <si>
    <t>019919148762</t>
  </si>
  <si>
    <t>T2602140629314134246749</t>
  </si>
  <si>
    <t>006495373183</t>
  </si>
  <si>
    <t>06:22 am</t>
  </si>
  <si>
    <t>Paid to AKASH K B</t>
  </si>
  <si>
    <t>T2602140622241682749276</t>
  </si>
  <si>
    <t>404601845867</t>
  </si>
  <si>
    <t>Feb 13, 2026</t>
  </si>
  <si>
    <t>T2602132032375801988800</t>
  </si>
  <si>
    <t>220066202943</t>
  </si>
  <si>
    <t>Paid to MS RED ROSE RESTAURANT  BAKERY</t>
  </si>
  <si>
    <t>T2602131919300702937643</t>
  </si>
  <si>
    <t>039475165176</t>
  </si>
  <si>
    <t>Paid to PATHAN GOUSE BABA</t>
  </si>
  <si>
    <t>T2602131915248972384288</t>
  </si>
  <si>
    <t>808794849736</t>
  </si>
  <si>
    <t>T2602131802196245893396</t>
  </si>
  <si>
    <t>416876699440</t>
  </si>
  <si>
    <t>T2602131802031139520895</t>
  </si>
  <si>
    <t>527006193360</t>
  </si>
  <si>
    <t>Feb 12, 2026</t>
  </si>
  <si>
    <t>T2602121859166338537160</t>
  </si>
  <si>
    <t>418106231976</t>
  </si>
  <si>
    <t>06:53 pm</t>
  </si>
  <si>
    <t>T2602121853012152552001</t>
  </si>
  <si>
    <t>096210641106</t>
  </si>
  <si>
    <t>01:19 pm</t>
  </si>
  <si>
    <t>T2602121319186416008484</t>
  </si>
  <si>
    <t>947770011485</t>
  </si>
  <si>
    <t>Feb 11, 2026</t>
  </si>
  <si>
    <t>T2602112242366850296766</t>
  </si>
  <si>
    <t>809463391446</t>
  </si>
  <si>
    <t>S2602111929338809401025E</t>
  </si>
  <si>
    <t>680979479481</t>
  </si>
  <si>
    <t>Paid to THE SHAWARMA  COMPANY</t>
  </si>
  <si>
    <t>T2602111814160738261561</t>
  </si>
  <si>
    <t>450222639670</t>
  </si>
  <si>
    <t>05:45 pm</t>
  </si>
  <si>
    <t>T2602111745214639028574</t>
  </si>
  <si>
    <t>829693798560</t>
  </si>
  <si>
    <t>05:37 pm</t>
  </si>
  <si>
    <t>T2602111737360364362141</t>
  </si>
  <si>
    <t>345491273329</t>
  </si>
  <si>
    <t>Paid to Sucharitha Frnd</t>
  </si>
  <si>
    <t>T2602111604378136448374</t>
  </si>
  <si>
    <t>160862857549</t>
  </si>
  <si>
    <t>11:51 am</t>
  </si>
  <si>
    <t>T2602111151525417367654</t>
  </si>
  <si>
    <t>901544278552</t>
  </si>
  <si>
    <t>11:31 am</t>
  </si>
  <si>
    <t>Paid to TATIKONDA RAMA DEVI</t>
  </si>
  <si>
    <t>T2602111131281754441010</t>
  </si>
  <si>
    <t>811126756548</t>
  </si>
  <si>
    <t>Paid to Shiv Shankar vegetable shop</t>
  </si>
  <si>
    <t>T2602111114077355921911</t>
  </si>
  <si>
    <t>111073631549</t>
  </si>
  <si>
    <t>Feb 10, 2026</t>
  </si>
  <si>
    <t>T2602102057139443326512</t>
  </si>
  <si>
    <t>337567293642</t>
  </si>
  <si>
    <t>T2602102056143337198914</t>
  </si>
  <si>
    <t>640739611219</t>
  </si>
  <si>
    <t>T2602101446286421247287</t>
  </si>
  <si>
    <t>015349258431</t>
  </si>
  <si>
    <t>Paid to Rohitha Frnd</t>
  </si>
  <si>
    <t>T2602101441376142906566</t>
  </si>
  <si>
    <t>011269596213</t>
  </si>
  <si>
    <t>02:37 pm</t>
  </si>
  <si>
    <t>T2602101437277310532830</t>
  </si>
  <si>
    <t>725445042884</t>
  </si>
  <si>
    <t>Paid to BIGBASKET</t>
  </si>
  <si>
    <t>T2602101249323920398780</t>
  </si>
  <si>
    <t>831649811281</t>
  </si>
  <si>
    <t>Paid to VEGETABLE 001</t>
  </si>
  <si>
    <t>T2602101117464722264370</t>
  </si>
  <si>
    <t>749046763890</t>
  </si>
  <si>
    <t>Feb 09, 2026</t>
  </si>
  <si>
    <t>10:12 pm</t>
  </si>
  <si>
    <t>Paid to BOJJA RAJESH KUMAR</t>
  </si>
  <si>
    <t>T2602092211549334533186</t>
  </si>
  <si>
    <t>573167729767</t>
  </si>
  <si>
    <t>T2602091924542494095539</t>
  </si>
  <si>
    <t>225152100397</t>
  </si>
  <si>
    <t>Received from ******8742</t>
  </si>
  <si>
    <t>T2602091836168315687555</t>
  </si>
  <si>
    <t>186490536340</t>
  </si>
  <si>
    <t>Received from sampath kumar</t>
  </si>
  <si>
    <t>T2602091817202198571661</t>
  </si>
  <si>
    <t>934402699932</t>
  </si>
  <si>
    <t>Received from Surya kanta das</t>
  </si>
  <si>
    <t>T2602091734452597226876</t>
  </si>
  <si>
    <t>205918829259</t>
  </si>
  <si>
    <t>Received from ******5625</t>
  </si>
  <si>
    <t>T2602091717489743665986</t>
  </si>
  <si>
    <t>503336332482</t>
  </si>
  <si>
    <t>T2602091630064685640456</t>
  </si>
  <si>
    <t>043387243709</t>
  </si>
  <si>
    <t>04:25 pm</t>
  </si>
  <si>
    <t>T2602091624580634687087</t>
  </si>
  <si>
    <t>574556102855</t>
  </si>
  <si>
    <t>T2602091145321770187914</t>
  </si>
  <si>
    <t>763287511940</t>
  </si>
  <si>
    <t>06:33 pm</t>
  </si>
  <si>
    <t>T2602081833147364233883</t>
  </si>
  <si>
    <t>623024307462</t>
  </si>
  <si>
    <t>T2602081830483182626618</t>
  </si>
  <si>
    <t>376451266545</t>
  </si>
  <si>
    <t>02:08 pm</t>
  </si>
  <si>
    <t>T2602081408500070310554</t>
  </si>
  <si>
    <t>331322074651</t>
  </si>
  <si>
    <t>02:01 pm</t>
  </si>
  <si>
    <t>Received from PATHA NAVEEN KUMAR</t>
  </si>
  <si>
    <t>T2602081401299032022781</t>
  </si>
  <si>
    <t>877135090396</t>
  </si>
  <si>
    <t>Paid to SHAH GHOUSE RESTAURANT</t>
  </si>
  <si>
    <t>T2602080007232657181596</t>
  </si>
  <si>
    <t>230287338126</t>
  </si>
  <si>
    <t>Received from VUTHURI ABHI</t>
  </si>
  <si>
    <t>T2602080007154445174963</t>
  </si>
  <si>
    <t>603953720716</t>
  </si>
  <si>
    <t>Feb 07, 2026</t>
  </si>
  <si>
    <t>T2602072001218090417512</t>
  </si>
  <si>
    <t>045589676219</t>
  </si>
  <si>
    <t>T2602072001259317386185</t>
  </si>
  <si>
    <t>819407232885</t>
  </si>
  <si>
    <t>T2602071937211837011341</t>
  </si>
  <si>
    <t>113135928605</t>
  </si>
  <si>
    <t>Feb 06, 2026</t>
  </si>
  <si>
    <t>T2602062100182672085368</t>
  </si>
  <si>
    <t>261091703539</t>
  </si>
  <si>
    <t>T2602062054551693115138</t>
  </si>
  <si>
    <t>747538127016</t>
  </si>
  <si>
    <t>08:53 pm</t>
  </si>
  <si>
    <t>T2602062053227687931523</t>
  </si>
  <si>
    <t>016044835277</t>
  </si>
  <si>
    <t>01:42 pm</t>
  </si>
  <si>
    <t>T2602061342421113124347</t>
  </si>
  <si>
    <t>585587707840</t>
  </si>
  <si>
    <t>01:40 pm</t>
  </si>
  <si>
    <t>Paid to ANKIT KUMAR</t>
  </si>
  <si>
    <t>T2602061340256104265551</t>
  </si>
  <si>
    <t>760964423192</t>
  </si>
  <si>
    <t>01:39 pm</t>
  </si>
  <si>
    <t>T2602061339253511840003</t>
  </si>
  <si>
    <t>229147256103</t>
  </si>
  <si>
    <t>12:39 pm</t>
  </si>
  <si>
    <t>Paid to Mukesh Medical Hall</t>
  </si>
  <si>
    <t>T2602061239466903619534</t>
  </si>
  <si>
    <t>305349575593</t>
  </si>
  <si>
    <t>Feb 05, 2026</t>
  </si>
  <si>
    <t>T2602051951371423471949</t>
  </si>
  <si>
    <t>513126705821</t>
  </si>
  <si>
    <t>T2602051149523578643841</t>
  </si>
  <si>
    <t>733540412231</t>
  </si>
  <si>
    <t>Feb 04, 2026</t>
  </si>
  <si>
    <t>09:30 pm</t>
  </si>
  <si>
    <t>T2602042130427729428889</t>
  </si>
  <si>
    <t>162830010840</t>
  </si>
  <si>
    <t>T2602042130277491118531</t>
  </si>
  <si>
    <t>386634212692</t>
  </si>
  <si>
    <t>Paid to HALLEMA ENTERPRISES</t>
  </si>
  <si>
    <t>T2602042100470339350934</t>
  </si>
  <si>
    <t>884065288895</t>
  </si>
  <si>
    <t>Paid to RRR FAMILY RESTAURANT</t>
  </si>
  <si>
    <t>T2602042024298189584609</t>
  </si>
  <si>
    <t>176013051272</t>
  </si>
  <si>
    <t>Received from Chintu Mama</t>
  </si>
  <si>
    <t>T2602042009570425732026</t>
  </si>
  <si>
    <t>185304784715</t>
  </si>
  <si>
    <t>07:47 pm</t>
  </si>
  <si>
    <t>T2602041947559578681260</t>
  </si>
  <si>
    <t>689586735195</t>
  </si>
  <si>
    <t>Paid to RAMBABU TADEPALLI</t>
  </si>
  <si>
    <t>T2602041943362398002018</t>
  </si>
  <si>
    <t>280287208592</t>
  </si>
  <si>
    <t>T2602041942463097709421</t>
  </si>
  <si>
    <t>853459027755</t>
  </si>
  <si>
    <t>12:32 pm</t>
  </si>
  <si>
    <t>Paid to RAKESH PATIL</t>
  </si>
  <si>
    <t>T2602041232107168607297</t>
  </si>
  <si>
    <t>140611882297</t>
  </si>
  <si>
    <t>T2602041124445342270725</t>
  </si>
  <si>
    <t>077148175801</t>
  </si>
  <si>
    <t>Feb 03, 2026</t>
  </si>
  <si>
    <t>Paid to Sri durga bhavani reddy tiffins</t>
  </si>
  <si>
    <t>T2602032005123903254818</t>
  </si>
  <si>
    <t>055398797066</t>
  </si>
  <si>
    <t>T2602031957429009564919</t>
  </si>
  <si>
    <t>496697638497</t>
  </si>
  <si>
    <t>08:50 am</t>
  </si>
  <si>
    <t>OLEX2602030850486244770914</t>
  </si>
  <si>
    <t>102621906614</t>
  </si>
  <si>
    <t>Feb 02, 2026</t>
  </si>
  <si>
    <t>T2602022307480453447255</t>
  </si>
  <si>
    <t>711582057882</t>
  </si>
  <si>
    <t>T2602022120578416896229</t>
  </si>
  <si>
    <t>145213716502</t>
  </si>
  <si>
    <t>09:18 pm</t>
  </si>
  <si>
    <t>T2602022118238698207811</t>
  </si>
  <si>
    <t>248677680050</t>
  </si>
  <si>
    <t>T2602021717162727189385</t>
  </si>
  <si>
    <t>094483819949</t>
  </si>
  <si>
    <t>T2602021307202284658164</t>
  </si>
  <si>
    <t>956867757113</t>
  </si>
  <si>
    <t>T2602021151235596282539</t>
  </si>
  <si>
    <t>674230082805</t>
  </si>
  <si>
    <t>Paid to TEJASWI CURRIES AND ROTIS</t>
  </si>
  <si>
    <t>T2602021145269119400628</t>
  </si>
  <si>
    <t>940672910579</t>
  </si>
  <si>
    <t>Feb 01, 2026</t>
  </si>
  <si>
    <t>T2602012137110540953665</t>
  </si>
  <si>
    <t>319916679506</t>
  </si>
  <si>
    <t>T2602012136361637722421</t>
  </si>
  <si>
    <t>114208553495</t>
  </si>
  <si>
    <t>T2602012135589332601618</t>
  </si>
  <si>
    <t>412262906358</t>
  </si>
  <si>
    <t>09:35 pm</t>
  </si>
  <si>
    <t>T2602012135437330962688</t>
  </si>
  <si>
    <t>938858661127</t>
  </si>
  <si>
    <t>T2602012111137697670150</t>
  </si>
  <si>
    <t>471186328786</t>
  </si>
  <si>
    <t>T2602012110130742127457</t>
  </si>
  <si>
    <t>858153247063</t>
  </si>
  <si>
    <t>T2602012106000077493698</t>
  </si>
  <si>
    <t>995639030956</t>
  </si>
  <si>
    <t>Paid to ValueZone Ameerpet</t>
  </si>
  <si>
    <t>T2602012020335157068716</t>
  </si>
  <si>
    <t>967898956281</t>
  </si>
  <si>
    <t>T2602011917387469868495</t>
  </si>
  <si>
    <t>598089850175</t>
  </si>
  <si>
    <t>T2602011709203605826190</t>
  </si>
  <si>
    <t>900306543263</t>
  </si>
  <si>
    <t>05:08 pm</t>
  </si>
  <si>
    <t>Paid to GAYATHRI HOSIERYNIGHT WEAR</t>
  </si>
  <si>
    <t>T2602011708409882660708</t>
  </si>
  <si>
    <t>340444946055</t>
  </si>
  <si>
    <t>04:13 pm</t>
  </si>
  <si>
    <t>Paid to BAJAJ ELECTRONICS</t>
  </si>
  <si>
    <t>T2602011613391873667269</t>
  </si>
  <si>
    <t>128463704069</t>
  </si>
  <si>
    <t>Paid to Venkateshwar vegetables</t>
  </si>
  <si>
    <t>T2602011356505968438823</t>
  </si>
  <si>
    <t>817149831509</t>
  </si>
  <si>
    <t>Jan 31, 2026</t>
  </si>
  <si>
    <t>Paid to RAJ_SERVICE_STATION_</t>
  </si>
  <si>
    <t>T2601312342446460288816</t>
  </si>
  <si>
    <t>403036461969</t>
  </si>
  <si>
    <t>Paid to HILLSTAR RESTAURANT</t>
  </si>
  <si>
    <t>T2601312334505047484160</t>
  </si>
  <si>
    <t>961316527627</t>
  </si>
  <si>
    <t>Paid to ABDULRASHID MOHAMMAD ISMAIL KHATRI</t>
  </si>
  <si>
    <t>T2601312204263908632254</t>
  </si>
  <si>
    <t>960418952858</t>
  </si>
  <si>
    <t>T2601312130574057754596</t>
  </si>
  <si>
    <t>128942723890</t>
  </si>
  <si>
    <t>08:11 pm</t>
  </si>
  <si>
    <t>T2601312011529587213706</t>
  </si>
  <si>
    <t>377570435958</t>
  </si>
  <si>
    <t>T2601311956200059832275</t>
  </si>
  <si>
    <t>367582583688</t>
  </si>
  <si>
    <t>T2601311401006871880039</t>
  </si>
  <si>
    <t>603787722317</t>
  </si>
  <si>
    <t>T2601311355222967145378</t>
  </si>
  <si>
    <t>638140944170</t>
  </si>
  <si>
    <t>Paid to Mahalaxmi tiffin center</t>
  </si>
  <si>
    <t>T2601310934189610288812</t>
  </si>
  <si>
    <t>976829980318</t>
  </si>
  <si>
    <t>Jan 30, 2026</t>
  </si>
  <si>
    <t>Mobile recharged 7093233023 Jio Prepaid Reference ID 25020314995</t>
  </si>
  <si>
    <t>NB26013022010359352308392</t>
  </si>
  <si>
    <t>580099136270</t>
  </si>
  <si>
    <t>T2601302133022832870386</t>
  </si>
  <si>
    <t>467307311067</t>
  </si>
  <si>
    <t>09:26 pm</t>
  </si>
  <si>
    <t>T2601302126310171024842</t>
  </si>
  <si>
    <t>710420194956</t>
  </si>
  <si>
    <t>T2601302123090996841269</t>
  </si>
  <si>
    <t>279865817251</t>
  </si>
  <si>
    <t>T2601302048442571910679</t>
  </si>
  <si>
    <t>019605698346</t>
  </si>
  <si>
    <t>Paid to Mukesh Street vendor</t>
  </si>
  <si>
    <t>T2601302024497534188786</t>
  </si>
  <si>
    <t>499714305374</t>
  </si>
  <si>
    <t>T2601302021150541617422</t>
  </si>
  <si>
    <t>480176128664</t>
  </si>
  <si>
    <t>T2601301425377663391664</t>
  </si>
  <si>
    <t>570908550858</t>
  </si>
  <si>
    <t>Paid to Radha Krishna Onion Samosa Sweetcon</t>
  </si>
  <si>
    <t>T2601301324415100476881</t>
  </si>
  <si>
    <t>783281091584</t>
  </si>
  <si>
    <t>Paid to Rakeshbingi</t>
  </si>
  <si>
    <t>T2601300829322287988559</t>
  </si>
  <si>
    <t>275559737599</t>
  </si>
  <si>
    <t>T2601300829083404757111</t>
  </si>
  <si>
    <t>441846813699</t>
  </si>
  <si>
    <t>Jan 29, 2026</t>
  </si>
  <si>
    <t>T2601292036006090057155</t>
  </si>
  <si>
    <t>329800819174</t>
  </si>
  <si>
    <t>Paid to Tea point</t>
  </si>
  <si>
    <t>T2601291951485435131961</t>
  </si>
  <si>
    <t>510870962819</t>
  </si>
  <si>
    <t>T2601291836420552359532</t>
  </si>
  <si>
    <t>377601421629</t>
  </si>
  <si>
    <t>Jan 28, 2026</t>
  </si>
  <si>
    <t>T2601281910163294715486</t>
  </si>
  <si>
    <t>403051349036</t>
  </si>
  <si>
    <t>Paid to MOHD ABDUL MAJID</t>
  </si>
  <si>
    <t>T2601281737319939024341</t>
  </si>
  <si>
    <t>960362645064</t>
  </si>
  <si>
    <t>Paid to SHIVA DURGA KIRANAM AND GENERAL STORE</t>
  </si>
  <si>
    <t>T2601281448091359040851</t>
  </si>
  <si>
    <t>500512133449</t>
  </si>
  <si>
    <t>Jan 27, 2026</t>
  </si>
  <si>
    <t>Paid to AMMA CURRY POINT</t>
  </si>
  <si>
    <t>T2601272034037094971476</t>
  </si>
  <si>
    <t>568149355188</t>
  </si>
  <si>
    <t>04:29 pm</t>
  </si>
  <si>
    <t>Paid to Tulip Petrol Pump</t>
  </si>
  <si>
    <t>T2601271629103351531235</t>
  </si>
  <si>
    <t>533716439191</t>
  </si>
  <si>
    <t>Paid to MOHAMMED ABBAS</t>
  </si>
  <si>
    <t>T2601271353305317294170</t>
  </si>
  <si>
    <t>059911314992</t>
  </si>
  <si>
    <t>Jan 26, 2026</t>
  </si>
  <si>
    <t>Paid to MOHD REPAIR</t>
  </si>
  <si>
    <t>T2601261908174011628191</t>
  </si>
  <si>
    <t>348262501681</t>
  </si>
  <si>
    <t>05:32 pm</t>
  </si>
  <si>
    <t>T2601261732024871373243</t>
  </si>
  <si>
    <t>241256084956</t>
  </si>
  <si>
    <t>T2601261715465947775303</t>
  </si>
  <si>
    <t>926112136359</t>
  </si>
  <si>
    <t>T2601261651112542267357</t>
  </si>
  <si>
    <t>797892277295</t>
  </si>
  <si>
    <t>Jan 25, 2026</t>
  </si>
  <si>
    <t>T2601252149278082790534</t>
  </si>
  <si>
    <t>181340850785</t>
  </si>
  <si>
    <t>01:21 pm</t>
  </si>
  <si>
    <t>Paid to J. RAMULU</t>
  </si>
  <si>
    <t>T2601251321562628259109</t>
  </si>
  <si>
    <t>587094074091</t>
  </si>
  <si>
    <t>Jan 24, 2026</t>
  </si>
  <si>
    <t>Paid to Swiggy Ltd</t>
  </si>
  <si>
    <t>T2601242236128891296390</t>
  </si>
  <si>
    <t>511974769814</t>
  </si>
  <si>
    <t>T2601242134067254038017</t>
  </si>
  <si>
    <t>937913235420</t>
  </si>
  <si>
    <t>06:18 pm</t>
  </si>
  <si>
    <t>T2601241818192694407150</t>
  </si>
  <si>
    <t>145265059761</t>
  </si>
  <si>
    <t>Paid to Sai tejaswi currys and rotis yellareddyguda</t>
  </si>
  <si>
    <t>T2601241349295597924144</t>
  </si>
  <si>
    <t>606179463224</t>
  </si>
  <si>
    <t>09:36 am</t>
  </si>
  <si>
    <t>Paid to Akash Kumar Sankla</t>
  </si>
  <si>
    <t>T2601240936214129972871</t>
  </si>
  <si>
    <t>271694417204</t>
  </si>
  <si>
    <t>Jan 23, 2026</t>
  </si>
  <si>
    <t>T2601232252036784323264</t>
  </si>
  <si>
    <t>175221734718</t>
  </si>
  <si>
    <t>T2601232136236312659498</t>
  </si>
  <si>
    <t>074209611796</t>
  </si>
  <si>
    <t>T2601232052364313825026</t>
  </si>
  <si>
    <t>852164544509</t>
  </si>
  <si>
    <t>04:42 pm</t>
  </si>
  <si>
    <t>T2601231642327000191327</t>
  </si>
  <si>
    <t>041850872328</t>
  </si>
  <si>
    <t>T2601231603507495998322</t>
  </si>
  <si>
    <t>919016681460</t>
  </si>
  <si>
    <t>10:38 am</t>
  </si>
  <si>
    <t>T2601231038012694355715</t>
  </si>
  <si>
    <t>117589681301</t>
  </si>
  <si>
    <t>Jan 22, 2026</t>
  </si>
  <si>
    <t>T2601222059160124661143</t>
  </si>
  <si>
    <t>731007421705</t>
  </si>
  <si>
    <t>T2601221929551068033781</t>
  </si>
  <si>
    <t>474620753960</t>
  </si>
  <si>
    <t>Paid to Sai tejaswi curries &amp; roties</t>
  </si>
  <si>
    <t>T2601221359314734682644</t>
  </si>
  <si>
    <t>335197264298</t>
  </si>
  <si>
    <t>01:58 pm</t>
  </si>
  <si>
    <t>T2601221358478891766360</t>
  </si>
  <si>
    <t>798594355665</t>
  </si>
  <si>
    <t>Jan 21, 2026</t>
  </si>
  <si>
    <t>T2601212105149137181668</t>
  </si>
  <si>
    <t>454230341926</t>
  </si>
  <si>
    <t>Received from Mounika Bairoju</t>
  </si>
  <si>
    <t>T2601211437175354517467</t>
  </si>
  <si>
    <t>598776807832</t>
  </si>
  <si>
    <t>11:41 am</t>
  </si>
  <si>
    <t>Paid to Manoj Kumar</t>
  </si>
  <si>
    <t>T2601211141071666736903</t>
  </si>
  <si>
    <t>283685984720</t>
  </si>
  <si>
    <t>Jan 20, 2026</t>
  </si>
  <si>
    <t>Received from Kammasatti Nagalakshmi</t>
  </si>
  <si>
    <t>T2601202012002551528961</t>
  </si>
  <si>
    <t>638652843424</t>
  </si>
  <si>
    <t>07:39 pm</t>
  </si>
  <si>
    <t>Received from Sravan</t>
  </si>
  <si>
    <t>T2601201939044393703867</t>
  </si>
  <si>
    <t>154463943972</t>
  </si>
  <si>
    <t>T2601201732080569775876</t>
  </si>
  <si>
    <t>625401086366</t>
  </si>
  <si>
    <t>Paid to Sri SANGAMESHWARA CHAT BANDAR</t>
  </si>
  <si>
    <t>T2601201353028571177121</t>
  </si>
  <si>
    <t>193168420152</t>
  </si>
  <si>
    <t>T2601201351561917532720</t>
  </si>
  <si>
    <t>529903061640</t>
  </si>
  <si>
    <t>Jan 19, 2026</t>
  </si>
  <si>
    <t>11:20 pm</t>
  </si>
  <si>
    <t>T2601192320350293743234</t>
  </si>
  <si>
    <t>009669852919</t>
  </si>
  <si>
    <t>Paid to VINAYAKA HOTEL</t>
  </si>
  <si>
    <t>T2601191947482109484640</t>
  </si>
  <si>
    <t>686132666075</t>
  </si>
  <si>
    <t>07:04 pm</t>
  </si>
  <si>
    <t>Received from ******8793</t>
  </si>
  <si>
    <t>T2601191904100198624928</t>
  </si>
  <si>
    <t>705245152765</t>
  </si>
  <si>
    <t>Paid to Vinod Kumar Miksar Bel puri</t>
  </si>
  <si>
    <t>T2601191841464725292229</t>
  </si>
  <si>
    <t>917895853364</t>
  </si>
  <si>
    <t>Received from Ambali kishan</t>
  </si>
  <si>
    <t>T2601191817443742336194</t>
  </si>
  <si>
    <t>515206048580</t>
  </si>
  <si>
    <t>10:19 am</t>
  </si>
  <si>
    <t>Paid to MPOKKET</t>
  </si>
  <si>
    <t>T2601191018580618916092</t>
  </si>
  <si>
    <t>833815437471</t>
  </si>
  <si>
    <t>09:43 am</t>
  </si>
  <si>
    <t>T2601190943216888277155</t>
  </si>
  <si>
    <t>348889002171</t>
  </si>
  <si>
    <t>Jan 18, 2026</t>
  </si>
  <si>
    <t>06:50 pm</t>
  </si>
  <si>
    <t>Paid to Syed Kabeer Ali</t>
  </si>
  <si>
    <t>T2601181850023672380887</t>
  </si>
  <si>
    <t>425545819416</t>
  </si>
  <si>
    <t>12:54 pm</t>
  </si>
  <si>
    <t>T2601181254071321730398</t>
  </si>
  <si>
    <t>158851094149</t>
  </si>
  <si>
    <t>12:53 pm</t>
  </si>
  <si>
    <t>T2601181253263105840906</t>
  </si>
  <si>
    <t>248953399493</t>
  </si>
  <si>
    <t>Jan 17, 2026</t>
  </si>
  <si>
    <t>Paid to APPALA SRINIVAS</t>
  </si>
  <si>
    <t>T2601172112195983289536</t>
  </si>
  <si>
    <t>405295693855</t>
  </si>
  <si>
    <t>08:00 pm</t>
  </si>
  <si>
    <t>Paid to RAJANNA KIRANAM</t>
  </si>
  <si>
    <t>T2601172000531766925366</t>
  </si>
  <si>
    <t>042094081930</t>
  </si>
  <si>
    <t>Paid to HP Petrol Pump - Sri Srinivasa Filling Station Kasipet</t>
  </si>
  <si>
    <t>T2601171946037702220530</t>
  </si>
  <si>
    <t>227316528300</t>
  </si>
  <si>
    <t>T2601171910352751730976</t>
  </si>
  <si>
    <t>599747706318</t>
  </si>
  <si>
    <t>Paid to BODENKI MAHESH</t>
  </si>
  <si>
    <t>T2601171352463671746734</t>
  </si>
  <si>
    <t>321675501889</t>
  </si>
  <si>
    <t>T2601171320337014628586</t>
  </si>
  <si>
    <t>884637870138</t>
  </si>
  <si>
    <t>Jan 16, 2026</t>
  </si>
  <si>
    <t>01:14 pm</t>
  </si>
  <si>
    <t>Paid to UTTURI RAHUL</t>
  </si>
  <si>
    <t>T2601161314452307068118</t>
  </si>
  <si>
    <t>496891590044</t>
  </si>
  <si>
    <t>Received from Balu Mama</t>
  </si>
  <si>
    <t>T2601161311472186413057</t>
  </si>
  <si>
    <t>217465061760</t>
  </si>
  <si>
    <t>Jan 14, 2026</t>
  </si>
  <si>
    <t>08:07 pm</t>
  </si>
  <si>
    <t>T2601142007252846157377</t>
  </si>
  <si>
    <t>341867899823</t>
  </si>
  <si>
    <t>Paid to KANAKAIAH UDUTHALA</t>
  </si>
  <si>
    <t>T2601141515257190881128</t>
  </si>
  <si>
    <t>147217174077</t>
  </si>
  <si>
    <t>03:08 pm</t>
  </si>
  <si>
    <t>T2601141508550843570697</t>
  </si>
  <si>
    <t>315025316413</t>
  </si>
  <si>
    <t>Jan 13, 2026</t>
  </si>
  <si>
    <t>T2601132144111311282561</t>
  </si>
  <si>
    <t>793513617006</t>
  </si>
  <si>
    <t>Paid to RAJITHA TIFFIN CENTRE</t>
  </si>
  <si>
    <t>T2601131422464844355753</t>
  </si>
  <si>
    <t>034626075530</t>
  </si>
  <si>
    <t>02:12 pm</t>
  </si>
  <si>
    <t>Paid to SRI CLASSIC FAMILY DHABA</t>
  </si>
  <si>
    <t>T2601131412193548445161</t>
  </si>
  <si>
    <t>565362479320</t>
  </si>
  <si>
    <t>Paid to KOMMA RAMESH</t>
  </si>
  <si>
    <t>T2601131340003035478806</t>
  </si>
  <si>
    <t>363415794084</t>
  </si>
  <si>
    <t>T2601131220307896350402</t>
  </si>
  <si>
    <t>530903398904</t>
  </si>
  <si>
    <t>Received from Akka2</t>
  </si>
  <si>
    <t>T2601131152057451812369</t>
  </si>
  <si>
    <t>590968342875</t>
  </si>
  <si>
    <t>T2601131151500478895481</t>
  </si>
  <si>
    <t>360452004130</t>
  </si>
  <si>
    <t>Jan 12, 2026</t>
  </si>
  <si>
    <t>Paid to CHEEPELLI  SWAMY</t>
  </si>
  <si>
    <t>T2601122231265431844671</t>
  </si>
  <si>
    <t>032276770728</t>
  </si>
  <si>
    <t>Paid to Mandamarri Toll Plaza</t>
  </si>
  <si>
    <t>T2601122112272453294009</t>
  </si>
  <si>
    <t>191608252848</t>
  </si>
  <si>
    <t>08:29 pm</t>
  </si>
  <si>
    <t>T2601122029263967369564</t>
  </si>
  <si>
    <t>701354977199</t>
  </si>
  <si>
    <t>T2601122009092596317901</t>
  </si>
  <si>
    <t>517065661365</t>
  </si>
  <si>
    <t>T2601122001426775686927</t>
  </si>
  <si>
    <t>705580339279</t>
  </si>
  <si>
    <t>Jan 11, 2026</t>
  </si>
  <si>
    <t>Paid to Uduthala  Kanakaiah</t>
  </si>
  <si>
    <t>T2601112110181789038439</t>
  </si>
  <si>
    <t>512925562664</t>
  </si>
  <si>
    <t>T2601111448507184215519</t>
  </si>
  <si>
    <t>247391294270</t>
  </si>
  <si>
    <t>Paid to GURURAJ KRUPA AUTOMOBILES</t>
  </si>
  <si>
    <t>T2601111352200420824347</t>
  </si>
  <si>
    <t>449302816201</t>
  </si>
  <si>
    <t>Jan 10, 2026</t>
  </si>
  <si>
    <t>10:38 pm</t>
  </si>
  <si>
    <t>T2601102238515273617811</t>
  </si>
  <si>
    <t>749779102576</t>
  </si>
  <si>
    <t>10:29 pm</t>
  </si>
  <si>
    <t>T2601102229107178054718</t>
  </si>
  <si>
    <t>945512710007</t>
  </si>
  <si>
    <t>T2601101518436659950938</t>
  </si>
  <si>
    <t>468235641075</t>
  </si>
  <si>
    <t>02:59 pm</t>
  </si>
  <si>
    <t>T2601101459436895938781</t>
  </si>
  <si>
    <t>082977049985</t>
  </si>
  <si>
    <t>02:34 pm</t>
  </si>
  <si>
    <t>Paid to CHINTAM PUJA</t>
  </si>
  <si>
    <t>T2601101434341532860280</t>
  </si>
  <si>
    <t>776067193062</t>
  </si>
  <si>
    <t>Jan 09, 2026</t>
  </si>
  <si>
    <t>Paid to MOHD ABDULHAMEED AKTHAR</t>
  </si>
  <si>
    <t>T2601091815025695354333</t>
  </si>
  <si>
    <t>091256355783</t>
  </si>
  <si>
    <t>08:01 am</t>
  </si>
  <si>
    <t>T2601090801138241253052</t>
  </si>
  <si>
    <t>071251976446</t>
  </si>
  <si>
    <t>Jan 07, 2026</t>
  </si>
  <si>
    <t>T2601071349275008125608</t>
  </si>
  <si>
    <t>203617062177</t>
  </si>
  <si>
    <t>T2601071325542869168107</t>
  </si>
  <si>
    <t>106142264661</t>
  </si>
  <si>
    <t>Paid to ZAIQA RESTAURANT</t>
  </si>
  <si>
    <t>T2601071322565498027873</t>
  </si>
  <si>
    <t>687901270361</t>
  </si>
  <si>
    <t>Jan 06, 2026</t>
  </si>
  <si>
    <t>Paid to KARTIK KOTA</t>
  </si>
  <si>
    <t>T2601062229390858182481</t>
  </si>
  <si>
    <t>156910369208</t>
  </si>
  <si>
    <t>T2601062044365269382613</t>
  </si>
  <si>
    <t>298868919388</t>
  </si>
  <si>
    <t>Paid to SIMLA TEA TRADERS</t>
  </si>
  <si>
    <t>T2601061333071144949237</t>
  </si>
  <si>
    <t>344188239737</t>
  </si>
  <si>
    <t>09:16 am</t>
  </si>
  <si>
    <t>Paid to Balaji Tiffin Center</t>
  </si>
  <si>
    <t>T2601060916547804155009</t>
  </si>
  <si>
    <t>717911713578</t>
  </si>
  <si>
    <t>Jan 05, 2026</t>
  </si>
  <si>
    <t>T2601052137007607957459</t>
  </si>
  <si>
    <t>055741965530</t>
  </si>
  <si>
    <t>Paid to NIMMANA ESHWAR RAO</t>
  </si>
  <si>
    <t>T2601052125268856783697</t>
  </si>
  <si>
    <t>013788853998</t>
  </si>
  <si>
    <t>Paid to 15689 Apollo Pharmacy</t>
  </si>
  <si>
    <t>T2601052119185850616581</t>
  </si>
  <si>
    <t>663735271911</t>
  </si>
  <si>
    <t>Paid to MOHAMMED RAFEE</t>
  </si>
  <si>
    <t>T2601052100419805367259</t>
  </si>
  <si>
    <t>859090043479</t>
  </si>
  <si>
    <t>Paid to ARABIAN NIGHTS MANDI RESTAURANT</t>
  </si>
  <si>
    <t>T2601052052563024144007</t>
  </si>
  <si>
    <t>521688457162</t>
  </si>
  <si>
    <t>Paid to KUNDULA SURYA DEVI</t>
  </si>
  <si>
    <t>T2601051959126278306800</t>
  </si>
  <si>
    <t>629869021564</t>
  </si>
  <si>
    <t>T2601051732177397355730</t>
  </si>
  <si>
    <t>623462484878</t>
  </si>
  <si>
    <t>Paid to Arya Bhavan - Punjagutta</t>
  </si>
  <si>
    <t>T2601051340152366437935</t>
  </si>
  <si>
    <t>351974507053</t>
  </si>
  <si>
    <t>T2601051335538551174246</t>
  </si>
  <si>
    <t>449109714760</t>
  </si>
  <si>
    <t>09:06 am</t>
  </si>
  <si>
    <t>T2601050906061424046310</t>
  </si>
  <si>
    <t>199468403886</t>
  </si>
  <si>
    <t>Jan 04, 2026</t>
  </si>
  <si>
    <t>Paid to ABDUL SALEEM</t>
  </si>
  <si>
    <t>T2601042332069355310467</t>
  </si>
  <si>
    <t>522528695115</t>
  </si>
  <si>
    <t>Paid to SRINAGAR MEDICAL HALL</t>
  </si>
  <si>
    <t>T2601042116104884067191</t>
  </si>
  <si>
    <t>574531735460</t>
  </si>
  <si>
    <t>Paid to DNR THE BAKEHOUSE</t>
  </si>
  <si>
    <t>T2601042112539256317774</t>
  </si>
  <si>
    <t>656446840415</t>
  </si>
  <si>
    <t>T2601042035229030177542</t>
  </si>
  <si>
    <t>715691938256</t>
  </si>
  <si>
    <t>T2601041730566801095908</t>
  </si>
  <si>
    <t>834016565974</t>
  </si>
  <si>
    <t>Paid to SRI TIRUMALA GENERIC MEDICAL STORE</t>
  </si>
  <si>
    <t>T2601041705481814944714</t>
  </si>
  <si>
    <t>533993384298</t>
  </si>
  <si>
    <t>Paid to DOMA RAJU</t>
  </si>
  <si>
    <t>T2601041703457859348071</t>
  </si>
  <si>
    <t>071891164620</t>
  </si>
  <si>
    <t>Paid to Shekar Kirana</t>
  </si>
  <si>
    <t>T2601041350045791435112</t>
  </si>
  <si>
    <t>390747026787</t>
  </si>
  <si>
    <t>Jan 03, 2026</t>
  </si>
  <si>
    <t>T2601032144252211596481</t>
  </si>
  <si>
    <t>988853140262</t>
  </si>
  <si>
    <t>Paid to Jagannath</t>
  </si>
  <si>
    <t>T2601032124156457204572</t>
  </si>
  <si>
    <t>011653923292</t>
  </si>
  <si>
    <t>Paid to BACHHU LAVANYA</t>
  </si>
  <si>
    <t>T2601032052280605158391</t>
  </si>
  <si>
    <t>953009174647</t>
  </si>
  <si>
    <t>T2601032024048287943695</t>
  </si>
  <si>
    <t>252915130973</t>
  </si>
  <si>
    <t>Paid to Venkateshwar Vegetables</t>
  </si>
  <si>
    <t>T2601031758084062278206</t>
  </si>
  <si>
    <t>935621053092</t>
  </si>
  <si>
    <t>OLEX2601030829104355375371</t>
  </si>
  <si>
    <t>102373165245</t>
  </si>
  <si>
    <t>Jan 02, 2026</t>
  </si>
  <si>
    <t>T2601022029553260262118</t>
  </si>
  <si>
    <t>575776597762</t>
  </si>
  <si>
    <t>11:10 am</t>
  </si>
  <si>
    <t>T2601021110379880099789</t>
  </si>
  <si>
    <t>277428369891</t>
  </si>
  <si>
    <t>Jan 01, 2026</t>
  </si>
  <si>
    <t>11:02 pm</t>
  </si>
  <si>
    <t>T2601012302515354944327</t>
  </si>
  <si>
    <t>836667836964</t>
  </si>
  <si>
    <t>Dec 31, 2025</t>
  </si>
  <si>
    <t>Paid to MOHAMMEDIA MANDI HOUSE</t>
  </si>
  <si>
    <t>T2512311426290487795243</t>
  </si>
  <si>
    <t>192222021389</t>
  </si>
  <si>
    <t>T2512311249334880075589</t>
  </si>
  <si>
    <t>770430645594</t>
  </si>
  <si>
    <t>Dec 29, 2025</t>
  </si>
  <si>
    <t>Paid to Sri Tirumala Stationery</t>
  </si>
  <si>
    <t>T2512292158420190303503</t>
  </si>
  <si>
    <t>937415511384</t>
  </si>
  <si>
    <t>Dec 28, 2025</t>
  </si>
  <si>
    <t>Paid to NINETIES KITCHEN</t>
  </si>
  <si>
    <t>T2512282153117395820615</t>
  </si>
  <si>
    <t>694844948013</t>
  </si>
  <si>
    <t>T2512282151077142852067</t>
  </si>
  <si>
    <t>641649031017</t>
  </si>
  <si>
    <t>Dec 27, 2025</t>
  </si>
  <si>
    <t>Paid to BELGIUM WAFFLE</t>
  </si>
  <si>
    <t>T2512272231216299718130</t>
  </si>
  <si>
    <t>692425959719</t>
  </si>
  <si>
    <t>Paid to Kanteboina Prashanth Kumar Yadav</t>
  </si>
  <si>
    <t>T2512271217588995606826</t>
  </si>
  <si>
    <t>855556055403</t>
  </si>
  <si>
    <t>Dec 26, 2025</t>
  </si>
  <si>
    <t>T2512262353116105245053</t>
  </si>
  <si>
    <t>308992598828</t>
  </si>
  <si>
    <t>07:20 pm</t>
  </si>
  <si>
    <t>T2512261919580715558129</t>
  </si>
  <si>
    <t>161749733905</t>
  </si>
  <si>
    <t>T2512261408045307943352</t>
  </si>
  <si>
    <t>573961298668</t>
  </si>
  <si>
    <t>T2512261338071814046797</t>
  </si>
  <si>
    <t>490566573474</t>
  </si>
  <si>
    <t>12:09 pm</t>
  </si>
  <si>
    <t>T2512261209262737867937</t>
  </si>
  <si>
    <t>762103344787</t>
  </si>
  <si>
    <t>T2512261053120133712623</t>
  </si>
  <si>
    <t>594774283954</t>
  </si>
  <si>
    <t>Dec 25, 2025</t>
  </si>
  <si>
    <t>Paid to Chandu Odnala 💞</t>
  </si>
  <si>
    <t>T2512252334060307775650</t>
  </si>
  <si>
    <t>947321412997</t>
  </si>
  <si>
    <t>11:33 pm</t>
  </si>
  <si>
    <t>T2512252333287434046051</t>
  </si>
  <si>
    <t>284266295119</t>
  </si>
  <si>
    <t>T2512251734487961955229</t>
  </si>
  <si>
    <t>968051149555</t>
  </si>
  <si>
    <t>T2512251733278388258340</t>
  </si>
  <si>
    <t>189199571413</t>
  </si>
  <si>
    <t>T2512251425189010727054</t>
  </si>
  <si>
    <t>137517366094</t>
  </si>
  <si>
    <t>01:57 pm</t>
  </si>
  <si>
    <t>Mobile recharged 7093233023 Jio Prepaid Reference ID 24745209290</t>
  </si>
  <si>
    <t>NX25122513574948126009781</t>
  </si>
  <si>
    <t>245957861946</t>
  </si>
  <si>
    <t>Paid to SUBODH YADAV</t>
  </si>
  <si>
    <t>T2512251120259545415932</t>
  </si>
  <si>
    <t>187435192139</t>
  </si>
  <si>
    <t>Dec 24, 2025</t>
  </si>
  <si>
    <t>11:19 pm</t>
  </si>
  <si>
    <t>T2512242319247533847438</t>
  </si>
  <si>
    <t>592703897634</t>
  </si>
  <si>
    <t>01:47 pm</t>
  </si>
  <si>
    <t>Paid to AL MUSTAFA CHICHEN CENTER</t>
  </si>
  <si>
    <t>T2512241347038379777473</t>
  </si>
  <si>
    <t>295572456559</t>
  </si>
  <si>
    <t>Dec 23, 2025</t>
  </si>
  <si>
    <t>Mobile recharged 7093233023 Jio Prepaid Reference ID 24734071725</t>
  </si>
  <si>
    <t>NX25122320072243275762791</t>
  </si>
  <si>
    <t>605596929006</t>
  </si>
  <si>
    <t>04:56 pm</t>
  </si>
  <si>
    <t>Paid to PHANIDAPU NAGARJUNA</t>
  </si>
  <si>
    <t>T2512231656534822442326</t>
  </si>
  <si>
    <t>434264000756</t>
  </si>
  <si>
    <t>04:00 pm</t>
  </si>
  <si>
    <t>T2512231559567623845963</t>
  </si>
  <si>
    <t>198901486290</t>
  </si>
  <si>
    <t>Dec 22, 2025</t>
  </si>
  <si>
    <t>Paid to BALA HANUMAN MENS PG HOSTEL</t>
  </si>
  <si>
    <t>T2512222028297854101152</t>
  </si>
  <si>
    <t>906643528918</t>
  </si>
  <si>
    <t>Paid to Gopi Nrcm</t>
  </si>
  <si>
    <t>T2512221941337943819219</t>
  </si>
  <si>
    <t>018742654028</t>
  </si>
  <si>
    <t>Paid to KOTLA MOHAMMED</t>
  </si>
  <si>
    <t>T2512221452221837818253</t>
  </si>
  <si>
    <t>796900712963</t>
  </si>
  <si>
    <t>Paid to GANESH TEA</t>
  </si>
  <si>
    <t>T2512221344034907867237</t>
  </si>
  <si>
    <t>825496959936</t>
  </si>
  <si>
    <t>08:43 am</t>
  </si>
  <si>
    <t>Paid to DASARI SAI</t>
  </si>
  <si>
    <t>T2512220843323914503999</t>
  </si>
  <si>
    <t>128505964655</t>
  </si>
  <si>
    <t>Dec 21, 2025</t>
  </si>
  <si>
    <t>Paid to MOUNESHA N R</t>
  </si>
  <si>
    <t>T2512212252055898563992</t>
  </si>
  <si>
    <t>808520865480</t>
  </si>
  <si>
    <t>Paid to Naga Chandhru J</t>
  </si>
  <si>
    <t>T2512212235225632157289</t>
  </si>
  <si>
    <t>344247375389</t>
  </si>
  <si>
    <t>02:06 pm</t>
  </si>
  <si>
    <t>T2512211406280728038105</t>
  </si>
  <si>
    <t>475017610315</t>
  </si>
  <si>
    <t>T2512211108272149594045</t>
  </si>
  <si>
    <t>974201290788</t>
  </si>
  <si>
    <t>Dec 20, 2025</t>
  </si>
  <si>
    <t>T2512202252281866868883</t>
  </si>
  <si>
    <t>200946343169</t>
  </si>
  <si>
    <t>Paid to KISHAN LAL GAYRI SO TARA CHD</t>
  </si>
  <si>
    <t>T2512201908178299927487</t>
  </si>
  <si>
    <t>770963604386</t>
  </si>
  <si>
    <t>T2512201427059725528472</t>
  </si>
  <si>
    <t>550486358132</t>
  </si>
  <si>
    <t>12:36 pm</t>
  </si>
  <si>
    <t>Paid to PULI VENKATESWARLU</t>
  </si>
  <si>
    <t>T2512201236503359266562</t>
  </si>
  <si>
    <t>781122260124</t>
  </si>
  <si>
    <t>Dec 19, 2025</t>
  </si>
  <si>
    <t>Paid to Ice cream and juice center</t>
  </si>
  <si>
    <t>T2512190001590106428609</t>
  </si>
  <si>
    <t>078785883697</t>
  </si>
  <si>
    <t>12:00 am</t>
  </si>
  <si>
    <t>Paid to Bakery</t>
  </si>
  <si>
    <t>T2512182359586844629983</t>
  </si>
  <si>
    <t>367640323803</t>
  </si>
  <si>
    <t>Dec 18, 2025</t>
  </si>
  <si>
    <t>Paid to MEENIGA MADHU</t>
  </si>
  <si>
    <t>T2512182348344615410617</t>
  </si>
  <si>
    <t>473238861728</t>
  </si>
  <si>
    <t>Paid to Vishal  Kumar</t>
  </si>
  <si>
    <t>T2512182050310511323724</t>
  </si>
  <si>
    <t>223887912673</t>
  </si>
  <si>
    <t>T2512181951566631060885</t>
  </si>
  <si>
    <t>549544938360</t>
  </si>
  <si>
    <t>Paid to NET ZONE</t>
  </si>
  <si>
    <t>T2512181358201066904690</t>
  </si>
  <si>
    <t>022265082801</t>
  </si>
  <si>
    <t>01:54 pm</t>
  </si>
  <si>
    <t>Paid to RAJA REDDY</t>
  </si>
  <si>
    <t>T2512181354280866904187</t>
  </si>
  <si>
    <t>693856916048</t>
  </si>
  <si>
    <t>Received from Sai Kumar Btech</t>
  </si>
  <si>
    <t>T2512181353391022984975</t>
  </si>
  <si>
    <t>850023183394</t>
  </si>
  <si>
    <t>T2512181353225581085545</t>
  </si>
  <si>
    <t>760839004661</t>
  </si>
  <si>
    <t>01:23 pm</t>
  </si>
  <si>
    <t>T2512181323136737400110</t>
  </si>
  <si>
    <t>510059306428</t>
  </si>
  <si>
    <t>12:16 pm</t>
  </si>
  <si>
    <t>T2512181216374705176248</t>
  </si>
  <si>
    <t>787857763586</t>
  </si>
  <si>
    <t>Paid to MPOKKET FINANCIAL SERVICES PRIVATE LIMITED</t>
  </si>
  <si>
    <t>T2512181049276412067888</t>
  </si>
  <si>
    <t>978911390721</t>
  </si>
  <si>
    <t>Dec 17, 2025</t>
  </si>
  <si>
    <t>Paid to TASTE RIDE</t>
  </si>
  <si>
    <t>T2512171809503679994876</t>
  </si>
  <si>
    <t>981824200033</t>
  </si>
  <si>
    <t>04:55 pm</t>
  </si>
  <si>
    <t>Mobile recharged 7093233023 Jio Prepaid Reference ID 24688775503</t>
  </si>
  <si>
    <t>NX25121716552164727264121</t>
  </si>
  <si>
    <t>589684236337</t>
  </si>
  <si>
    <t>Paid to LALITHA FILLING STATION IOCL NAGARAM-Pump 2</t>
  </si>
  <si>
    <t>T2512171458403759127880</t>
  </si>
  <si>
    <t>597856398242</t>
  </si>
  <si>
    <t>02:57 pm</t>
  </si>
  <si>
    <t>T2512171456570822186089</t>
  </si>
  <si>
    <t>037318019153</t>
  </si>
  <si>
    <t>01:32 pm</t>
  </si>
  <si>
    <t>Paid to NEW DELHIWALA SWEETS HOUSE</t>
  </si>
  <si>
    <t>T2512171332106801932132</t>
  </si>
  <si>
    <t>647688632343</t>
  </si>
  <si>
    <t>Dec 16, 2025</t>
  </si>
  <si>
    <t>Paid to P   JAGADEESH</t>
  </si>
  <si>
    <t>T2512162139282540155448</t>
  </si>
  <si>
    <t>672123961627</t>
  </si>
  <si>
    <t>Dec 14, 2025</t>
  </si>
  <si>
    <t>T2512141853528748159276</t>
  </si>
  <si>
    <t>771695692448</t>
  </si>
  <si>
    <t>Payment to Google</t>
  </si>
  <si>
    <t>OLEX2512141852541546816320</t>
  </si>
  <si>
    <t>675204213485</t>
  </si>
  <si>
    <t>Dec 13, 2025</t>
  </si>
  <si>
    <t>06:24 pm</t>
  </si>
  <si>
    <t>Mobile recharged 7093233023 Jio Prepaid Reference ID 24660522128</t>
  </si>
  <si>
    <t>NX25121318245316231419051</t>
  </si>
  <si>
    <t>836455563587</t>
  </si>
  <si>
    <t>Paid to AVENUE SUPERMARTS LTD</t>
  </si>
  <si>
    <t>T2512131535301851626043</t>
  </si>
  <si>
    <t>259385070454</t>
  </si>
  <si>
    <t>T2512131236123140626762</t>
  </si>
  <si>
    <t>298524991232</t>
  </si>
  <si>
    <t>T2512131232446308718697</t>
  </si>
  <si>
    <t>434974393083</t>
  </si>
  <si>
    <t>Dec 10, 2025</t>
  </si>
  <si>
    <t>09:33 am</t>
  </si>
  <si>
    <t>T2512100933197945711037</t>
  </si>
  <si>
    <t>380416105155</t>
  </si>
  <si>
    <t>Dec 09, 2025</t>
  </si>
  <si>
    <t>T2512091758091266768534</t>
  </si>
  <si>
    <t>903425420547</t>
  </si>
  <si>
    <t>Paid to GURRAM NAGALAXMI</t>
  </si>
  <si>
    <t>T2512091659298821265834</t>
  </si>
  <si>
    <t>930955469242</t>
  </si>
  <si>
    <t>T2512091658563802994756</t>
  </si>
  <si>
    <t>968446951810</t>
  </si>
  <si>
    <t>04:43 pm</t>
  </si>
  <si>
    <t>T2512091643123540046578</t>
  </si>
  <si>
    <t>250473219559</t>
  </si>
  <si>
    <t>11:15 am</t>
  </si>
  <si>
    <t>Paid to Parvathi Parameswara Fuel Station</t>
  </si>
  <si>
    <t>T2512091115488045518447</t>
  </si>
  <si>
    <t>396694045665</t>
  </si>
  <si>
    <t>10:59 am</t>
  </si>
  <si>
    <t>Paid to Mr  Koyyada  Anjaney</t>
  </si>
  <si>
    <t>T2512091059058334650804</t>
  </si>
  <si>
    <t>590527875301</t>
  </si>
  <si>
    <t>Dec 08, 2025</t>
  </si>
  <si>
    <t>T2512082011463105928244</t>
  </si>
  <si>
    <t>446236583943</t>
  </si>
  <si>
    <t>Mobile recharged 7093233023 Jio Prepaid Reference ID 24622926454</t>
  </si>
  <si>
    <t>NX25120815280480160240281</t>
  </si>
  <si>
    <t>523251192970</t>
  </si>
  <si>
    <t>Dec 07, 2025</t>
  </si>
  <si>
    <t>T2512071506168640285871</t>
  </si>
  <si>
    <t>969450856656</t>
  </si>
  <si>
    <t>Dec 06, 2025</t>
  </si>
  <si>
    <t>Paid to Lavanya Chunchu</t>
  </si>
  <si>
    <t>T2512061606027350806954</t>
  </si>
  <si>
    <t>223169152061</t>
  </si>
  <si>
    <t>03:45 pm</t>
  </si>
  <si>
    <t>Paid to Thogari Udaykiran</t>
  </si>
  <si>
    <t>T2512061545192020285784</t>
  </si>
  <si>
    <t>697942392008</t>
  </si>
  <si>
    <t>T2512061518093865640165</t>
  </si>
  <si>
    <t>767319873897</t>
  </si>
  <si>
    <t>03:13 pm</t>
  </si>
  <si>
    <t>T2512061513218692252914</t>
  </si>
  <si>
    <t>131900345514</t>
  </si>
  <si>
    <t>Dec 05, 2025</t>
  </si>
  <si>
    <t>Paid to SAI DURGA DEVAPUR WINES</t>
  </si>
  <si>
    <t>T2512052101429330040844</t>
  </si>
  <si>
    <t>315759985963</t>
  </si>
  <si>
    <t>Received from CCTVmhc X77564yy</t>
  </si>
  <si>
    <t>T2512052058496396205434</t>
  </si>
  <si>
    <t>821596161055</t>
  </si>
  <si>
    <t>T2512052056180121057571</t>
  </si>
  <si>
    <t>102920514640</t>
  </si>
  <si>
    <t>Paid to Sunny Ngrn</t>
  </si>
  <si>
    <t>T2512051525113201021196</t>
  </si>
  <si>
    <t>939445133346</t>
  </si>
  <si>
    <t>Mobile recharged 7093233023 Jio Prepaid Reference ID 24599607366</t>
  </si>
  <si>
    <t>NX25120513485793925594161</t>
  </si>
  <si>
    <t>130397054706</t>
  </si>
  <si>
    <t>Paid to ANNAPURNA TIFFIN CENTRE</t>
  </si>
  <si>
    <t>T2512051051598410806120</t>
  </si>
  <si>
    <t>233289444486</t>
  </si>
  <si>
    <t>05:13 am</t>
  </si>
  <si>
    <t>Paid to Shaik Imran</t>
  </si>
  <si>
    <t>T2512050513380948744347</t>
  </si>
  <si>
    <t>596777499566</t>
  </si>
  <si>
    <t>Dec 04, 2025</t>
  </si>
  <si>
    <t>Paid to Sree Ganesh Kirana &amp;General Stores</t>
  </si>
  <si>
    <t>T2512041353444295173662</t>
  </si>
  <si>
    <t>444541288630</t>
  </si>
  <si>
    <t>Dec 03, 2025</t>
  </si>
  <si>
    <t>Paid to TUMU HARIDEEP REDDY</t>
  </si>
  <si>
    <t>T2512032112459539037191</t>
  </si>
  <si>
    <t>821183956945</t>
  </si>
  <si>
    <t>T2512032110030852683747</t>
  </si>
  <si>
    <t>409638349753</t>
  </si>
  <si>
    <t>Received from Maram kumar</t>
  </si>
  <si>
    <t>T2512031942440513809214</t>
  </si>
  <si>
    <t>045689232990</t>
  </si>
  <si>
    <t>Paid to Raja Shekar Hanuman</t>
  </si>
  <si>
    <t>T2512031902545731143597</t>
  </si>
  <si>
    <t>273028025457</t>
  </si>
  <si>
    <t>04:21 pm</t>
  </si>
  <si>
    <t>Received from Paul Naveen Babu</t>
  </si>
  <si>
    <t>T2512031621056516394377</t>
  </si>
  <si>
    <t>533715422226</t>
  </si>
  <si>
    <t>03:41 pm</t>
  </si>
  <si>
    <t>T2512031541255863489666</t>
  </si>
  <si>
    <t>695660869423</t>
  </si>
  <si>
    <t>08:21 am</t>
  </si>
  <si>
    <t>OLEX2512030821265782041053</t>
  </si>
  <si>
    <t>102118968559</t>
  </si>
  <si>
    <t>Dec 02, 2025</t>
  </si>
  <si>
    <t>Paid to Cane House</t>
  </si>
  <si>
    <t>T2512022017057766156574</t>
  </si>
  <si>
    <t>487751027369</t>
  </si>
  <si>
    <t>T2512021634053325633273</t>
  </si>
  <si>
    <t>562443937882</t>
  </si>
  <si>
    <t>Paid to SRI BALAJI JALEBI WALA</t>
  </si>
  <si>
    <t>T2512021609175153281570</t>
  </si>
  <si>
    <t>194786439312</t>
  </si>
  <si>
    <t>04:08 pm</t>
  </si>
  <si>
    <t>T2512021608541077660603</t>
  </si>
  <si>
    <t>637412544124</t>
  </si>
  <si>
    <t>04:02 pm</t>
  </si>
  <si>
    <t>Received from DONTHOJI KOWSHIK</t>
  </si>
  <si>
    <t>T2512021602040901345554</t>
  </si>
  <si>
    <t>533651992480</t>
  </si>
  <si>
    <t>Paid to Chinna KI Bandi</t>
  </si>
  <si>
    <t>T2512021236354048667729</t>
  </si>
  <si>
    <t>644403194946</t>
  </si>
  <si>
    <t>11:48 am</t>
  </si>
  <si>
    <t>Paid to SREE GANESH KIRANA  GENERAL STORES</t>
  </si>
  <si>
    <t>T2512021148071468494338</t>
  </si>
  <si>
    <t>131259204602</t>
  </si>
  <si>
    <t>T2512021114175529107005</t>
  </si>
  <si>
    <t>578307405584</t>
  </si>
  <si>
    <t>T2512021109354947472982</t>
  </si>
  <si>
    <t>880918626875</t>
  </si>
  <si>
    <t>Dec 01, 2025</t>
  </si>
  <si>
    <t>T2512011814248407369087</t>
  </si>
  <si>
    <t>713440897439</t>
  </si>
  <si>
    <t>Nov 30, 2025</t>
  </si>
  <si>
    <t>T2511302004081201948919</t>
  </si>
  <si>
    <t>470326794114</t>
  </si>
  <si>
    <t>Paid to MUKESH TAK</t>
  </si>
  <si>
    <t>T2511301937177184094107</t>
  </si>
  <si>
    <t>652789533295</t>
  </si>
  <si>
    <t>Received from Venu Btech 🔥🔥</t>
  </si>
  <si>
    <t>T2511301900036388330433</t>
  </si>
  <si>
    <t>582266000377</t>
  </si>
  <si>
    <t>FASTag Recharge for TS08GQ5287</t>
  </si>
  <si>
    <t>Bharat Connect  PP015334BX28V174U686</t>
  </si>
  <si>
    <t>852218498390</t>
  </si>
  <si>
    <t>T2511301355588905970022</t>
  </si>
  <si>
    <t>861026726014</t>
  </si>
  <si>
    <t>T2511301117055040250609</t>
  </si>
  <si>
    <t>461332368824</t>
  </si>
  <si>
    <t>12:41 am</t>
  </si>
  <si>
    <t>Paid to Eazydiner Private Limited</t>
  </si>
  <si>
    <t>T2511300041199268517602</t>
  </si>
  <si>
    <t>451976377034</t>
  </si>
  <si>
    <t>Nov 29, 2025</t>
  </si>
  <si>
    <t>Paid to Star Fuel Station</t>
  </si>
  <si>
    <t>T2511292045080902450088</t>
  </si>
  <si>
    <t>224426013807</t>
  </si>
  <si>
    <t>Paid to SRI LAXMI GIFT AND NOVELTIES</t>
  </si>
  <si>
    <t>T2511292036068170333949</t>
  </si>
  <si>
    <t>103160674229</t>
  </si>
  <si>
    <t>T2511292021246553702474</t>
  </si>
  <si>
    <t>731660092506</t>
  </si>
  <si>
    <t>06:21 pm</t>
  </si>
  <si>
    <t>Paid to Blinkit</t>
  </si>
  <si>
    <t>T2511291821250968406734</t>
  </si>
  <si>
    <t>907083636859</t>
  </si>
  <si>
    <t>12:45 pm</t>
  </si>
  <si>
    <t>Paid to KONTHAM SAMPATH</t>
  </si>
  <si>
    <t>T2511291245549719291983</t>
  </si>
  <si>
    <t>419684478771</t>
  </si>
  <si>
    <t>T2511291241157317525776</t>
  </si>
  <si>
    <t>831058973953</t>
  </si>
  <si>
    <t>Nov 28, 2025</t>
  </si>
  <si>
    <t>Paid to MOHAMMED KHALEED</t>
  </si>
  <si>
    <t>T2511281650022687232123</t>
  </si>
  <si>
    <t>427000429649</t>
  </si>
  <si>
    <t>Payment to SAAVNMEDIALIMITED</t>
  </si>
  <si>
    <t>OLEX2511280041058287716354</t>
  </si>
  <si>
    <t>102065628793</t>
  </si>
  <si>
    <t>Nov 27, 2025</t>
  </si>
  <si>
    <t>T2511272050168563204489</t>
  </si>
  <si>
    <t>132077867750</t>
  </si>
  <si>
    <t>Paid to Sri Balaji Footwear And Bags</t>
  </si>
  <si>
    <t>T2511272044105525584295</t>
  </si>
  <si>
    <t>581541937688</t>
  </si>
  <si>
    <t>08:38 pm</t>
  </si>
  <si>
    <t>Paid to VISHAL MEGA MART</t>
  </si>
  <si>
    <t>T2511272038443773167280</t>
  </si>
  <si>
    <t>521373538972</t>
  </si>
  <si>
    <t>T2511272038282795257957</t>
  </si>
  <si>
    <t>002271930100</t>
  </si>
  <si>
    <t>05:50 pm</t>
  </si>
  <si>
    <t>T2511271750237346333967</t>
  </si>
  <si>
    <t>186685979290</t>
  </si>
  <si>
    <t>Paid to RAMESH HARIYANA SPECIAL JIPEBI</t>
  </si>
  <si>
    <t>T2511271415320885584708</t>
  </si>
  <si>
    <t>987664952466</t>
  </si>
  <si>
    <t>01:36 pm</t>
  </si>
  <si>
    <t>Mobile recharged 7093233023 Jio Prepaid Reference ID 24540420726</t>
  </si>
  <si>
    <t>NX25112713362395809779951</t>
  </si>
  <si>
    <t>167070814344</t>
  </si>
  <si>
    <t>Paid to GAMPALI ANILKUMAR</t>
  </si>
  <si>
    <t>T2511270934199724277263</t>
  </si>
  <si>
    <t>383696983751</t>
  </si>
  <si>
    <t>Nov 26, 2025</t>
  </si>
  <si>
    <t>T2511261918035946436389</t>
  </si>
  <si>
    <t>722751038876</t>
  </si>
  <si>
    <t>06:08 pm</t>
  </si>
  <si>
    <t>Paid to P3 SAI SIRI AUTO CARE DULAPALLY</t>
  </si>
  <si>
    <t>T2511261808425834942320</t>
  </si>
  <si>
    <t>109105234621</t>
  </si>
  <si>
    <t>Paid to Coffee Hub</t>
  </si>
  <si>
    <t>T2511261739408017059786</t>
  </si>
  <si>
    <t>671133956957</t>
  </si>
  <si>
    <t>Paid to VILATHI BHAGYALAKSHMI</t>
  </si>
  <si>
    <t>T2511261358396020814566</t>
  </si>
  <si>
    <t>445472107511</t>
  </si>
  <si>
    <t>11:46 am</t>
  </si>
  <si>
    <t>T2511261146336047944637</t>
  </si>
  <si>
    <t>154334617494</t>
  </si>
  <si>
    <t>T2511261146156292854452</t>
  </si>
  <si>
    <t>504751857620</t>
  </si>
  <si>
    <t>T2511261145529485732184</t>
  </si>
  <si>
    <t>275396809259</t>
  </si>
  <si>
    <t>10:24 am</t>
  </si>
  <si>
    <t>T2511261024201850612876</t>
  </si>
  <si>
    <t>334747253291</t>
  </si>
  <si>
    <t>Nov 25, 2025</t>
  </si>
  <si>
    <t>Paid to Mr GANJI RAVINDAR</t>
  </si>
  <si>
    <t>T2511252046323518444664</t>
  </si>
  <si>
    <t>000201449519</t>
  </si>
  <si>
    <t>T2511251758320480629662</t>
  </si>
  <si>
    <t>930419851292</t>
  </si>
  <si>
    <t>01:30 pm</t>
  </si>
  <si>
    <t>Paid to JMJ Kirana And General Store</t>
  </si>
  <si>
    <t>T2511251330326283112451</t>
  </si>
  <si>
    <t>462583099965</t>
  </si>
  <si>
    <t>T2511251328077602361430</t>
  </si>
  <si>
    <t>827446128924</t>
  </si>
  <si>
    <t>Nov 24, 2025</t>
  </si>
  <si>
    <t>T2511242131218027720294</t>
  </si>
  <si>
    <t>434034281893</t>
  </si>
  <si>
    <t>T2511241741287576259045</t>
  </si>
  <si>
    <t>266534313184</t>
  </si>
  <si>
    <t>T2511240904487547658275</t>
  </si>
  <si>
    <t>333285364977</t>
  </si>
  <si>
    <t>Nov 23, 2025</t>
  </si>
  <si>
    <t>Paid to RAGHU B N</t>
  </si>
  <si>
    <t>T2511232047285501347593</t>
  </si>
  <si>
    <t>541827048830</t>
  </si>
  <si>
    <t>Received from Hari nrcm</t>
  </si>
  <si>
    <t>T2511232046434917720308</t>
  </si>
  <si>
    <t>679940189096</t>
  </si>
  <si>
    <t>T2511232041029773478205</t>
  </si>
  <si>
    <t>349763860301</t>
  </si>
  <si>
    <t>05:22 pm</t>
  </si>
  <si>
    <t>T2511231722332664399424</t>
  </si>
  <si>
    <t>402868809685</t>
  </si>
  <si>
    <t>Paid to Ashok sou</t>
  </si>
  <si>
    <t>T2511231323133874586140</t>
  </si>
  <si>
    <t>369315064426</t>
  </si>
  <si>
    <t>Paid to green chilli</t>
  </si>
  <si>
    <t>T2511231321199920700134</t>
  </si>
  <si>
    <t>911779390726</t>
  </si>
  <si>
    <t>T2511231319225204132462</t>
  </si>
  <si>
    <t>393700659480</t>
  </si>
  <si>
    <t>11:29 am</t>
  </si>
  <si>
    <t>T2511231128577085239954</t>
  </si>
  <si>
    <t>633362949786</t>
  </si>
  <si>
    <t>Nov 22, 2025</t>
  </si>
  <si>
    <t>Paid to NATURAL FRESH MART</t>
  </si>
  <si>
    <t>T2511221844255750805619</t>
  </si>
  <si>
    <t>268316042719</t>
  </si>
  <si>
    <t>T2511221843514831783757</t>
  </si>
  <si>
    <t>114533848989</t>
  </si>
  <si>
    <t>Paid to Indian Oil Petrol Pump - Vijay Krishna Filling Station</t>
  </si>
  <si>
    <t>T2511221445279069707724</t>
  </si>
  <si>
    <t>029313357646</t>
  </si>
  <si>
    <t>Paid to HarshaVardhan.btech 🔥</t>
  </si>
  <si>
    <t>T2511221427435692566155</t>
  </si>
  <si>
    <t>153588746004</t>
  </si>
  <si>
    <t>T2511221333449513858711</t>
  </si>
  <si>
    <t>898983773854</t>
  </si>
  <si>
    <t>Nov 21, 2025</t>
  </si>
  <si>
    <t>T2511211553234659428093</t>
  </si>
  <si>
    <t>636517226181</t>
  </si>
  <si>
    <t>T2511211549470626512035</t>
  </si>
  <si>
    <t>502480036021</t>
  </si>
  <si>
    <t>T2511211535435804112779</t>
  </si>
  <si>
    <t>648318512646</t>
  </si>
  <si>
    <t>09:21 am</t>
  </si>
  <si>
    <t>T2511210921234452874934</t>
  </si>
  <si>
    <t>597879067734</t>
  </si>
  <si>
    <t>Nov 20, 2025</t>
  </si>
  <si>
    <t>Paid to BIG BOWL FOOD COURT</t>
  </si>
  <si>
    <t>T2511201330282266512554</t>
  </si>
  <si>
    <t>553298137263</t>
  </si>
  <si>
    <t>Nov 19, 2025</t>
  </si>
  <si>
    <t>06:00 pm</t>
  </si>
  <si>
    <t>Paid to CHIRU PAN PALACE</t>
  </si>
  <si>
    <t>T2511191800122725185365</t>
  </si>
  <si>
    <t>785675448828</t>
  </si>
  <si>
    <t>T2511191758216643030643</t>
  </si>
  <si>
    <t>026375816500</t>
  </si>
  <si>
    <t>T2511191739052336217850</t>
  </si>
  <si>
    <t>115099343650</t>
  </si>
  <si>
    <t>09:41 am</t>
  </si>
  <si>
    <t>T2511190941301252766146</t>
  </si>
  <si>
    <t>135301994510</t>
  </si>
  <si>
    <t>Nov 18, 2025</t>
  </si>
  <si>
    <t>06:12 pm</t>
  </si>
  <si>
    <t>T2511181811585040235776</t>
  </si>
  <si>
    <t>186722953366</t>
  </si>
  <si>
    <t>T2511181726147751028917</t>
  </si>
  <si>
    <t>479667528249</t>
  </si>
  <si>
    <t>Paid to ANAND REDDY THUMMA</t>
  </si>
  <si>
    <t>T2511181717113226230180</t>
  </si>
  <si>
    <t>354318506150</t>
  </si>
  <si>
    <t>Paid to DADI VENKATESH</t>
  </si>
  <si>
    <t>T2511181329308632487000</t>
  </si>
  <si>
    <t>697620582893</t>
  </si>
  <si>
    <t>Nov 17, 2025</t>
  </si>
  <si>
    <t>T2511172211580795400675</t>
  </si>
  <si>
    <t>264110605377</t>
  </si>
  <si>
    <t>T2511171634230655299337</t>
  </si>
  <si>
    <t>942214644163</t>
  </si>
  <si>
    <t>08:57 am</t>
  </si>
  <si>
    <t>T2511170857061614252972</t>
  </si>
  <si>
    <t>815698232171</t>
  </si>
  <si>
    <t>Nov 16, 2025</t>
  </si>
  <si>
    <t>T2511161733441609584109</t>
  </si>
  <si>
    <t>111711771770</t>
  </si>
  <si>
    <t>T2511161553407678566439</t>
  </si>
  <si>
    <t>747291329938</t>
  </si>
  <si>
    <t>03:03 pm</t>
  </si>
  <si>
    <t>Received from HarshaVardhan.btech 🔥</t>
  </si>
  <si>
    <t>T2511161503170733159313</t>
  </si>
  <si>
    <t>688874812575</t>
  </si>
  <si>
    <t>T2511161456104418292709</t>
  </si>
  <si>
    <t>280579959510</t>
  </si>
  <si>
    <t>11:54 am</t>
  </si>
  <si>
    <t>T2511161154305723080673</t>
  </si>
  <si>
    <t>986064934045</t>
  </si>
  <si>
    <t>09:31 am</t>
  </si>
  <si>
    <t>T2511160931185268659127</t>
  </si>
  <si>
    <t>953532344640</t>
  </si>
  <si>
    <t>Paid to CHHOTELAL YADAV</t>
  </si>
  <si>
    <t>T2511160906386916701731</t>
  </si>
  <si>
    <t>145023274605</t>
  </si>
  <si>
    <t>09:00 am</t>
  </si>
  <si>
    <t>Paid to Siva Sai Tiffins Center</t>
  </si>
  <si>
    <t>T2511160900453099081651</t>
  </si>
  <si>
    <t>697912567120</t>
  </si>
  <si>
    <t>08:14 am</t>
  </si>
  <si>
    <t>T2511160814460342799234</t>
  </si>
  <si>
    <t>570088106738</t>
  </si>
  <si>
    <t>Nov 15, 2025</t>
  </si>
  <si>
    <t>10:17 pm</t>
  </si>
  <si>
    <t>T2511152217262054135191</t>
  </si>
  <si>
    <t>492052999844</t>
  </si>
  <si>
    <t>Paid to T BALA SAIDHA</t>
  </si>
  <si>
    <t>T2511151319034062882264</t>
  </si>
  <si>
    <t>053628043575</t>
  </si>
  <si>
    <t>Nov 14, 2025</t>
  </si>
  <si>
    <t>T2511142006456102449932</t>
  </si>
  <si>
    <t>280125402688</t>
  </si>
  <si>
    <t>Received from Google Pay</t>
  </si>
  <si>
    <t>T2511141855097344719812</t>
  </si>
  <si>
    <t>903382863185</t>
  </si>
  <si>
    <t>06:54 pm</t>
  </si>
  <si>
    <t>OLEX2511141854335514449962</t>
  </si>
  <si>
    <t>903304443185</t>
  </si>
  <si>
    <t>Paid to Toppers hair saloon</t>
  </si>
  <si>
    <t>T2511141011369226063350</t>
  </si>
  <si>
    <t>369997689058</t>
  </si>
  <si>
    <t>Nov 13, 2025</t>
  </si>
  <si>
    <t>Paid to Sri maa Durga Fast food center</t>
  </si>
  <si>
    <t>T2511131604121762460129</t>
  </si>
  <si>
    <t>663132301094</t>
  </si>
  <si>
    <t>T2511131126391370567844</t>
  </si>
  <si>
    <t>857546607530</t>
  </si>
  <si>
    <t>Paid to BSREDD FUEL D</t>
  </si>
  <si>
    <t>T2511130850444949223231</t>
  </si>
  <si>
    <t>953447638741</t>
  </si>
  <si>
    <t>Nov 12, 2025</t>
  </si>
  <si>
    <t>Paid to HANUMAGOUD SERALA</t>
  </si>
  <si>
    <t>T2511121613416472426657</t>
  </si>
  <si>
    <t>705035081305</t>
  </si>
  <si>
    <t>T2511121131527089690239</t>
  </si>
  <si>
    <t>953697951514</t>
  </si>
  <si>
    <t>Nov 11, 2025</t>
  </si>
  <si>
    <t>Paid to G VENKATESWARLU</t>
  </si>
  <si>
    <t>T2511112235515560593735</t>
  </si>
  <si>
    <t>712763111149</t>
  </si>
  <si>
    <t>Nov 10, 2025</t>
  </si>
  <si>
    <t>T2511101814482575591398</t>
  </si>
  <si>
    <t>644714560883</t>
  </si>
  <si>
    <t>Nov 09, 2025</t>
  </si>
  <si>
    <t>07:24 am</t>
  </si>
  <si>
    <t>Paid to RITA DEVI</t>
  </si>
  <si>
    <t>T2511090724254835679235</t>
  </si>
  <si>
    <t>327037622265</t>
  </si>
  <si>
    <t>01:41 am</t>
  </si>
  <si>
    <t>Bharat Connect  PP015313BX5U204PG195</t>
  </si>
  <si>
    <t>275955298115</t>
  </si>
  <si>
    <t>01:35 am</t>
  </si>
  <si>
    <t>T2511090135213511996613</t>
  </si>
  <si>
    <t>113870983141</t>
  </si>
  <si>
    <t>Nov 07, 2025</t>
  </si>
  <si>
    <t>Paid to G KONDAPA NAIDU</t>
  </si>
  <si>
    <t>T2511071239492007613944</t>
  </si>
  <si>
    <t>814582258922</t>
  </si>
  <si>
    <t>Nov 06, 2025</t>
  </si>
  <si>
    <t>T2511061536309078139394</t>
  </si>
  <si>
    <t>978429559140</t>
  </si>
  <si>
    <t>Mobile recharged 9676376308 Jio Prepaid Reference ID 24393134296</t>
  </si>
  <si>
    <t>NX25110615343484191281101</t>
  </si>
  <si>
    <t>365685883264</t>
  </si>
  <si>
    <t>Paid to Gayatri Kiran &amp; General Store</t>
  </si>
  <si>
    <t>T2511061532392589205945</t>
  </si>
  <si>
    <t>411012652523</t>
  </si>
  <si>
    <t>Paid to Telaprolu Malyadri</t>
  </si>
  <si>
    <t>T2511061520465268067526</t>
  </si>
  <si>
    <t>256885264176</t>
  </si>
  <si>
    <t>Paid to Deepak Kumar chat bandar</t>
  </si>
  <si>
    <t>T2511061520070459461755</t>
  </si>
  <si>
    <t>118918118221</t>
  </si>
  <si>
    <t>03:11 pm</t>
  </si>
  <si>
    <t>T2511061511343365539165</t>
  </si>
  <si>
    <t>405732619982</t>
  </si>
  <si>
    <t>03:10 pm</t>
  </si>
  <si>
    <t>T2511061510492367699700</t>
  </si>
  <si>
    <t>807031309652</t>
  </si>
  <si>
    <t>02:14 pm</t>
  </si>
  <si>
    <t>Paid to Milan Dhaba</t>
  </si>
  <si>
    <t>T2511061414311237161265</t>
  </si>
  <si>
    <t>145217523023</t>
  </si>
  <si>
    <t>Nov 05, 2025</t>
  </si>
  <si>
    <t>Paid to RAO GARI INTIBOJHANAM</t>
  </si>
  <si>
    <t>T2511052033165443276616</t>
  </si>
  <si>
    <t>602542711017</t>
  </si>
  <si>
    <t>Paid to K R B TEXTILES</t>
  </si>
  <si>
    <t>T2511051738236248951157</t>
  </si>
  <si>
    <t>523583095841</t>
  </si>
  <si>
    <t>05:10 pm</t>
  </si>
  <si>
    <t>T2511051710343051117500</t>
  </si>
  <si>
    <t>956371100644</t>
  </si>
  <si>
    <t>Received from Mr SRINIVAS BINGI</t>
  </si>
  <si>
    <t>T2511051330490725801738</t>
  </si>
  <si>
    <t>530928167001</t>
  </si>
  <si>
    <t>Paid to SS Digitals</t>
  </si>
  <si>
    <t>T2511051322000733285715</t>
  </si>
  <si>
    <t>669608046829</t>
  </si>
  <si>
    <t>T2511051134181348715296</t>
  </si>
  <si>
    <t>069319251931</t>
  </si>
  <si>
    <t>Paid to MADDELA RAJAMANI</t>
  </si>
  <si>
    <t>T2511051120445096695807</t>
  </si>
  <si>
    <t>924457922941</t>
  </si>
  <si>
    <t>Nov 04, 2025</t>
  </si>
  <si>
    <t>T2511042101423348198587</t>
  </si>
  <si>
    <t>215398094427</t>
  </si>
  <si>
    <t>Paid to PANJUGULA RADHA</t>
  </si>
  <si>
    <t>T2511042054037992669322</t>
  </si>
  <si>
    <t>353863466970</t>
  </si>
  <si>
    <t>Paid to Mohd imtiyaz</t>
  </si>
  <si>
    <t>T2511041833341159967772</t>
  </si>
  <si>
    <t>710183190707</t>
  </si>
  <si>
    <t>Paid to Kanakadurga wines 2</t>
  </si>
  <si>
    <t>T2511041832522078464166</t>
  </si>
  <si>
    <t>759282639359</t>
  </si>
  <si>
    <t>T2511041832126424932084</t>
  </si>
  <si>
    <t>113648304172</t>
  </si>
  <si>
    <t>05:56 pm</t>
  </si>
  <si>
    <t>T2511041756069879978805</t>
  </si>
  <si>
    <t>404453482840</t>
  </si>
  <si>
    <t>04:01 pm</t>
  </si>
  <si>
    <t>Paid to CHALLA VENKATA RAMANA</t>
  </si>
  <si>
    <t>T2511041601078554108164</t>
  </si>
  <si>
    <t>139391814571</t>
  </si>
  <si>
    <t>Payment to OpenAI LLC</t>
  </si>
  <si>
    <t>OLEX2511041405462995670512</t>
  </si>
  <si>
    <t>530814749355</t>
  </si>
  <si>
    <t>Nov 03, 2025</t>
  </si>
  <si>
    <t>Paid to SHAIK AHMED KHAN</t>
  </si>
  <si>
    <t>T2511032113250688160966</t>
  </si>
  <si>
    <t>932192050485</t>
  </si>
  <si>
    <t>09:08 pm</t>
  </si>
  <si>
    <t>Paid to Bharat Drpt</t>
  </si>
  <si>
    <t>T2511032108254233084869</t>
  </si>
  <si>
    <t>929155805577</t>
  </si>
  <si>
    <t>T2511031745343029110467</t>
  </si>
  <si>
    <t>935162165691</t>
  </si>
  <si>
    <t>Paid to CHANDRASEKHAR YESHWANTH</t>
  </si>
  <si>
    <t>T2511031247277927691242</t>
  </si>
  <si>
    <t>459970625881</t>
  </si>
  <si>
    <t>09:54 am</t>
  </si>
  <si>
    <t>OLEX2511030954245838140463</t>
  </si>
  <si>
    <t>101869592112</t>
  </si>
  <si>
    <t>Nov 02, 2025</t>
  </si>
  <si>
    <t>Paid to DHANLAXMI MITHAAI BHANDAR</t>
  </si>
  <si>
    <t>T2511021814483078460098</t>
  </si>
  <si>
    <t>393001108024</t>
  </si>
  <si>
    <t>Paid to JODHPUR MITHAI VATIKA NAMKEEN AND CHAT</t>
  </si>
  <si>
    <t>T2511021421254030963363</t>
  </si>
  <si>
    <t>422999428308</t>
  </si>
  <si>
    <t>T2511021420471796361092</t>
  </si>
  <si>
    <t>090039843611</t>
  </si>
  <si>
    <t>T2511021418422436393070</t>
  </si>
  <si>
    <t>775888714785</t>
  </si>
  <si>
    <t>T2511021404424267256053</t>
  </si>
  <si>
    <t>567256561638</t>
  </si>
  <si>
    <t>Nov 01, 2025</t>
  </si>
  <si>
    <t>Paid to DEVAKIVADA HARSHITH</t>
  </si>
  <si>
    <t>T2511012123109350910390</t>
  </si>
  <si>
    <t>218065985079</t>
  </si>
  <si>
    <t>T2511012118406318031448</t>
  </si>
  <si>
    <t>969120259739</t>
  </si>
  <si>
    <t>Paid to CANE HOUSE</t>
  </si>
  <si>
    <t>T2511011905595640902286</t>
  </si>
  <si>
    <t>691976014962</t>
  </si>
  <si>
    <t>T2511011818312506155902</t>
  </si>
  <si>
    <t>039305988198</t>
  </si>
  <si>
    <t>09:26 am</t>
  </si>
  <si>
    <t>Received from Laxmi Akka</t>
  </si>
  <si>
    <t>T2511010926213807629305</t>
  </si>
  <si>
    <t>667152128808</t>
  </si>
  <si>
    <t>12:39 am</t>
  </si>
  <si>
    <t>Mobile recharged 7893802564 Airtel Prepaid Reference ID 823326587</t>
  </si>
  <si>
    <t>NX25110100392423448634431</t>
  </si>
  <si>
    <t>847553812223</t>
  </si>
  <si>
    <t>Oct 31, 2025</t>
  </si>
  <si>
    <t>T2510311109090379443667</t>
  </si>
  <si>
    <t>095787358344</t>
  </si>
  <si>
    <t>02:19 am</t>
  </si>
  <si>
    <t>Paid to Al Bari Arabian Mandi</t>
  </si>
  <si>
    <t>T2510310219413729724746</t>
  </si>
  <si>
    <t>712786139212</t>
  </si>
  <si>
    <t>Received from Siddhu.Etk</t>
  </si>
  <si>
    <t>T2510310033533240910564</t>
  </si>
  <si>
    <t>509914356580</t>
  </si>
  <si>
    <t>Oct 30, 2025</t>
  </si>
  <si>
    <t>Paid to Royal tyre punchar shop</t>
  </si>
  <si>
    <t>T2510300957372278393936</t>
  </si>
  <si>
    <t>005791611334</t>
  </si>
  <si>
    <t>Oct 29, 2025</t>
  </si>
  <si>
    <t>07:48 pm</t>
  </si>
  <si>
    <t>T2510291948002482455083</t>
  </si>
  <si>
    <t>812861861269</t>
  </si>
  <si>
    <t>Paid to Limra book center</t>
  </si>
  <si>
    <t>T2510291923156657763327</t>
  </si>
  <si>
    <t>023637799432</t>
  </si>
  <si>
    <t>T2510291918106907190119</t>
  </si>
  <si>
    <t>566808585847</t>
  </si>
  <si>
    <t>06:40 pm</t>
  </si>
  <si>
    <t>Paid to Surya cool drinks</t>
  </si>
  <si>
    <t>T2510291840323814526035</t>
  </si>
  <si>
    <t>122348642394</t>
  </si>
  <si>
    <t>06:39 pm</t>
  </si>
  <si>
    <t>Paid to Raju Foods</t>
  </si>
  <si>
    <t>T2510291839494256699139</t>
  </si>
  <si>
    <t>195262156523</t>
  </si>
  <si>
    <t>06:37 pm</t>
  </si>
  <si>
    <t>T2510291837498743983597</t>
  </si>
  <si>
    <t>777401115264</t>
  </si>
  <si>
    <t>T2510291837414137508302</t>
  </si>
  <si>
    <t>957774653835</t>
  </si>
  <si>
    <t>Paid to Mahalaxmi kirana general store</t>
  </si>
  <si>
    <t>T2510291409174772081818</t>
  </si>
  <si>
    <t>139010180004</t>
  </si>
  <si>
    <t>Paid to V-Mart HYDERABAD NAGARAM</t>
  </si>
  <si>
    <t>T2510291400164166661354</t>
  </si>
  <si>
    <t>463892335868</t>
  </si>
  <si>
    <t>T2510291359218090564144</t>
  </si>
  <si>
    <t>788489718930</t>
  </si>
  <si>
    <t>Oct 27, 2025</t>
  </si>
  <si>
    <t>07:14 pm</t>
  </si>
  <si>
    <t>T2510271914337038446760</t>
  </si>
  <si>
    <t>538155427038</t>
  </si>
  <si>
    <t>Paid to Chaitanya Sir</t>
  </si>
  <si>
    <t>T2510271350242563647494</t>
  </si>
  <si>
    <t>669617833769</t>
  </si>
  <si>
    <t>Paid to N Yum yum tree as rao nagar</t>
  </si>
  <si>
    <t>T2510270053246645101193</t>
  </si>
  <si>
    <t>625346227337</t>
  </si>
  <si>
    <t>Oct 26, 2025</t>
  </si>
  <si>
    <t>T2510262137285718609276</t>
  </si>
  <si>
    <t>851398169835</t>
  </si>
  <si>
    <t>Oct 25, 2025</t>
  </si>
  <si>
    <t>07:21 pm</t>
  </si>
  <si>
    <t>T2510251921416186636393</t>
  </si>
  <si>
    <t>125255660977</t>
  </si>
  <si>
    <t>T2510251846259490807065</t>
  </si>
  <si>
    <t>813332105193</t>
  </si>
  <si>
    <t>Received from baludharavath</t>
  </si>
  <si>
    <t>T2510251836301718380768</t>
  </si>
  <si>
    <t>977345642339</t>
  </si>
  <si>
    <t>Received from M V N S R C Jaya Bhargav</t>
  </si>
  <si>
    <t>T2510251756018817493044</t>
  </si>
  <si>
    <t>529839756082</t>
  </si>
  <si>
    <t>05:28 pm</t>
  </si>
  <si>
    <t>Received from ******5565</t>
  </si>
  <si>
    <t>T2510251728265056109714</t>
  </si>
  <si>
    <t>009431406489</t>
  </si>
  <si>
    <t>Received from ******2274</t>
  </si>
  <si>
    <t>T2510251657480842717297</t>
  </si>
  <si>
    <t>073317768013</t>
  </si>
  <si>
    <t>09:08 am</t>
  </si>
  <si>
    <t>Received from Vinayak</t>
  </si>
  <si>
    <t>T2510250907593968602182</t>
  </si>
  <si>
    <t>509613703731</t>
  </si>
  <si>
    <t>08:15 am</t>
  </si>
  <si>
    <t>T2510250815328513292645</t>
  </si>
  <si>
    <t>377514809191</t>
  </si>
  <si>
    <t>Oct 24, 2025</t>
  </si>
  <si>
    <t>Paid to Jagadamba Kirana General Store</t>
  </si>
  <si>
    <t>T2510242201088781205787</t>
  </si>
  <si>
    <t>403079373741</t>
  </si>
  <si>
    <t>Paid to Bharath Petrol Bunk</t>
  </si>
  <si>
    <t>T2510242138558063850969</t>
  </si>
  <si>
    <t>912188438755</t>
  </si>
  <si>
    <t>07:27 pm</t>
  </si>
  <si>
    <t>Paid to TADURI RAGHUPAL REDDY</t>
  </si>
  <si>
    <t>T2510241927328431796833</t>
  </si>
  <si>
    <t>842263676014</t>
  </si>
  <si>
    <t>T2510241927163926107970</t>
  </si>
  <si>
    <t>785754262153</t>
  </si>
  <si>
    <t>Oct 23, 2025</t>
  </si>
  <si>
    <t>09:45 pm</t>
  </si>
  <si>
    <t>T2510232145092189087740</t>
  </si>
  <si>
    <t>926829379096</t>
  </si>
  <si>
    <t>08:23 pm</t>
  </si>
  <si>
    <t>Paid to CANE HOUSE PAROTTA &amp; DOSA CENTRE</t>
  </si>
  <si>
    <t>T2510232023388977203915</t>
  </si>
  <si>
    <t>037264149761</t>
  </si>
  <si>
    <t>T2510232019253791459688</t>
  </si>
  <si>
    <t>525008440294</t>
  </si>
  <si>
    <t>Mobile recharged 8074691268 Jio Prepaid Reference ID 24288071618</t>
  </si>
  <si>
    <t>NX25102319291871565855121</t>
  </si>
  <si>
    <t>787925742138</t>
  </si>
  <si>
    <t>T2510231926580062990693</t>
  </si>
  <si>
    <t>822229640618</t>
  </si>
  <si>
    <t>08:53 am</t>
  </si>
  <si>
    <t>Received from Gollamandala Prudhviraj</t>
  </si>
  <si>
    <t>T2510230853396347550603</t>
  </si>
  <si>
    <t>529608326648</t>
  </si>
  <si>
    <t>Oct 22, 2025</t>
  </si>
  <si>
    <t>Paid to SIKANDAR YADAV</t>
  </si>
  <si>
    <t>T2510221854228115126324</t>
  </si>
  <si>
    <t>748963789793</t>
  </si>
  <si>
    <t>Paid to NEW MAJISA MOBILES</t>
  </si>
  <si>
    <t>T2510221837351781811146</t>
  </si>
  <si>
    <t>169114593749</t>
  </si>
  <si>
    <t>T2510221646396234301717</t>
  </si>
  <si>
    <t>438254951674</t>
  </si>
  <si>
    <t>Oct 21, 2025</t>
  </si>
  <si>
    <t>Paid to Narsimha Reddy Engineering College PTM51021805356101229581202510210731</t>
  </si>
  <si>
    <t>293739242037</t>
  </si>
  <si>
    <t>T2510211245282855126654</t>
  </si>
  <si>
    <t>352035957948</t>
  </si>
  <si>
    <t>Oct 20, 2025</t>
  </si>
  <si>
    <t>Paid to Sai Maruthi Medical And General Stores</t>
  </si>
  <si>
    <t>T2510202143561696860584</t>
  </si>
  <si>
    <t>717370900771</t>
  </si>
  <si>
    <t>Paid to Pantaiah 01</t>
  </si>
  <si>
    <t>T2510201406156571192382</t>
  </si>
  <si>
    <t>643550633766</t>
  </si>
  <si>
    <t>T2510201252444015910112</t>
  </si>
  <si>
    <t>383698230874</t>
  </si>
  <si>
    <t>10:42 am</t>
  </si>
  <si>
    <t>Paid to Raju tiffin centre</t>
  </si>
  <si>
    <t>T2510201042442484156680</t>
  </si>
  <si>
    <t>046548139216</t>
  </si>
  <si>
    <t>T2510201008231175089696</t>
  </si>
  <si>
    <t>553740993710</t>
  </si>
  <si>
    <t>Oct 19, 2025</t>
  </si>
  <si>
    <t>Received from ******3876</t>
  </si>
  <si>
    <t>T2510191933345166318546</t>
  </si>
  <si>
    <t>905980928902</t>
  </si>
  <si>
    <t>Paid to HINDUSTAN PETROLEUM CORPORATION LIMITED</t>
  </si>
  <si>
    <t>T2510191907126806350860</t>
  </si>
  <si>
    <t>144468257215</t>
  </si>
  <si>
    <t>Received from Amarjeeth Singh Yadav</t>
  </si>
  <si>
    <t>T2510191810494228612670</t>
  </si>
  <si>
    <t>641068317531</t>
  </si>
  <si>
    <t>Received from Sreehema</t>
  </si>
  <si>
    <t>T2510191808410194714888</t>
  </si>
  <si>
    <t>394308678435</t>
  </si>
  <si>
    <t>T2510191545380227493249</t>
  </si>
  <si>
    <t>245010083376</t>
  </si>
  <si>
    <t>03:44 pm</t>
  </si>
  <si>
    <t>T2510191544019396551996</t>
  </si>
  <si>
    <t>181203765285</t>
  </si>
  <si>
    <t>T2510191543032744513823</t>
  </si>
  <si>
    <t>056167703147</t>
  </si>
  <si>
    <t>Paid to Gous Fruits</t>
  </si>
  <si>
    <t>T2510191538553127689866</t>
  </si>
  <si>
    <t>941497876691</t>
  </si>
  <si>
    <t>Oct 18, 2025</t>
  </si>
  <si>
    <t>Paid to Zomato Online Order</t>
  </si>
  <si>
    <t>T2510182324461366636763</t>
  </si>
  <si>
    <t>145087203710</t>
  </si>
  <si>
    <t>T2510181840027464760123</t>
  </si>
  <si>
    <t>500162442608</t>
  </si>
  <si>
    <t>Oct 17, 2025</t>
  </si>
  <si>
    <t>Paid to ORBGEN TECHNOLOGIES PRIVATE LIMITED DISTRICT MOVIE UPI</t>
  </si>
  <si>
    <t>T2510171943546384114317</t>
  </si>
  <si>
    <t>758297961052</t>
  </si>
  <si>
    <t>06:20 pm</t>
  </si>
  <si>
    <t>Paid to FESEY CAFE KIOSK 2</t>
  </si>
  <si>
    <t>T2510171820560394625535</t>
  </si>
  <si>
    <t>676464701463</t>
  </si>
  <si>
    <t>T2510171800475981237671</t>
  </si>
  <si>
    <t>523290129641</t>
  </si>
  <si>
    <t>T2510171745415820809090</t>
  </si>
  <si>
    <t>712028507065</t>
  </si>
  <si>
    <t>Received from PENDYAL PURUSHOTHAM</t>
  </si>
  <si>
    <t>T2510171703368432500103</t>
  </si>
  <si>
    <t>565651789034</t>
  </si>
  <si>
    <t>04:24 pm</t>
  </si>
  <si>
    <t>Received from Chandireddy Yashwanth Reddy</t>
  </si>
  <si>
    <t>T2510171624436749248766</t>
  </si>
  <si>
    <t>529085222616</t>
  </si>
  <si>
    <t>T2510171523525727082792</t>
  </si>
  <si>
    <t>727804979716</t>
  </si>
  <si>
    <t>Paid to SRI RAJ REDDY</t>
  </si>
  <si>
    <t>T2510171438557132291785</t>
  </si>
  <si>
    <t>358895377762</t>
  </si>
  <si>
    <t>Received from Abhi Ds Frnd</t>
  </si>
  <si>
    <t>T2510171404595729649462</t>
  </si>
  <si>
    <t>405259685072</t>
  </si>
  <si>
    <t>Paid to Shiva BTech 🔥</t>
  </si>
  <si>
    <t>T2510171359338092848867</t>
  </si>
  <si>
    <t>673743384624</t>
  </si>
  <si>
    <t>10:00 am</t>
  </si>
  <si>
    <t>Received from Anantha  Durgaprasad</t>
  </si>
  <si>
    <t>T2510171000291564752596</t>
  </si>
  <si>
    <t>390873522226</t>
  </si>
  <si>
    <t>09:07 am</t>
  </si>
  <si>
    <t>T2510170907281705910177</t>
  </si>
  <si>
    <t>534882687490</t>
  </si>
  <si>
    <t>07:55 am</t>
  </si>
  <si>
    <t>T2510170754567746699792</t>
  </si>
  <si>
    <t>687785447593</t>
  </si>
  <si>
    <t>Oct 16, 2025</t>
  </si>
  <si>
    <t>Paid to MOHAMMAD MUSTFA ANSARI</t>
  </si>
  <si>
    <t>T2510161746400891365196</t>
  </si>
  <si>
    <t>540444580750</t>
  </si>
  <si>
    <t>Paid to Mysore bakery</t>
  </si>
  <si>
    <t>T2510161655504705576937</t>
  </si>
  <si>
    <t>516322617975</t>
  </si>
  <si>
    <t>04:38 pm</t>
  </si>
  <si>
    <t>T2510161637591151221615</t>
  </si>
  <si>
    <t>076617331774</t>
  </si>
  <si>
    <t>04:17 pm</t>
  </si>
  <si>
    <t>T2510161617417800917777</t>
  </si>
  <si>
    <t>878428355620</t>
  </si>
  <si>
    <t>Paid to MANIKANTA PERABATTULA</t>
  </si>
  <si>
    <t>T2510160949292468280787</t>
  </si>
  <si>
    <t>041760039696</t>
  </si>
  <si>
    <t>09:38 am</t>
  </si>
  <si>
    <t>Received from Savalla  Vaishnavi</t>
  </si>
  <si>
    <t>T2510160938445289992411</t>
  </si>
  <si>
    <t>565512433468</t>
  </si>
  <si>
    <t>Oct 15, 2025</t>
  </si>
  <si>
    <t>T2510151909241530341255</t>
  </si>
  <si>
    <t>900495462922</t>
  </si>
  <si>
    <t>T2510151908494842984309</t>
  </si>
  <si>
    <t>243857791712</t>
  </si>
  <si>
    <t>05:52 pm</t>
  </si>
  <si>
    <t>T2510151752518764485615</t>
  </si>
  <si>
    <t>845269732981</t>
  </si>
  <si>
    <t>05:47 pm</t>
  </si>
  <si>
    <t>Paid to MIRIYALARAVI KUMAR</t>
  </si>
  <si>
    <t>T2510151747201569899669</t>
  </si>
  <si>
    <t>331644484582</t>
  </si>
  <si>
    <t>Paid to NAGARAJU FULL</t>
  </si>
  <si>
    <t>T2510151709182547204808</t>
  </si>
  <si>
    <t>129943081351</t>
  </si>
  <si>
    <t>Paid to VIJAYA LAKSHMI AUTO MOBILES</t>
  </si>
  <si>
    <t>T2510151657137935880313</t>
  </si>
  <si>
    <t>565980177178</t>
  </si>
  <si>
    <t>Oct 14, 2025</t>
  </si>
  <si>
    <t>T2510142142107773125718</t>
  </si>
  <si>
    <t>341125819572</t>
  </si>
  <si>
    <t>T2510142128499993733669</t>
  </si>
  <si>
    <t>842760391049</t>
  </si>
  <si>
    <t>Paid to DHANVANTARI MEDICAL AND GENERAL STORES</t>
  </si>
  <si>
    <t>T2510142123006855232481</t>
  </si>
  <si>
    <t>255577034715</t>
  </si>
  <si>
    <t>Paid to DHANVANTHARI MEDICAL AND GENERAL STORES</t>
  </si>
  <si>
    <t>T2510142113058842738484</t>
  </si>
  <si>
    <t>291349441368</t>
  </si>
  <si>
    <t>Paid to MOIZE SYED</t>
  </si>
  <si>
    <t>T2510142109202639263132</t>
  </si>
  <si>
    <t>804626904845</t>
  </si>
  <si>
    <t>Paid to Mohd Rijwan</t>
  </si>
  <si>
    <t>T2510141828501785517080</t>
  </si>
  <si>
    <t>457296086277</t>
  </si>
  <si>
    <t>06:26 pm</t>
  </si>
  <si>
    <t>Paid to ALTHAF FLOWERS DECORATIONS</t>
  </si>
  <si>
    <t>T2510141826099757417044</t>
  </si>
  <si>
    <t>309987522987</t>
  </si>
  <si>
    <t>T2510141335278971319989</t>
  </si>
  <si>
    <t>544749393943</t>
  </si>
  <si>
    <t>Oct 13, 2025</t>
  </si>
  <si>
    <t>T2510131944343002571018</t>
  </si>
  <si>
    <t>169032305808</t>
  </si>
  <si>
    <t>Received from TOKALA SHINY ANGELENA</t>
  </si>
  <si>
    <t>T2510131936275208165998</t>
  </si>
  <si>
    <t>565226383720</t>
  </si>
  <si>
    <t>Received from KANITHI PRIYANKA</t>
  </si>
  <si>
    <t>T2510131909438916151683</t>
  </si>
  <si>
    <t>528661363005</t>
  </si>
  <si>
    <t>Received from SANGEETHA KRUPAVARAM SUMARAJAN</t>
  </si>
  <si>
    <t>T2510131846016346151496</t>
  </si>
  <si>
    <t>565294262449</t>
  </si>
  <si>
    <t>Paid to Mr MARAVENI THIRUP</t>
  </si>
  <si>
    <t>T2510131817355797909132</t>
  </si>
  <si>
    <t>055781971560</t>
  </si>
  <si>
    <t>01:27 pm</t>
  </si>
  <si>
    <t>T2510131327297932363273</t>
  </si>
  <si>
    <t>312198129548</t>
  </si>
  <si>
    <t>Oct 12, 2025</t>
  </si>
  <si>
    <t>T2510122137574802497835</t>
  </si>
  <si>
    <t>136395347563</t>
  </si>
  <si>
    <t>Paid to SREE GANESH KIRANA GENERAL STORE</t>
  </si>
  <si>
    <t>T2510122040578744952482</t>
  </si>
  <si>
    <t>470843886947</t>
  </si>
  <si>
    <t>T2510122035229798849639</t>
  </si>
  <si>
    <t>561413148979</t>
  </si>
  <si>
    <t>T2510122034293939298564</t>
  </si>
  <si>
    <t>696122889847</t>
  </si>
  <si>
    <t>Paid to SHIVA HAIR SALOON ND HAIR STYLE</t>
  </si>
  <si>
    <t>T2510122027332084952669</t>
  </si>
  <si>
    <t>811743439903</t>
  </si>
  <si>
    <t>T2510121853259944204577</t>
  </si>
  <si>
    <t>761583018388</t>
  </si>
  <si>
    <t>Paid to SRI BALAJI FABRICS</t>
  </si>
  <si>
    <t>T2510121750550246618677</t>
  </si>
  <si>
    <t>824213021115</t>
  </si>
  <si>
    <t>04:35 pm</t>
  </si>
  <si>
    <t>T2510121635158432566804</t>
  </si>
  <si>
    <t>355122640256</t>
  </si>
  <si>
    <t>09:01 am</t>
  </si>
  <si>
    <t>T2510120901466122102260</t>
  </si>
  <si>
    <t>346326771381</t>
  </si>
  <si>
    <t>Paid to SYED AKHIL AHMED</t>
  </si>
  <si>
    <t>T2510120806239494193606</t>
  </si>
  <si>
    <t>934728286319</t>
  </si>
  <si>
    <t>T2510120806220604204906</t>
  </si>
  <si>
    <t>307473620544</t>
  </si>
  <si>
    <t>Oct 11, 2025</t>
  </si>
  <si>
    <t>07:26 pm</t>
  </si>
  <si>
    <t>Received from sharon</t>
  </si>
  <si>
    <t>T2510111926533083643727</t>
  </si>
  <si>
    <t>900533496081</t>
  </si>
  <si>
    <t>Paid to OlaCabs</t>
  </si>
  <si>
    <t>T2510111620037692648047</t>
  </si>
  <si>
    <t>334636957872</t>
  </si>
  <si>
    <t>Oct 10, 2025</t>
  </si>
  <si>
    <t>T2510101836027173122363</t>
  </si>
  <si>
    <t>593421895397</t>
  </si>
  <si>
    <t>Paid to Mr Yarram Nagarjuna Reddy</t>
  </si>
  <si>
    <t>T2510101721506134801110</t>
  </si>
  <si>
    <t>716629875250</t>
  </si>
  <si>
    <t>Paid to GOPI STATIONARY</t>
  </si>
  <si>
    <t>T2510100921331688796299</t>
  </si>
  <si>
    <t>776279985357</t>
  </si>
  <si>
    <t>08:22 am</t>
  </si>
  <si>
    <t>Mobile recharged 7093233023 Jio Prepaid Reference ID 24188469702</t>
  </si>
  <si>
    <t>NX25101008224072730804971</t>
  </si>
  <si>
    <t>998359798566</t>
  </si>
  <si>
    <t>Oct 09, 2025</t>
  </si>
  <si>
    <t>12:59 pm</t>
  </si>
  <si>
    <t>T2510091259299136550724</t>
  </si>
  <si>
    <t>652910480400</t>
  </si>
  <si>
    <t>07:51 am</t>
  </si>
  <si>
    <t>T2510090751341851727964</t>
  </si>
  <si>
    <t>118397397275</t>
  </si>
  <si>
    <t>Oct 08, 2025</t>
  </si>
  <si>
    <t>05:20 pm</t>
  </si>
  <si>
    <t>T2510081720321559018277</t>
  </si>
  <si>
    <t>312403042472</t>
  </si>
  <si>
    <t>Oct 07, 2025</t>
  </si>
  <si>
    <t>Paid to BIRADAR SANTOSH RAO</t>
  </si>
  <si>
    <t>T2510071809092212352875</t>
  </si>
  <si>
    <t>582257908359</t>
  </si>
  <si>
    <t>Paid to Mohammad parvez</t>
  </si>
  <si>
    <t>T2510071707425940698038</t>
  </si>
  <si>
    <t>146883542625</t>
  </si>
  <si>
    <t>Paid to Sri Satya Sai Traders</t>
  </si>
  <si>
    <t>T2510071705549225331944</t>
  </si>
  <si>
    <t>146876140188</t>
  </si>
  <si>
    <t>05:04 pm</t>
  </si>
  <si>
    <t>Paid to DHARANI LIQUOR MART</t>
  </si>
  <si>
    <t>T2510071704507477032356</t>
  </si>
  <si>
    <t>526440076743</t>
  </si>
  <si>
    <t>Paid to DHARANI WINES</t>
  </si>
  <si>
    <t>T2510071704161100586052</t>
  </si>
  <si>
    <t>002762409784</t>
  </si>
  <si>
    <t>T2510071703002408738741</t>
  </si>
  <si>
    <t>173062541655</t>
  </si>
  <si>
    <t>12:21 pm</t>
  </si>
  <si>
    <t>OLEX2510071221130415715691</t>
  </si>
  <si>
    <t>101646628537</t>
  </si>
  <si>
    <t>Oct 06, 2025</t>
  </si>
  <si>
    <t>T2510061249182544298176</t>
  </si>
  <si>
    <t>206188836550</t>
  </si>
  <si>
    <t>12:42 pm</t>
  </si>
  <si>
    <t>Paid to MASHAMONI VAMSHI</t>
  </si>
  <si>
    <t>T2510061242296033282255</t>
  </si>
  <si>
    <t>312639244676</t>
  </si>
  <si>
    <t>T2510061242033260496935</t>
  </si>
  <si>
    <t>009085724658</t>
  </si>
  <si>
    <t>Oct 05, 2025</t>
  </si>
  <si>
    <t>Paid to SATYAM ICE DEPOT</t>
  </si>
  <si>
    <t>T2510052242320222146863</t>
  </si>
  <si>
    <t>255957330399</t>
  </si>
  <si>
    <t>T2510052241568393267410</t>
  </si>
  <si>
    <t>520457426365</t>
  </si>
  <si>
    <t>Paid to PEDDAPAKA  MADHU SUDHANA RAO</t>
  </si>
  <si>
    <t>T2510051354026670716760</t>
  </si>
  <si>
    <t>984637731561</t>
  </si>
  <si>
    <t>T2510050044127249519952</t>
  </si>
  <si>
    <t>016117958777</t>
  </si>
  <si>
    <t>Oct 04, 2025</t>
  </si>
  <si>
    <t>T2510042339519224786382</t>
  </si>
  <si>
    <t>995007317721</t>
  </si>
  <si>
    <t>T2510041820046353658728</t>
  </si>
  <si>
    <t>918272107177</t>
  </si>
  <si>
    <t>Paid to L SHOE TOWN</t>
  </si>
  <si>
    <t>T2510041651451067278273</t>
  </si>
  <si>
    <t>559719245740</t>
  </si>
  <si>
    <t>T2510041603225415181704</t>
  </si>
  <si>
    <t>064486200092</t>
  </si>
  <si>
    <t>Paid to SRILAXMIDEVI ANDAL SAMETHA SRI VENKATESHWARASWAMY</t>
  </si>
  <si>
    <t>T2510041152543360948437</t>
  </si>
  <si>
    <t>877419364197</t>
  </si>
  <si>
    <t>Oct 03, 2025</t>
  </si>
  <si>
    <t>11:03 pm</t>
  </si>
  <si>
    <t>Received from Dakireddy Akhil Reddy</t>
  </si>
  <si>
    <t>T2510032303470284652052</t>
  </si>
  <si>
    <t>270689654621</t>
  </si>
  <si>
    <t>10:59 pm</t>
  </si>
  <si>
    <t>Paid to TALLURI THEATERS</t>
  </si>
  <si>
    <t>T2510032259071856182425</t>
  </si>
  <si>
    <t>905405132320</t>
  </si>
  <si>
    <t>10:57 pm</t>
  </si>
  <si>
    <t>T2510032257132415978230</t>
  </si>
  <si>
    <t>746042204593</t>
  </si>
  <si>
    <t>T2510032256220592123571</t>
  </si>
  <si>
    <t>106110198492</t>
  </si>
  <si>
    <t>10:54 pm</t>
  </si>
  <si>
    <t>T2510032254526962123696</t>
  </si>
  <si>
    <t>257209238830</t>
  </si>
  <si>
    <t>T2510032114190388883704</t>
  </si>
  <si>
    <t>795496954680</t>
  </si>
  <si>
    <t>Paid to RBL Ful</t>
  </si>
  <si>
    <t>T2510031547557482096424</t>
  </si>
  <si>
    <t>486890548354</t>
  </si>
  <si>
    <t>T2510031532417580544693</t>
  </si>
  <si>
    <t>439067098117</t>
  </si>
  <si>
    <t>Paid to bookmyshow</t>
  </si>
  <si>
    <t>T2510031532311091554746</t>
  </si>
  <si>
    <t>403198934061</t>
  </si>
  <si>
    <t>T2510031120422588046684</t>
  </si>
  <si>
    <t>425871334317</t>
  </si>
  <si>
    <t>10:07 am</t>
  </si>
  <si>
    <t>T2510031007092132606106</t>
  </si>
  <si>
    <t>903467250029</t>
  </si>
  <si>
    <t>Oct 02, 2025</t>
  </si>
  <si>
    <t>Paid to ASKKANI ARUNA</t>
  </si>
  <si>
    <t>T2510022027323702666541</t>
  </si>
  <si>
    <t>852195058713</t>
  </si>
  <si>
    <t>Paid to RAMESH REDDY ENIMIREDDY</t>
  </si>
  <si>
    <t>T2510021832452021981021</t>
  </si>
  <si>
    <t>130053452948</t>
  </si>
  <si>
    <t>Mobile recharged 7893802564 Airtel Prepaid Reference ID 210368828</t>
  </si>
  <si>
    <t>NX25100216192843932655151</t>
  </si>
  <si>
    <t>311322053131</t>
  </si>
  <si>
    <t>Oct 01, 2025</t>
  </si>
  <si>
    <t>02:40 pm</t>
  </si>
  <si>
    <t>Paid to THOTA  HARIKRISHNA Sept 29, 2025 09:49 pm DEBIT ₹45 Paid to KAMERA JYOTHI Sept 29, 2025 07:21 pm DEBIT ₹160 Paid to Cake and bekars Sept 29, 2025 05:27 pm DEBIT ₹2,000 Paid to Ramesh Mama Sept 29, 2025 04:03 pm DEBIT ₹122 Paid to Bava 😘 Sept 29, 2025 02:24 pm DEBIT ₹20 Paid to Mr TAMMISHETTY VENUGOPAL Sept 29, 2025 02:12 pm DEBIT ₹120 Paid to ARASAVELLI RAMA Sept 28, 2025 02:46 pm DEBIT ₹200 Paid to Charan 💗 Sept 27, 2025 05:56 pm DEBIT ₹12 Paid to GANESH KIRANAM AND GENERAL STORE Sept 27, 2025 04:52 pm DEBIT ₹10 Paid to KOTHURI  VENKATI Sept 27, 2025 03:38 pm DEBIT ₹17 Paid to GANESH KIRANAM AND GENERAL STORE Sept 27, 2025 01:01 pm DEBIT ₹30 Paid to HP Petrol Pump - Sri Srinivasa Filling Station Kasipet Sept 26, 2025 10:26 pm DEBIT ₹33 Mobile recharged 7893802564 Airtel Prepaid Reference ID 92410288 Sept 26, 2025 04:08 pm DEBIT ₹150 Paid to SRI CLASSIC FAMILY DHABA Sept 26, 2025 01:41 pm DEBIT ₹20 Paid to Anjali Kirana Genaral Store Sept 26, 2025 01:33 pm CREDIT ₹100 Received from Akka2 Sept 26, 2025 01:32 pm DEBIT ₹100 Paid to NADIGOTTU  RAJASHEKAR Sept 26, 2025 12:52 pm CREDIT ₹1 Received from Akka2 Sept 26, 2025 11:21 am DEBIT ₹2,000 Paid to VIJAYA LAKSHMI AUTO MOBILES Sept 25, 2025 11:00 pm CREDIT ₹17,100 Received from Abhi 💗 Sept 25, 2025 03:21 pm DEBIT ₹5 Paid to ARASAVELLI RAMA Sept 25, 2025 03:18 pm DEBIT ₹100 Paid to ARASAVELLI RAMA Sept 25, 2025 01:31 pm DEBIT ₹5 Paid to SRIKANTH KESHA Sept 25, 2025 01:31 pm DEBIT ₹7 Paid to SRIKANTH KESHA Sept 24, 2025 09:08 pm DEBIT ₹80 Paid to SRI VENKATESHWARA FAST FOOD Sept 24, 2025 08:57 pm DEBIT ₹750 Paid to SURABHI GRAND MULTI CUISINE FAMILY RESTAURANT 1 Sept 24, 2025 05:48 pm DEBIT ₹50 Paid to SRI SAI BALAJI FILLING STATION CCC NASPUR Sept 24, 2025 05:38 pm DEBIT ₹100 Paid to RAJINIKANTH PATHI Sept 24, 2025 03:39 pm DEBIT ₹80 Paid to Vamshi krishna fast center Sept 24, 2025 10:47 am DEBIT ₹50 Paid to SAI LEELA FILLING STATION Sept 24, 2025 10:46 am DEBIT ₹350 Paid to SAI LEELA FILLING STATION Sept 23, 2025 08:26 pm DEBIT ₹30 Paid to RAMA RAO CLOTH STORE Sept 23, 2025 07:19 pm DEBIT ₹40 Paid to SATTI BABU WORK SHOP Sept 23, 2025 07:19 pm DEBIT ₹180 Paid to SAI RAM TYRES Sept 23, 2025 07:15 pm DEBIT ₹380 Paid to MAHAVEER AUTOMOBILES Sept 23, 2025 07:14 pm CREDIT ₹380 Received from Abhi 💗 Sept 23, 2025 07:59 am CREDIT ₹250 Received from Abhi 💗 Sept 22, 2025 11:53 pm DEBIT ₹289 Paid to 888 THE MANDI SPOT Sept 22, 2025 08:51 pm DEBIT ₹90 Paid to SAI LEELA FILLING STATION Sept 22, 2025 08:52 am DEBIT ₹40 Paid to Chinna KI Bandi Sept 22, 2025 08:19 am DEBIT ₹80 Paid to GBC ENTERPRISES Sept 21, 2025 09:50 am DEBIT ₹150 Paid to HarshaVardhan.btech 🔥 Sept 20, 2025 05:17 pm DEBIT ₹1,000 Paid to HarshaVardhan.btech 🔥 Sept 20, 2025 10:27 am DEBIT ₹20 Paid to CHANGANI DEVI Sept 19, 2025 07:06 pm CREDIT ₹88 Received from Priya Sept 19, 2025 05:31 pm DEBIT ₹110 Paid to ASIAN FILL POINT Sept 19, 2025 05:20 pm CREDIT ₹274 Received from VIJAY KUMAR RAYIGIRI Sept 19, 2025 08:44 am DEBIT ₹40 Paid to Chinna KI Bandi Sept 19, 2025 07:24 am DEBIT ₹2,700 Transfer to XXXXXXXX1137 Sept 19, 2025 07:24 am DEBIT ₹1.20 Payment to MPOKKET Sept 18, 2025 11:10 pm DEBIT ₹100 Paid to Naresh Sept 18, 2025 11:06 pm DEBIT ₹10 Paid to Sri Ram Bakers Lounge Sept 18, 2025 11:02 pm DEBIT ₹120 Paid to SRI RAM BAKERS AND SWEETS Sept 18, 2025 10:21 pm CREDIT ₹100 Received from Sai 😘😘 Sept 18, 2025 07:58 pm DEBIT ₹3,170.54 Paid to MPOKKET FINANCIAL SERVICES PRIVATE LIMITED Sept 18, 2025 06:31 pm DEBIT ₹204.7 Paid to ETERNAL LIMITED Sept 18, 2025 04:51 pm DEBIT ₹20 Paid to RAMESH HARIYANA SPECIAL JIPEBI Sept 18, 2025 08:19 am DEBIT ₹80 Paid to GBC ENTERPRISES Sept 17, 2025 05:39 pm DEBIT ₹80 Paid to MANOJ VISHWAKARMA Sept 17, 2025 05:15 pm DEBIT ₹20 Paid to Mysore bakery ₹ 19 Gift Card ₹ 1 Sept 17, 2025 04:27 pm DEBIT ₹30 Paid to Rashid Husain Sept 16, 2025 09:42 pm DEBIT ₹90 Paid to SAI LEELA FILLING STATION Sept 16, 2025 09:36 pm DEBIT ₹40 Paid to Deepak Kumar chat bandar Sept 16, 2025 05:32 pm DEBIT ₹69.16 Paid to DISTRICT MOVIE TICKET Sept 16, 2025 04:55 pm DEBIT ₹20 Paid to PEETHANI SRINIVAS Sept 16, 2025 08:32 am CREDIT ₹1 Cashback from PhonePe Gift Card Sept 16, 2025 08:32 am DEBIT ₹70 Paid to GBC ENTERPRISES Sept 15, 2025 08:44 pm DEBIT ₹20 Paid to Sri Balaji Chat Bhandar ₹ 12 Gift Card ₹ 8 Sept 15, 2025 06:09 pm CREDIT ₹5 Cashback from PhonePe Gift Card Sept 15, 2025 06:08 pm DEBIT ₹20 Paid to TALLURI THEATERS Sept 15, 2025 05:24 pm CREDIT ₹2 Cashback from PhonePe Gift Card Sept 15, 2025 05:23 pm CREDIT ₹1 Cashback from PhonePe Gift Card Sept 15, 2025 05:22 pm DEBIT ₹91.52 Paid to BOOKMYSHOW Sept 15, 2025 04:51 pm DEBIT ₹70 Paid to Sri maa Durga Fast food center ₹ 66 Gift Card ₹ 4 Sept 15, 2025 04:23 pm CREDIT ₹3 Cashback from PhonePe Gift Card Sept 15, 2025 04:23 pm CREDIT ₹1 Cashback from PhonePe Gift Card Sept 14, 2025 06:59 pm DEBIT ₹60 Paid to TAGARAMPUDI RAJYALAKSHMI Sept 14, 2025 01:52 pm DEBIT ₹110 Paid to IOCLARUNAFILPUMP3 ₹ 103 Gift Card ₹ 7 Sept 14, 2025 01:51 pm CREDIT ₹1 Cashback from PhonePe Gift Card Sept 14, 2025 01:51 pm CREDIT ₹3 Cashback from PhonePe Gift Card Sept 14, 2025 12:17 pm CREDIT ₹43 Received from Sai Neeli Sept 14, 2025 11:41 am DEBIT ₹3 Paid to OlaCabs Sept 13, 2025 11:01 pm DEBIT ₹180 Paid to MANOJ VISHWAKARMA Sept 13, 2025 10:04 pm DEBIT ₹50 Paid to Naidu Vasu Sept 13, 2025 05:51 pm CREDIT ₹3 Cashback from PhonePe Gift Card Sept 13, 2025 03:57 pm DEBIT ₹300 Paid to Shiva sai Enterprises 2 ₹ 296 Gift Card ₹ 4 Sept 13, 2025 03:16 pm CREDIT ₹2 Cashback from PhonePe Gift Card Sept 13, 2025 01:11 pm DEBIT ₹1 Paid to ZOMATO LIMITED Sept 13, 2025 09:39 am DEBIT ₹20 Paid to NRCM Canteen Sept 12, 2025 10:34 pm CREDIT ₹2 Cashback from PhonePe Gift Card Sept 12, 2025 06:35 pm DEBIT ₹140 Paid to Krupa Bike Point ₹ 127 Gift Card ₹ 13 Sept 12, 2025 06:00 pm CREDIT ₹3,000 Received from Babai Sept 12, 2025 05:36 pm CREDIT ₹2 Cashback from PhonePe Gift Card Sept 12, 2025 05:28 pm DEBIT ₹1,600 Paid to MIRIYALARAVI KUMAR Sept 12, 2025 05:08 pm CREDIT ₹4 Cashback from PhonePe Gift Card Sept 12, 2025 05:08 pm CREDIT ₹2 Cashback from PhonePe Gift Card Sept 12, 2025 05:08 pm CREDIT ₹5 Cashback from PhonePe Gift Card Sept 12, 2025 05:07 pm DEBIT ₹80 Paid to SAI LEELA FILLING STATION Sept 12, 2025 04:54 pm DEBIT ₹100 Paid to Sri maa Durga Fast food center Sept 12, 2025 11:38 am DEBIT ₹40 Paid to Mamas Dosa Point ₹ 29 Gift Card ₹ 11 Sept 12, 2025 09:48 am CREDIT ₹2 Cashback from PhonePe Gift Card Sept 12, 2025 09:48 am CREDIT ₹3 Cashback from PhonePe Gift Card Sept 12, 2025 09:48 am CREDIT ₹2 Cashback from PhonePe Gift Card Sept 12, 2025 09:48 am DEBIT ₹15 Paid to NRCM Canteen Sept 12, 2025 09:42 am DEBIT ₹15 Paid to NET ZONE Sept 12, 2025 09:38 am CREDIT ₹15 Received from Sai Nivas Sept 11, 2025 08:57 am DEBIT ₹70 Paid to GBC ENTERPRISES Sept 11, 2025 08:48 am DEBIT ₹1 Paid to TAGARAMPUDI RAJYALAKSHMI Sept 11, 2025 08:47 am DEBIT ₹1 Paid to TAGARAMPUDI RAJYALAKSHMI Sept 10, 2025 09:43 pm CREDIT ₹150 Received from Abhi 💗 Sept 10, 2025 09:43 pm CREDIT ₹4 Cashback from PhonePe Gift Card Sept 10, 2025 09:43 pm DEBIT ₹40 Paid to Mysore bakery ₹ 33 Gift Card ₹ 7 Sept 10, 2025 05:41 pm CREDIT ₹2 Cashback from PhonePe Gift Card Sept 10, 2025 08:08 am DEBIT ₹11 Paid to CHINTAM PUJA Sept 10, 2025 12:59 am CREDIT ₹1 Cashback from PhonePe Gift Card Sept 10, 2025 12:58 am DEBIT ₹289 Paid to 888 THE MANDI SPOT Sept 09, 2025 10:18 pm CREDIT ₹4 Cashback from PhonePe Gift Card Sept 09, 2025 10:06 pm DEBIT ₹220 Paid to DHARANI LIQUOR MART Sept 09, 2025 10:03 pm CREDIT ₹220 Received from Babai Sept 09, 2025 04:42 pm DEBIT ₹20 Paid to Devi sweet corn onions 1 ₹ 6 Gift Card ₹ 14 Sept 09, 2025 04:29 pm CREDIT ₹3 Cashback from PhonePe Gift Card Sept 09, 2025 04:28 pm DEBIT ₹100 Paid to Anish Filling Station Sept 09, 2025 09:05 am CREDIT ₹500 Received from Daddy Sept 09, 2025 08:28 am CREDIT ₹4 Cashback from PhonePe Gift Card Sept 09, 2025 08:28 am CREDIT ₹2 Cashback from PhonePe Gift Card Sept 09, 2025 08:28 am CREDIT ₹3 Cashback from PhonePe Gift Card Sept 09, 2025 08:27 am CREDIT ₹2 Cashback from PhonePe Gift Card Sept 09, 2025 08:27 am DEBIT ₹30 Paid to SRI SAI JUICE AND SALAD Sept 09, 2025 08:15 am DEBIT ₹20 Paid to SUNDALE RAJESH Sept 09, 2025 07:03 am DEBIT ₹35 Paid to MADDALA SAI KIRAN Sept 08, 2025 10:39 pm DEBIT ₹50 Paid to NISARGA NIGHT Sept 08, 2025 08:15 pm DEBIT ₹19 Mobile recharged 7093233023 Jio Prepaid Reference ID 23950872890 ₹ 14 Gift Card ₹ 5 Sept 08, 2025 08:12 pm CREDIT ₹5 Cashback from PhonePe Gift Card Sept 08, 2025 08:02 pm DEBIT ₹51 Paid to VISHWARAJ  . Sept 08, 2025 07:38 pm DEBIT ₹100 Paid to Anita fruit shop ₹ 95 Gift Card ₹ 5 Sept 08, 2025 07:24 pm DEBIT ₹700 Paid to Annapurna Pg Sept 08, 2025 06:47 pm CREDIT ₹3 Cashback from PhonePe Gift Card Sept 08, 2025 06:38 pm DEBIT ₹19 Mobile recharged 7093233023 Jio Prepaid Reference ID 23949803552 Gift Card Sept 08, 2025 03:19 pm DEBIT ₹120 Paid to SHANTU Sept 08, 2025 03:11 pm DEBIT ₹10 Paid to Golden Souq Sept 08, 2025 12:27 pm CREDIT ₹4 Cashback from PhonePe Gift Card Sept 08, 2025 12:26 pm CREDIT ₹1 Cashback from PhonePe Gift Card Sept 08, 2025 11:59 am DEBIT ₹100 Paid to NEW TAAZA THINDI Sept 08, 2025 07:34 am DEBIT ₹932.8 Paid to REDBUS Sept 08, 2025 07:10 am CREDIT ₹1,146 Received from Razorpay Sept 08, 2025 06:58 am CREDIT ₹4 Cashback from PhonePe Gift Card Sept 08, 2025 06:58 am CREDIT ₹1 Cashback from PhonePe Gift Card Sept 08, 2025 06:58 am CREDIT ₹4 Cashback from PhonePe Gift Card Sept 08, 2025 06:58 am CREDIT ₹4 Cashback from PhonePe Gift Card Sept 08, 2025 06:57 am CREDIT ₹3 Cashback from PhonePe Gift Card Sept 07, 2025 09:32 pm DEBIT ₹80 Paid to SRI DURGA HOT CHIPS ₹ 78 Gift Card ₹ 2 Sept 07, 2025 09:26 pm DEBIT ₹42 Paid to Mr A SUMAN Sept 07, 2025 07:30 pm DEBIT ₹1,146 Paid to redbus Sept 07, 2025 07:03 pm DEBIT ₹100 Paid to SHANTU Sept 07, 2025 06:21 pm CREDIT ₹880 Refund from REDBUS Sept 07, 2025 11:32 am DEBIT ₹880 Paid to REDBUS Sept 06, 2025 12:53 am DEBIT ₹324 Paid to Medi Care Pharma Point Sept 06, 2025 12:48 am DEBIT ₹130 Paid to RAHUL V Sept 06, 2025 12:48 am CREDIT ₹1 Cashback from PhonePe Gift Card Sept 06, 2025 12:47 am CREDIT ₹1 Cashback from PhonePe Gift Card Sept 05, 2025 07:28 pm DEBIT ₹15 Paid to RAVITHEJA HOTEL DLX Sept 05, 2025 07:24 pm DEBIT ₹22 Paid to Thammineni Baby_ Sept 05, 2025 12:27 pm DEBIT ₹60 Paid to POOJA KANWAR FALOODA 2 Sept 05, 2025 11:39 am DEBIT ₹120 Paid to 01Guntur vari Pachallu Sept 05, 2025 09:03 am CREDIT ₹1,030.48 Refund from REDBUS Sept 05, 2025 09:00 am DEBIT ₹779 Paid to REDBUS Sept 05, 2025 04:27 am DEBIT ₹1,030.48 Paid to REDBUS Sept 05, 2025 01:16 am CREDIT ₹1,038.68 Received from Razorpay Sept 04, 2025 08:35 am DEBIT ₹70 Paid to DSREDDY FUEL C Sept 03, 2025 09:02 pm DEBIT ₹99 Paid to JAYARUP  KHATIWADA Sept 03, 2025 07:01 pm DEBIT ₹170 Paid to NAGAPURI VINAYKUMAR Sept 03, 2025 05:56 pm DEBIT ₹20 Paid to Sri Food Basket Sept 03, 2025 04:40 pm DEBIT ₹20 Paid to Charan 💗 Sept 03, 2025 03:45 pm DEBIT ₹1,038.68 Paid to redbus Sept 03, 2025 09:44 am DEBIT ₹10 Paid to Verni Technologies Sept 03, 2025 09:02 am DEBIT ₹40 Paid to BSREDD FUEL D Sept 02, 2025 04:39 pm DEBIT ₹50 Paid to GBC ENTERPRISES Sept 02, 2025 01:58 pm DEBIT ₹50 Paid to Chowdary  Shivani Sept 02, 2025 09:30 am DEBIT ₹30 Paid to NRCM Canteen Sept 01, 2025 09:37 pm DEBIT ₹90 Paid to KANDAVALLI KAMAL TEJA Sept 01, 2025 07:14 pm DEBIT ₹50 Paid to RR TWISTER ₹ 44.90 Gift Card ₹ 5.10 Sept 01, 2025 06:21 pm DEBIT ₹200 Paid to Maganti Nagesh Goud Sept 01, 2025 08:40 am DEBIT ₹10 Paid to Chinna KI Bandi Gift Card Sept 01, 2025 08:17 am CREDIT ₹15.10 Cashback from PhonePe Gift Card Sept 01, 2025 08:16 am DEBIT ₹100 Paid to GBC ENTERPRISES</t>
  </si>
  <si>
    <t>T2509010816469223156140</t>
  </si>
  <si>
    <t>995085424782</t>
  </si>
  <si>
    <t>Aug 31, 2025</t>
  </si>
  <si>
    <t>Paid to Surareddy</t>
  </si>
  <si>
    <t>T2508311121111897418674</t>
  </si>
  <si>
    <t>098911989898</t>
  </si>
  <si>
    <t>T2508311120578150420661</t>
  </si>
  <si>
    <t>983838336574</t>
  </si>
  <si>
    <t>Aug 30, 2025</t>
  </si>
  <si>
    <t>Paid to 888 THE MANDI SPOT</t>
  </si>
  <si>
    <t>T2508301710323469079873</t>
  </si>
  <si>
    <t>029523337432</t>
  </si>
  <si>
    <t>04:33 pm</t>
  </si>
  <si>
    <t>T2508301633351168965925</t>
  </si>
  <si>
    <t>809888590134</t>
  </si>
  <si>
    <t>12:13 pm</t>
  </si>
  <si>
    <t>Paid to GBC ENTERPRISES</t>
  </si>
  <si>
    <t>T2508301213187900467049</t>
  </si>
  <si>
    <t>940232179995</t>
  </si>
  <si>
    <t>Paid to Yuvaraj Kirana general store</t>
  </si>
  <si>
    <t>T2508301146352854694172</t>
  </si>
  <si>
    <t>369907784389</t>
  </si>
  <si>
    <t>T2508301141397300717794</t>
  </si>
  <si>
    <t>103626938001</t>
  </si>
  <si>
    <t>Paid to Sai 😘😘</t>
  </si>
  <si>
    <t>T2508301134493414926368</t>
  </si>
  <si>
    <t>641234877536</t>
  </si>
  <si>
    <t>12:08 am</t>
  </si>
  <si>
    <t>Mobile recharged 7093233023 Jio Prepaid Reference ID 23877914726</t>
  </si>
  <si>
    <t>NX25083000080361339142491</t>
  </si>
  <si>
    <t>846632786128</t>
  </si>
  <si>
    <t>Aug 29, 2025</t>
  </si>
  <si>
    <t>Paid to Sri sai maruthi computers</t>
  </si>
  <si>
    <t>T2508291751083589646221</t>
  </si>
  <si>
    <t>327689325053</t>
  </si>
  <si>
    <t>T2508291621278959156274</t>
  </si>
  <si>
    <t>928724416905</t>
  </si>
  <si>
    <t>03:09 pm</t>
  </si>
  <si>
    <t>T2508291509004277324259</t>
  </si>
  <si>
    <t>635300656768</t>
  </si>
  <si>
    <t>03:07 pm</t>
  </si>
  <si>
    <t>Paid to NARASIMHA REDDY ENGINEERING COLLEGE ICI432025032907085b31MdsHaEGiZQ0xvU</t>
  </si>
  <si>
    <t>524106490891</t>
  </si>
  <si>
    <t>Paid to NARASIMHA REDDY ENGINEERING COLLEGE ICI02202503290608b3D1LzNs0vGND5ViTB</t>
  </si>
  <si>
    <t>524106481354</t>
  </si>
  <si>
    <t>02:50 pm</t>
  </si>
  <si>
    <t>T2508291450435152455009</t>
  </si>
  <si>
    <t>581810549286</t>
  </si>
  <si>
    <t>T2508291159442490557198</t>
  </si>
  <si>
    <t>864200120540</t>
  </si>
  <si>
    <t>T2508290822251676858442</t>
  </si>
  <si>
    <t>466099005815</t>
  </si>
  <si>
    <t>07:33 am</t>
  </si>
  <si>
    <t>T2508290733488256330943</t>
  </si>
  <si>
    <t>792882450892</t>
  </si>
  <si>
    <t>07:30 am</t>
  </si>
  <si>
    <t>T2508290730322259199586</t>
  </si>
  <si>
    <t>085662188087</t>
  </si>
  <si>
    <t>Aug 28, 2025</t>
  </si>
  <si>
    <t>07:01 pm</t>
  </si>
  <si>
    <t>Paid to SRI RAM BAKERS AND SWEETS</t>
  </si>
  <si>
    <t>T2508281901427095326246</t>
  </si>
  <si>
    <t>334006697357</t>
  </si>
  <si>
    <t>T2508281818582836279835</t>
  </si>
  <si>
    <t>822381636738</t>
  </si>
  <si>
    <t>06:03 pm</t>
  </si>
  <si>
    <t>T2508281803477337975778</t>
  </si>
  <si>
    <t>020956555705</t>
  </si>
  <si>
    <t>T2508281055355624988414</t>
  </si>
  <si>
    <t>913625761493</t>
  </si>
  <si>
    <t>T2508281055237629341670</t>
  </si>
  <si>
    <t>192995751052</t>
  </si>
  <si>
    <t>T2508281052562288612346</t>
  </si>
  <si>
    <t>940567244042</t>
  </si>
  <si>
    <t>T2508281024397135106322</t>
  </si>
  <si>
    <t>352189768557</t>
  </si>
  <si>
    <t>Paid to Krupa Bike Point</t>
  </si>
  <si>
    <t>T2508281014530084483658</t>
  </si>
  <si>
    <t>493059163921</t>
  </si>
  <si>
    <t>Aug 27, 2025</t>
  </si>
  <si>
    <t>Paid to SRI VENKATESHWARA FILLING</t>
  </si>
  <si>
    <t>T2508271949355893563645</t>
  </si>
  <si>
    <t>753512558614</t>
  </si>
  <si>
    <t>T2508271937487274483109</t>
  </si>
  <si>
    <t>641034202037</t>
  </si>
  <si>
    <t>T2508271708445373473480</t>
  </si>
  <si>
    <t>044828495849</t>
  </si>
  <si>
    <t>Paid to SRI GAYATRI ASTHANAM</t>
  </si>
  <si>
    <t>T2508271659086160319103</t>
  </si>
  <si>
    <t>582800015019</t>
  </si>
  <si>
    <t>T2508271149471203267306</t>
  </si>
  <si>
    <t>361683316398</t>
  </si>
  <si>
    <t>Paid to Hotel Aahaar Pure Veg</t>
  </si>
  <si>
    <t>T2508271141503853165775</t>
  </si>
  <si>
    <t>072665537575</t>
  </si>
  <si>
    <t>11:28 am</t>
  </si>
  <si>
    <t>Paid to RACHMALLA MADHURI</t>
  </si>
  <si>
    <t>T2508271128192187384561</t>
  </si>
  <si>
    <t>851622788559</t>
  </si>
  <si>
    <t>11:27 am</t>
  </si>
  <si>
    <t>T2508271127327314196953</t>
  </si>
  <si>
    <t>250924200200</t>
  </si>
  <si>
    <t>11:25 am</t>
  </si>
  <si>
    <t>T2508271125213323873797</t>
  </si>
  <si>
    <t>792076053554</t>
  </si>
  <si>
    <t>Aug 26, 2025</t>
  </si>
  <si>
    <t>Paid to TAGARAMPUDI RAJYALAKSHMI</t>
  </si>
  <si>
    <t>T2508261705110910744314</t>
  </si>
  <si>
    <t>119659330169</t>
  </si>
  <si>
    <t>04:52 pm</t>
  </si>
  <si>
    <t>T2508261652170685930215</t>
  </si>
  <si>
    <t>757231656697</t>
  </si>
  <si>
    <t>T2508261331105365976787</t>
  </si>
  <si>
    <t>763187661256</t>
  </si>
  <si>
    <t>T2508261327559654443308</t>
  </si>
  <si>
    <t>476778541858</t>
  </si>
  <si>
    <t>T2508260957250714778418</t>
  </si>
  <si>
    <t>701808854185</t>
  </si>
  <si>
    <t>09:11 am</t>
  </si>
  <si>
    <t>T2508260911279524818342</t>
  </si>
  <si>
    <t>975924767514</t>
  </si>
  <si>
    <t>T2508260901233499993737</t>
  </si>
  <si>
    <t>611232567480</t>
  </si>
  <si>
    <t>08:56 am</t>
  </si>
  <si>
    <t>T2508260856042334778403</t>
  </si>
  <si>
    <t>846042093181</t>
  </si>
  <si>
    <t>T2508260814300472137877</t>
  </si>
  <si>
    <t>267614798299</t>
  </si>
  <si>
    <t>T2508251850186089409424</t>
  </si>
  <si>
    <t>287067672439</t>
  </si>
  <si>
    <t>T2508251847485063985233</t>
  </si>
  <si>
    <t>461558818145</t>
  </si>
  <si>
    <t>T2508251818322967237394</t>
  </si>
  <si>
    <t>831483326653</t>
  </si>
  <si>
    <t>06:06 pm</t>
  </si>
  <si>
    <t>T2508251805578442557621</t>
  </si>
  <si>
    <t>227612774812</t>
  </si>
  <si>
    <t>06:01 pm</t>
  </si>
  <si>
    <t>T2508251801243286895219</t>
  </si>
  <si>
    <t>663971293314</t>
  </si>
  <si>
    <t>T2508251800544926027691</t>
  </si>
  <si>
    <t>150287143796</t>
  </si>
  <si>
    <t>05:13 pm</t>
  </si>
  <si>
    <t>T2508251713465361022883</t>
  </si>
  <si>
    <t>032406878675</t>
  </si>
  <si>
    <t>04:45 pm</t>
  </si>
  <si>
    <t>Paid to Maa Durga Fast Foods</t>
  </si>
  <si>
    <t>T2508251645424548234261</t>
  </si>
  <si>
    <t>683550494988</t>
  </si>
  <si>
    <t>01:09 pm</t>
  </si>
  <si>
    <t>T2508251309148695080908</t>
  </si>
  <si>
    <t>761492382665</t>
  </si>
  <si>
    <t>08:17 am</t>
  </si>
  <si>
    <t>Paid to M  SANTOSHA</t>
  </si>
  <si>
    <t>T2508250817241170085991</t>
  </si>
  <si>
    <t>212348934389</t>
  </si>
  <si>
    <t>Aug 24, 2025</t>
  </si>
  <si>
    <t>T2508242231420896227887</t>
  </si>
  <si>
    <t>073700800381</t>
  </si>
  <si>
    <t>T2508242145390381627639</t>
  </si>
  <si>
    <t>124573668408</t>
  </si>
  <si>
    <t>T2508242043421139244578</t>
  </si>
  <si>
    <t>327787674398</t>
  </si>
  <si>
    <t>T2508242041263412736364</t>
  </si>
  <si>
    <t>577363398252</t>
  </si>
  <si>
    <t>T2508241951167211174420</t>
  </si>
  <si>
    <t>526495959461</t>
  </si>
  <si>
    <t>T2508241943431191722640</t>
  </si>
  <si>
    <t>822035988648</t>
  </si>
  <si>
    <t>T2508241936085003725914</t>
  </si>
  <si>
    <t>050714985484</t>
  </si>
  <si>
    <t>07:35 pm</t>
  </si>
  <si>
    <t>T2508241935197284887319</t>
  </si>
  <si>
    <t>947619753988</t>
  </si>
  <si>
    <t>01:41 pm</t>
  </si>
  <si>
    <t>Paid to AZMEERA CHANTI NAYAK</t>
  </si>
  <si>
    <t>T2508241341552995280511</t>
  </si>
  <si>
    <t>765069839121</t>
  </si>
  <si>
    <t>Paid to Sri Sai Kiranam</t>
  </si>
  <si>
    <t>T2508241135366245778430</t>
  </si>
  <si>
    <t>139682504554</t>
  </si>
  <si>
    <t>Aug 23, 2025</t>
  </si>
  <si>
    <t>T2508232122105127461126</t>
  </si>
  <si>
    <t>695507929877</t>
  </si>
  <si>
    <t>T2508232039333134417392</t>
  </si>
  <si>
    <t>340202389698</t>
  </si>
  <si>
    <t>T2508232038437398309330</t>
  </si>
  <si>
    <t>475662924502</t>
  </si>
  <si>
    <t>08:31 pm</t>
  </si>
  <si>
    <t>T2508232031252855794186</t>
  </si>
  <si>
    <t>510314398059</t>
  </si>
  <si>
    <t>T2508231724395136455750</t>
  </si>
  <si>
    <t>035216398052</t>
  </si>
  <si>
    <t>T2508231654114510150804</t>
  </si>
  <si>
    <t>928867521168</t>
  </si>
  <si>
    <t>12:21 am</t>
  </si>
  <si>
    <t>T2508230021187531519115</t>
  </si>
  <si>
    <t>003854469196</t>
  </si>
  <si>
    <t>Aug 22, 2025</t>
  </si>
  <si>
    <t>T2508221920418075009898</t>
  </si>
  <si>
    <t>545129370517</t>
  </si>
  <si>
    <t>T2508221814067765381644</t>
  </si>
  <si>
    <t>476153268227</t>
  </si>
  <si>
    <t>T2508221804532064748803</t>
  </si>
  <si>
    <t>114166767382</t>
  </si>
  <si>
    <t>T2508221726084701910574</t>
  </si>
  <si>
    <t>874162028679</t>
  </si>
  <si>
    <t>T2508221703176193981035</t>
  </si>
  <si>
    <t>136709558168</t>
  </si>
  <si>
    <t>Paid to AZAZ AHMED KHAN</t>
  </si>
  <si>
    <t>T2508220829088847725170</t>
  </si>
  <si>
    <t>526391244865</t>
  </si>
  <si>
    <t>Aug 21, 2025</t>
  </si>
  <si>
    <t>T2508212027494468240544</t>
  </si>
  <si>
    <t>581661843859</t>
  </si>
  <si>
    <t>Mobile recharged 7093233023 Jio Prepaid Reference ID 23815828885</t>
  </si>
  <si>
    <t>NX25082118375190111742041</t>
  </si>
  <si>
    <t>639693626118</t>
  </si>
  <si>
    <t>Mobile recharged 7093233023 Jio Prepaid Reference ID 23815321100</t>
  </si>
  <si>
    <t>NX25082117362784654592181</t>
  </si>
  <si>
    <t>668957931045</t>
  </si>
  <si>
    <t>Paid to 17762 Apollo Pharmacy</t>
  </si>
  <si>
    <t>T2508211447181935047615</t>
  </si>
  <si>
    <t>446557666687</t>
  </si>
  <si>
    <t>Paid to Venkat Goud Petro Mart</t>
  </si>
  <si>
    <t>T2508211419046552213690</t>
  </si>
  <si>
    <t>115422834844</t>
  </si>
  <si>
    <t>Paid to SHIVA CHIREDDY</t>
  </si>
  <si>
    <t>T2508211409191277597211</t>
  </si>
  <si>
    <t>967494593541</t>
  </si>
  <si>
    <t>09:12 am</t>
  </si>
  <si>
    <t>T2508210912101462267374</t>
  </si>
  <si>
    <t>203470454148</t>
  </si>
  <si>
    <t>08:34 am</t>
  </si>
  <si>
    <t>Paid to Rapido</t>
  </si>
  <si>
    <t>T2508210834265668302174</t>
  </si>
  <si>
    <t>169913795676</t>
  </si>
  <si>
    <t>08:25 am</t>
  </si>
  <si>
    <t>Paid to DISTRICT MOVIE TICKET</t>
  </si>
  <si>
    <t>T2508210825022944923419</t>
  </si>
  <si>
    <t>324415563307</t>
  </si>
  <si>
    <t>07:54 am</t>
  </si>
  <si>
    <t>Paid to Roppen Transportation Service Pvt Ltd</t>
  </si>
  <si>
    <t>T2508210754119829393325</t>
  </si>
  <si>
    <t>978010427035</t>
  </si>
  <si>
    <t>07:44 am</t>
  </si>
  <si>
    <t>Paid to K V FOOD COURT 2</t>
  </si>
  <si>
    <t>T2508210744561635515807</t>
  </si>
  <si>
    <t>044750226781</t>
  </si>
  <si>
    <t>Aug 20, 2025</t>
  </si>
  <si>
    <t>11:00 pm</t>
  </si>
  <si>
    <t>Paid to JAGAN COOL DRINK SHOP</t>
  </si>
  <si>
    <t>T2508202300158999287592</t>
  </si>
  <si>
    <t>746362261416</t>
  </si>
  <si>
    <t>Paid to THE SPICY LAND family restaurant</t>
  </si>
  <si>
    <t>T2508202257044020250590</t>
  </si>
  <si>
    <t>300840842166</t>
  </si>
  <si>
    <t>Mobile recharged 7093233023 Jio Prepaid Reference ID 23810256191 ₹ 8 Gift Card ₹ 11</t>
  </si>
  <si>
    <t>NX25082020561109563956181</t>
  </si>
  <si>
    <t>640529231449</t>
  </si>
  <si>
    <t>T2508202052291011577889</t>
  </si>
  <si>
    <t>T2508202052257875547731</t>
  </si>
  <si>
    <t>T2508202052220427631026</t>
  </si>
  <si>
    <t>T2508202051563634430519</t>
  </si>
  <si>
    <t>661035763210</t>
  </si>
  <si>
    <t>08:22 pm</t>
  </si>
  <si>
    <t>T2508202022411251403969</t>
  </si>
  <si>
    <t>774848664831</t>
  </si>
  <si>
    <t>T2508201713365488806999</t>
  </si>
  <si>
    <t>603064335789</t>
  </si>
  <si>
    <t>Paid to GOPAL V</t>
  </si>
  <si>
    <t>T2508201705543141453368</t>
  </si>
  <si>
    <t>178529639777</t>
  </si>
  <si>
    <t>Paid to Sagar Mobile ₹ 246 Gift Card ₹ 54</t>
  </si>
  <si>
    <t>T2508201643279366151600</t>
  </si>
  <si>
    <t>088885370441</t>
  </si>
  <si>
    <t>Paid to Annapurna Pg</t>
  </si>
  <si>
    <t>T2508201627030755910694</t>
  </si>
  <si>
    <t>950406810279</t>
  </si>
  <si>
    <t>02:44 am</t>
  </si>
  <si>
    <t>T2508200244465884078598</t>
  </si>
  <si>
    <t>409227307203</t>
  </si>
  <si>
    <t>Aug 19, 2025</t>
  </si>
  <si>
    <t>T2508192332005178994264</t>
  </si>
  <si>
    <t>T2508192331243127819479</t>
  </si>
  <si>
    <t>510564550600</t>
  </si>
  <si>
    <t>Paid to redbus</t>
  </si>
  <si>
    <t>T2508192317413714425934</t>
  </si>
  <si>
    <t>958638677461</t>
  </si>
  <si>
    <t>10:44 pm</t>
  </si>
  <si>
    <t>T2508192244446461531297</t>
  </si>
  <si>
    <t>T2508192244414137208734</t>
  </si>
  <si>
    <t>T2508192244385959325551</t>
  </si>
  <si>
    <t>T2508192244334119165087</t>
  </si>
  <si>
    <t>T2508192244282500637320</t>
  </si>
  <si>
    <t>T2508192244223657655285</t>
  </si>
  <si>
    <t>T2508192244182452946765</t>
  </si>
  <si>
    <t>Paid to ASIF KOYILOTRA</t>
  </si>
  <si>
    <t>T2508192238078006488786</t>
  </si>
  <si>
    <t>774780046408</t>
  </si>
  <si>
    <t>Paid to Ram Medical</t>
  </si>
  <si>
    <t>T2508192236123095100198</t>
  </si>
  <si>
    <t>803362523350</t>
  </si>
  <si>
    <t>Paid to SLR Bar and restaurant</t>
  </si>
  <si>
    <t>T2508192228586310946217</t>
  </si>
  <si>
    <t>821316580357</t>
  </si>
  <si>
    <t>Paid to Swiggy</t>
  </si>
  <si>
    <t>T2508192005282285313115</t>
  </si>
  <si>
    <t>053079705554</t>
  </si>
  <si>
    <t>Paid to SURESH KUMAR P</t>
  </si>
  <si>
    <t>T2508191731378457746368</t>
  </si>
  <si>
    <t>912792365870</t>
  </si>
  <si>
    <t>Paid to TAALIMPU</t>
  </si>
  <si>
    <t>T2508191727429724651661</t>
  </si>
  <si>
    <t>891534647869</t>
  </si>
  <si>
    <t>Paid to NEW TAAZA THINDI</t>
  </si>
  <si>
    <t>T2508191658515996931762</t>
  </si>
  <si>
    <t>342790551156</t>
  </si>
  <si>
    <t>Paid to AHAMATH</t>
  </si>
  <si>
    <t>T2508191557166097943939</t>
  </si>
  <si>
    <t>322112539430</t>
  </si>
  <si>
    <t>Paid to Sri Yakshi Bramaligeswara Gift Card</t>
  </si>
  <si>
    <t>T2508191337281492394046</t>
  </si>
  <si>
    <t>01:44 am</t>
  </si>
  <si>
    <t>Refund from REDBUS</t>
  </si>
  <si>
    <t>T2508190144043345110043</t>
  </si>
  <si>
    <t>523190827119</t>
  </si>
  <si>
    <t>Credited to XXXX7370</t>
  </si>
  <si>
    <t>01:25 am</t>
  </si>
  <si>
    <t>Paid to By2cafe</t>
  </si>
  <si>
    <t>T2508190125190966516027</t>
  </si>
  <si>
    <t>508157516092</t>
  </si>
  <si>
    <t>Aug 18, 2025</t>
  </si>
  <si>
    <t>T2508181932447779228635</t>
  </si>
  <si>
    <t>T2508181932405172594595</t>
  </si>
  <si>
    <t>T2508181932366895981556</t>
  </si>
  <si>
    <t>T2508181932320391037368</t>
  </si>
  <si>
    <t>T2508181932281968124455</t>
  </si>
  <si>
    <t>T2508181932241581561070</t>
  </si>
  <si>
    <t>T2508181932200279686579</t>
  </si>
  <si>
    <t>T2508181932155909624868</t>
  </si>
  <si>
    <t>T2508181932099636646355</t>
  </si>
  <si>
    <t>T2508181932061701565896</t>
  </si>
  <si>
    <t>T2508181932018892468609</t>
  </si>
  <si>
    <t>Paid to REDBUS</t>
  </si>
  <si>
    <t>T2508181931332132211120</t>
  </si>
  <si>
    <t>602045873911</t>
  </si>
  <si>
    <t>Paid to Zomato private Limited</t>
  </si>
  <si>
    <t>T2508181917423672275370</t>
  </si>
  <si>
    <t>454169251499</t>
  </si>
  <si>
    <t>T2508181344510035146968</t>
  </si>
  <si>
    <t>217768393665</t>
  </si>
  <si>
    <t>T2508172359450609618543</t>
  </si>
  <si>
    <t>947169860387</t>
  </si>
  <si>
    <t>Aug 17, 2025</t>
  </si>
  <si>
    <t>T2508172050144176629099</t>
  </si>
  <si>
    <t>407000518778</t>
  </si>
  <si>
    <t>Paid to Sagar Mobile</t>
  </si>
  <si>
    <t>T2508171913562776753266</t>
  </si>
  <si>
    <t>247941667388</t>
  </si>
  <si>
    <t>Aug 16, 2025</t>
  </si>
  <si>
    <t>Paid to BNP  Siddu neeladri</t>
  </si>
  <si>
    <t>T2508162222400899016382</t>
  </si>
  <si>
    <t>715561334579</t>
  </si>
  <si>
    <t>T2508162220295445415497</t>
  </si>
  <si>
    <t>298373564956</t>
  </si>
  <si>
    <t>T2508162156238162902947</t>
  </si>
  <si>
    <t>543724074501</t>
  </si>
  <si>
    <t>T2508161811477006578671</t>
  </si>
  <si>
    <t>997946261269</t>
  </si>
  <si>
    <t>05:49 pm</t>
  </si>
  <si>
    <t>Paid to SUBRAMANI S</t>
  </si>
  <si>
    <t>T2508161749135170988888</t>
  </si>
  <si>
    <t>176200445234</t>
  </si>
  <si>
    <t>Paid to Khalid K</t>
  </si>
  <si>
    <t>T2508161707481104606609</t>
  </si>
  <si>
    <t>070364188060</t>
  </si>
  <si>
    <t>Paid to KARUNADU AWESOME FOODS ₹ 47 Gift Card ₹ 26</t>
  </si>
  <si>
    <t>T2508161654226237913499</t>
  </si>
  <si>
    <t>742329356494</t>
  </si>
  <si>
    <t>Aug 15, 2025</t>
  </si>
  <si>
    <t>T2508152033431162136504</t>
  </si>
  <si>
    <t>T2508152033390176313272</t>
  </si>
  <si>
    <t>T2508152033346966629711</t>
  </si>
  <si>
    <t>T2508152033304369588044</t>
  </si>
  <si>
    <t>T2508152033259547884969</t>
  </si>
  <si>
    <t>T2508152033212556206615</t>
  </si>
  <si>
    <t>Paid to COMMISSIONER OF POLICE HYDERABAD CITY</t>
  </si>
  <si>
    <t>T2508152030257912136153</t>
  </si>
  <si>
    <t>809647027042</t>
  </si>
  <si>
    <t>T2508152024556581730139</t>
  </si>
  <si>
    <t>630429433187</t>
  </si>
  <si>
    <t>Aug 14, 2025</t>
  </si>
  <si>
    <t>Paid to MERIBABU  CHATLA</t>
  </si>
  <si>
    <t>T2508141856571093955708</t>
  </si>
  <si>
    <t>457569743320</t>
  </si>
  <si>
    <t>T2508141536149612047638</t>
  </si>
  <si>
    <t>888676923590</t>
  </si>
  <si>
    <t>T2508141132146478425713</t>
  </si>
  <si>
    <t>399700608245</t>
  </si>
  <si>
    <t>T2508141131579968466802</t>
  </si>
  <si>
    <t>232305336409</t>
  </si>
  <si>
    <t>Aug 13, 2025</t>
  </si>
  <si>
    <t>06:48 pm</t>
  </si>
  <si>
    <t>Paid to Singari Suvarna</t>
  </si>
  <si>
    <t>T2508131847530323069525</t>
  </si>
  <si>
    <t>207436606410</t>
  </si>
  <si>
    <t>Paid to ZUDIO A UNIT OF TRENT LIMITED</t>
  </si>
  <si>
    <t>T2508131808150646720016</t>
  </si>
  <si>
    <t>783570508039</t>
  </si>
  <si>
    <t>Paid to NAGAPURI VINAYKUMAR</t>
  </si>
  <si>
    <t>T2508131227202789082448</t>
  </si>
  <si>
    <t>738146142242</t>
  </si>
  <si>
    <t>Paid to T SRI VARSHA</t>
  </si>
  <si>
    <t>T2508131204381340767242</t>
  </si>
  <si>
    <t>917645786594</t>
  </si>
  <si>
    <t>08:27 am</t>
  </si>
  <si>
    <t>Paid to Chinna KI Bandi ₹ 36 Gift Card ₹ 4</t>
  </si>
  <si>
    <t>T2508130827530258106431</t>
  </si>
  <si>
    <t>475554719354</t>
  </si>
  <si>
    <t>Aug 12, 2025</t>
  </si>
  <si>
    <t>Paid to prabhakar chaubey</t>
  </si>
  <si>
    <t>T2508121258011870764960</t>
  </si>
  <si>
    <t>959384737894</t>
  </si>
  <si>
    <t>T2508121250030858593560</t>
  </si>
  <si>
    <t>Aug 11, 2025</t>
  </si>
  <si>
    <t>Paid to S NAGAVENKATA PRAVEEN</t>
  </si>
  <si>
    <t>T2508111923542211837747</t>
  </si>
  <si>
    <t>726767097584</t>
  </si>
  <si>
    <t>12:00 pm</t>
  </si>
  <si>
    <t>OLEX2508111200278153586684</t>
  </si>
  <si>
    <t>101184282051</t>
  </si>
  <si>
    <t>Aug 10, 2025</t>
  </si>
  <si>
    <t>T2508101907143067700217</t>
  </si>
  <si>
    <t>127653168533</t>
  </si>
  <si>
    <t>Aug 08, 2025</t>
  </si>
  <si>
    <t>T2508082000182629442122</t>
  </si>
  <si>
    <t>652908733003</t>
  </si>
  <si>
    <t>Paid to VAISHNO DEVI FILLING STATION</t>
  </si>
  <si>
    <t>T2508081800525343526644</t>
  </si>
  <si>
    <t>735822011884</t>
  </si>
  <si>
    <t>Paid to DASARAPU  HARISH</t>
  </si>
  <si>
    <t>T2508081648434057975566</t>
  </si>
  <si>
    <t>373091799418</t>
  </si>
  <si>
    <t>Paid to Harsha Vardhan.Drlg Mm ❤</t>
  </si>
  <si>
    <t>T2508081534037871124089</t>
  </si>
  <si>
    <t>532227338183</t>
  </si>
  <si>
    <t>T2508081423525139929004</t>
  </si>
  <si>
    <t>522119345119</t>
  </si>
  <si>
    <t>Aug 05, 2025</t>
  </si>
  <si>
    <t>Paid to BIGTREE ENTERTAINMENT PRIVATE LIMITED</t>
  </si>
  <si>
    <t>T2508052025224301112417</t>
  </si>
  <si>
    <t>432813312828</t>
  </si>
  <si>
    <t>T2508052019325158287111</t>
  </si>
  <si>
    <t>421094280290</t>
  </si>
  <si>
    <t>Paid to Narsimha Reddy Engineering College 2 PTM50805803607379703853202508050107</t>
  </si>
  <si>
    <t>289429230562</t>
  </si>
  <si>
    <t>Aug 04, 2025</t>
  </si>
  <si>
    <t>T2508042254318738812999</t>
  </si>
  <si>
    <t>176048519911</t>
  </si>
  <si>
    <t>T2508042208526295928647</t>
  </si>
  <si>
    <t>937699382635</t>
  </si>
  <si>
    <t>08:59 am</t>
  </si>
  <si>
    <t>T2508040859301050675904</t>
  </si>
  <si>
    <t>924100423704</t>
  </si>
  <si>
    <t>Aug 03, 2025</t>
  </si>
  <si>
    <t>05:14 pm</t>
  </si>
  <si>
    <t>Paid to Babai</t>
  </si>
  <si>
    <t>T2508031714459321264235</t>
  </si>
  <si>
    <t>928283026413</t>
  </si>
  <si>
    <t>05:06 pm</t>
  </si>
  <si>
    <t>T2508031706058818993253</t>
  </si>
  <si>
    <t>164087265615</t>
  </si>
  <si>
    <t>T2508031508118531003604</t>
  </si>
  <si>
    <t>731630221650</t>
  </si>
  <si>
    <t>T2508031203001804343273</t>
  </si>
  <si>
    <t>767696205650</t>
  </si>
  <si>
    <t>Aug 02, 2025</t>
  </si>
  <si>
    <t>Bharat Connect  PP015214BB0FQ1PVZ988</t>
  </si>
  <si>
    <t>002457432900</t>
  </si>
  <si>
    <t>T2508022216263328605958</t>
  </si>
  <si>
    <t>063232405324</t>
  </si>
  <si>
    <t>T2508021843480425487282</t>
  </si>
  <si>
    <t>385093298770</t>
  </si>
  <si>
    <t>T2508021831573531112088</t>
  </si>
  <si>
    <t>737746366243</t>
  </si>
  <si>
    <t>Aug 01, 2025</t>
  </si>
  <si>
    <t>11:54 pm</t>
  </si>
  <si>
    <t>T2508012354227448684117</t>
  </si>
  <si>
    <t>356669264865</t>
  </si>
  <si>
    <t>T2508012200048974228828</t>
  </si>
  <si>
    <t>841612826760</t>
  </si>
  <si>
    <t>T2508012023087605717956</t>
  </si>
  <si>
    <t>587935915661</t>
  </si>
  <si>
    <t>T2508011921224205811906</t>
  </si>
  <si>
    <t>105947247887</t>
  </si>
  <si>
    <t>T2508011512431924414191</t>
  </si>
  <si>
    <t>245264679433</t>
  </si>
  <si>
    <t>Jul 31, 2025</t>
  </si>
  <si>
    <t>T2507312325365550529493</t>
  </si>
  <si>
    <t>544576992158</t>
  </si>
  <si>
    <t>T2507312050457340356173</t>
  </si>
  <si>
    <t>323501878110</t>
  </si>
  <si>
    <t>T2507312050087871881112</t>
  </si>
  <si>
    <t>076848163488</t>
  </si>
  <si>
    <t>T2507312046311978471258</t>
  </si>
  <si>
    <t>286731100078</t>
  </si>
  <si>
    <t>T2507312045377122046247</t>
  </si>
  <si>
    <t>486208264895</t>
  </si>
  <si>
    <t>Received from Ashwini Bngl</t>
  </si>
  <si>
    <t>T2507312045323805581244</t>
  </si>
  <si>
    <t>279492418746</t>
  </si>
  <si>
    <t>08:08 pm</t>
  </si>
  <si>
    <t>T2507312008073207447947</t>
  </si>
  <si>
    <t>950670645786</t>
  </si>
  <si>
    <t>T2507312000281630356026</t>
  </si>
  <si>
    <t>499868594819</t>
  </si>
  <si>
    <t>T2507311943349552131137</t>
  </si>
  <si>
    <t>373443676041</t>
  </si>
  <si>
    <t>T2507311917399609371455</t>
  </si>
  <si>
    <t>149420011737</t>
  </si>
  <si>
    <t>T2507311700339521876463</t>
  </si>
  <si>
    <t>508648899674</t>
  </si>
  <si>
    <t>T2507310821599835873170</t>
  </si>
  <si>
    <t>500488686478</t>
  </si>
  <si>
    <t>T2507301346050145704178</t>
  </si>
  <si>
    <t>303667203426</t>
  </si>
  <si>
    <t>11:13 am</t>
  </si>
  <si>
    <t>T2507301113340011300574</t>
  </si>
  <si>
    <t>834773366143</t>
  </si>
  <si>
    <t>T2507301113192553546466</t>
  </si>
  <si>
    <t>211861536363</t>
  </si>
  <si>
    <t>T2507301058156345272001</t>
  </si>
  <si>
    <t>864828431215</t>
  </si>
  <si>
    <t>Jul 28, 2025</t>
  </si>
  <si>
    <t>Received from NAGAPURI VIVEKANANDA</t>
  </si>
  <si>
    <t>T2507281616478339235685</t>
  </si>
  <si>
    <t>557565883918</t>
  </si>
  <si>
    <t>T2507281613194344981968</t>
  </si>
  <si>
    <t>835512568852</t>
  </si>
  <si>
    <t>Jul 27, 2025</t>
  </si>
  <si>
    <t>12:38 pm</t>
  </si>
  <si>
    <t>T2507271238303799445638</t>
  </si>
  <si>
    <t>560605422306</t>
  </si>
  <si>
    <t>Jul 26, 2025</t>
  </si>
  <si>
    <t>T2507262301458198535977</t>
  </si>
  <si>
    <t>520755869135</t>
  </si>
  <si>
    <t>Paid to Vivek Nenda Hyd</t>
  </si>
  <si>
    <t>T2507262130331693675846</t>
  </si>
  <si>
    <t>686004983353</t>
  </si>
  <si>
    <t>T2507261826100906684531</t>
  </si>
  <si>
    <t>057546486911</t>
  </si>
  <si>
    <t>Jul 25, 2025</t>
  </si>
  <si>
    <t>01:03 pm</t>
  </si>
  <si>
    <t>T2507251303457627809186</t>
  </si>
  <si>
    <t>143703876523</t>
  </si>
  <si>
    <t>Jul 24, 2025</t>
  </si>
  <si>
    <t>Paid to PAVITHRA CHICKHEN CENTER ₹ 156 Gift Card ₹ 34</t>
  </si>
  <si>
    <t>T2507241639341257668082</t>
  </si>
  <si>
    <t>733400348368</t>
  </si>
  <si>
    <t>T2507241639162258855705</t>
  </si>
  <si>
    <t>957442305127</t>
  </si>
  <si>
    <t>Jul 23, 2025</t>
  </si>
  <si>
    <t>T2507231230167481633207</t>
  </si>
  <si>
    <t>554027385870</t>
  </si>
  <si>
    <t>12:18 am</t>
  </si>
  <si>
    <t>T2507230018110370407794</t>
  </si>
  <si>
    <t>359995616994</t>
  </si>
  <si>
    <t>Jul 22, 2025</t>
  </si>
  <si>
    <t>Received from Laxman Gudimalla</t>
  </si>
  <si>
    <t>T2507221457398912664860</t>
  </si>
  <si>
    <t>012229946447</t>
  </si>
  <si>
    <t>T2507221321054074946579</t>
  </si>
  <si>
    <t>602455196916</t>
  </si>
  <si>
    <t>T2507221316012947776238</t>
  </si>
  <si>
    <t>955541764476</t>
  </si>
  <si>
    <t>T2507221254399018335909</t>
  </si>
  <si>
    <t>631187333146</t>
  </si>
  <si>
    <t>Jul 21, 2025</t>
  </si>
  <si>
    <t>T2507211939589060407420</t>
  </si>
  <si>
    <t>134456533189</t>
  </si>
  <si>
    <t>T2507211128418987613431</t>
  </si>
  <si>
    <t>189701652025</t>
  </si>
  <si>
    <t>OLEX2507211128229725367720</t>
  </si>
  <si>
    <t>189648972025</t>
  </si>
  <si>
    <t>Jul 20, 2025</t>
  </si>
  <si>
    <t>T2507201510169592108700</t>
  </si>
  <si>
    <t>852547771687</t>
  </si>
  <si>
    <t>T2507201509550018351000</t>
  </si>
  <si>
    <t>320548943570</t>
  </si>
  <si>
    <t>T2507201238558498538892</t>
  </si>
  <si>
    <t>317066429680</t>
  </si>
  <si>
    <t>T2507201227575189714596</t>
  </si>
  <si>
    <t>T2507201227531682371936</t>
  </si>
  <si>
    <t>T2507201227484340173786</t>
  </si>
  <si>
    <t>T2507201227434456173651</t>
  </si>
  <si>
    <t>T2507201227383295361118</t>
  </si>
  <si>
    <t>T2507201227280838639275</t>
  </si>
  <si>
    <t>T2507201227096504860997</t>
  </si>
  <si>
    <t>T2507201227040127515896</t>
  </si>
  <si>
    <t>Jul 19, 2025</t>
  </si>
  <si>
    <t>Paid to UTTHUNGA ASSOCIATES</t>
  </si>
  <si>
    <t>T2507192056116654436145</t>
  </si>
  <si>
    <t>907247722360</t>
  </si>
  <si>
    <t>T2507191904531552371285</t>
  </si>
  <si>
    <t>309741337209</t>
  </si>
  <si>
    <t>Jul 18, 2025</t>
  </si>
  <si>
    <t>Paid to SHOKUDO</t>
  </si>
  <si>
    <t>T2507181855169420804765</t>
  </si>
  <si>
    <t>744235804108</t>
  </si>
  <si>
    <t>Paid to NAGESH AMBARAGATTI</t>
  </si>
  <si>
    <t>T2507181652555699173466</t>
  </si>
  <si>
    <t>107039893860</t>
  </si>
  <si>
    <t>Jul 17, 2025</t>
  </si>
  <si>
    <t>Paid to KARUNADU AWESOME FOODS</t>
  </si>
  <si>
    <t>T2507172248525882500791</t>
  </si>
  <si>
    <t>781394793470</t>
  </si>
  <si>
    <t>T2507171706067460194876</t>
  </si>
  <si>
    <t>578114362925</t>
  </si>
  <si>
    <t>Jul 16, 2025</t>
  </si>
  <si>
    <t>T2507161436554502907447</t>
  </si>
  <si>
    <t>475931938424</t>
  </si>
  <si>
    <t>04:40 pm</t>
  </si>
  <si>
    <t>Paid to SYED  YOUSUF ALI</t>
  </si>
  <si>
    <t>T2507151640481111465573</t>
  </si>
  <si>
    <t>626115599991</t>
  </si>
  <si>
    <t>T2507151007305847922920</t>
  </si>
  <si>
    <t>454322990494</t>
  </si>
  <si>
    <t>T2507151000488684622943</t>
  </si>
  <si>
    <t>250071903266</t>
  </si>
  <si>
    <t>09:48 am</t>
  </si>
  <si>
    <t>T2507150948539424622037</t>
  </si>
  <si>
    <t>514844044990</t>
  </si>
  <si>
    <t>Jul 13, 2025</t>
  </si>
  <si>
    <t>Paid to MAMIDALA  SRINIVAS</t>
  </si>
  <si>
    <t>T2507131124068160413401</t>
  </si>
  <si>
    <t>234989974513</t>
  </si>
  <si>
    <t>10:09 am</t>
  </si>
  <si>
    <t>T2507131009139376068191</t>
  </si>
  <si>
    <t>547771965766</t>
  </si>
  <si>
    <t>Jul 12, 2025</t>
  </si>
  <si>
    <t>08:40 pm</t>
  </si>
  <si>
    <t>T2507122040363449864270</t>
  </si>
  <si>
    <t>201929847226</t>
  </si>
  <si>
    <t>Paid to Devasani  Priyanka</t>
  </si>
  <si>
    <t>T2507121118540128645833</t>
  </si>
  <si>
    <t>042470515925</t>
  </si>
  <si>
    <t>Jul 11, 2025</t>
  </si>
  <si>
    <t>05:53 pm</t>
  </si>
  <si>
    <t>T2507111753381069670362</t>
  </si>
  <si>
    <t>704790604705</t>
  </si>
  <si>
    <t>05:25 pm</t>
  </si>
  <si>
    <t>Paid to AJAY KUMAR ANKAR</t>
  </si>
  <si>
    <t>T2507111725041498645745</t>
  </si>
  <si>
    <t>932888003068</t>
  </si>
  <si>
    <t>Jul 10, 2025</t>
  </si>
  <si>
    <t>10:50 pm</t>
  </si>
  <si>
    <t>Paid to Balaji IceCream</t>
  </si>
  <si>
    <t>T2507102250262632849679</t>
  </si>
  <si>
    <t>668904926281</t>
  </si>
  <si>
    <t>Jul 09, 2025</t>
  </si>
  <si>
    <t>Paid to SAMEEKSHA PHARMACY</t>
  </si>
  <si>
    <t>T2507091605245729950986</t>
  </si>
  <si>
    <t>743215811852</t>
  </si>
  <si>
    <t>T2507091604469904674275</t>
  </si>
  <si>
    <t>767975826279</t>
  </si>
  <si>
    <t>02:17 pm</t>
  </si>
  <si>
    <t>Paid to SHAFI MOHAMMED</t>
  </si>
  <si>
    <t>T2507091417418310111196</t>
  </si>
  <si>
    <t>274681480118</t>
  </si>
  <si>
    <t>Mobile recharged 7093233023 Jio Prepaid Reference ID 23480320466</t>
  </si>
  <si>
    <t>NB25070913515930237518392</t>
  </si>
  <si>
    <t>147604301200</t>
  </si>
  <si>
    <t>Jul 08, 2025</t>
  </si>
  <si>
    <t>Mobile recharged 7093233023 Jio Prepaid Reference ID 23472166343</t>
  </si>
  <si>
    <t>NB25070812413255313231022</t>
  </si>
  <si>
    <t>419739142723</t>
  </si>
  <si>
    <t>Jul 07, 2025</t>
  </si>
  <si>
    <t>Mobile recharged 7093233023 Jio Prepaid Reference ID 23466635004</t>
  </si>
  <si>
    <t>NB25070718175383650175602</t>
  </si>
  <si>
    <t>602722364700</t>
  </si>
  <si>
    <t>Paid to Sri Rama Sweet House</t>
  </si>
  <si>
    <t>T2507071448074108092418</t>
  </si>
  <si>
    <t>406201351741</t>
  </si>
  <si>
    <t>Jul 06, 2025</t>
  </si>
  <si>
    <t>T2507062322589829694803</t>
  </si>
  <si>
    <t>633182845477</t>
  </si>
  <si>
    <t>T2507062206561411321617</t>
  </si>
  <si>
    <t>696646451691</t>
  </si>
  <si>
    <t>12:33 pm</t>
  </si>
  <si>
    <t>T2507061233161149790823</t>
  </si>
  <si>
    <t>527429874592</t>
  </si>
  <si>
    <t>Jul 05, 2025</t>
  </si>
  <si>
    <t>T2507051842252205371132</t>
  </si>
  <si>
    <t>503268844417</t>
  </si>
  <si>
    <t>T2507051807330348045094</t>
  </si>
  <si>
    <t>648090562632</t>
  </si>
  <si>
    <t>T2507051804017114181874</t>
  </si>
  <si>
    <t>648033859939</t>
  </si>
  <si>
    <t>Jul 04, 2025</t>
  </si>
  <si>
    <t>Paid to TAGARAMPUDI VENKATA RAMAKRISHNA</t>
  </si>
  <si>
    <t>T2507042137046725632338</t>
  </si>
  <si>
    <t>587816111994</t>
  </si>
  <si>
    <t>Mobile recharged 7093233023 Jio Prepaid Reference ID 23441431235</t>
  </si>
  <si>
    <t>NB25070416084738315068022</t>
  </si>
  <si>
    <t>716054915902</t>
  </si>
  <si>
    <t>01:04 pm</t>
  </si>
  <si>
    <t>T2507041304249711325122</t>
  </si>
  <si>
    <t>289862258031</t>
  </si>
  <si>
    <t>Jul 03, 2025</t>
  </si>
  <si>
    <t>Paid to Ashwik Reddy</t>
  </si>
  <si>
    <t>T2507032119306227398151</t>
  </si>
  <si>
    <t>865067768011</t>
  </si>
  <si>
    <t>T2507032057267217465457</t>
  </si>
  <si>
    <t>937983684845</t>
  </si>
  <si>
    <t>T2507032053238764364854</t>
  </si>
  <si>
    <t>460580835256</t>
  </si>
  <si>
    <t>Paid to FIFTH GEAR FOOD COURT</t>
  </si>
  <si>
    <t>T2507031624117059647835</t>
  </si>
  <si>
    <t>434524711936</t>
  </si>
  <si>
    <t>03:52 pm</t>
  </si>
  <si>
    <t>Paid to Sai Kumar Reddy Pg</t>
  </si>
  <si>
    <t>T2507031552170291378489</t>
  </si>
  <si>
    <t>896345094560</t>
  </si>
  <si>
    <t>T2507031138219445310111</t>
  </si>
  <si>
    <t>282536129778</t>
  </si>
  <si>
    <t>Paid to Mr  JINKA  DASHARATH</t>
  </si>
  <si>
    <t>T2507031103326546539306</t>
  </si>
  <si>
    <t>902600641936</t>
  </si>
  <si>
    <t>10:50 am</t>
  </si>
  <si>
    <t>Paid to NUTULAPATI BALA JOSEPH</t>
  </si>
  <si>
    <t>T2507031050333673467760</t>
  </si>
  <si>
    <t>067857283159</t>
  </si>
  <si>
    <t>Paid to Mahaveer Auto Mobile</t>
  </si>
  <si>
    <t>T2507031050188634487761</t>
  </si>
  <si>
    <t>913689487569</t>
  </si>
  <si>
    <t>Jul 02, 2025</t>
  </si>
  <si>
    <t>Paid to MEDPLUS  INAPHYD00356</t>
  </si>
  <si>
    <t>T2507022232128548565133</t>
  </si>
  <si>
    <t>937502830851</t>
  </si>
  <si>
    <t>T2507021833208297324159</t>
  </si>
  <si>
    <t>399904958292</t>
  </si>
  <si>
    <t>Jul 01, 2025</t>
  </si>
  <si>
    <t>Bharat Connect  PP015182BB2HT1QTQ285</t>
  </si>
  <si>
    <t>427803789793</t>
  </si>
  <si>
    <t>T2507012224106465546136</t>
  </si>
  <si>
    <t>004830105588</t>
  </si>
  <si>
    <t>T2507011715521856904649</t>
  </si>
  <si>
    <t>724926058295</t>
  </si>
  <si>
    <t>01:39 am</t>
  </si>
  <si>
    <t>T2507010138503197905832</t>
  </si>
  <si>
    <t>218400967259</t>
  </si>
  <si>
    <t>Jun 30, 2025</t>
  </si>
  <si>
    <t>Paid to ODNALA CHARAN</t>
  </si>
  <si>
    <t>T2506302217007428911726</t>
  </si>
  <si>
    <t>523513444509</t>
  </si>
  <si>
    <t>Paid to Chintu Mama</t>
  </si>
  <si>
    <t>T2506302132061846904031</t>
  </si>
  <si>
    <t>431638503718</t>
  </si>
  <si>
    <t>T2506302131429801607989</t>
  </si>
  <si>
    <t>988636712327</t>
  </si>
  <si>
    <t>T2506302130047712778081</t>
  </si>
  <si>
    <t>070270921971</t>
  </si>
  <si>
    <t>T2506302124082785546146</t>
  </si>
  <si>
    <t>944341968818</t>
  </si>
  <si>
    <t>Jun 29, 2025</t>
  </si>
  <si>
    <t>04:07 pm</t>
  </si>
  <si>
    <t>T2506291607272617861114</t>
  </si>
  <si>
    <t>716432230705</t>
  </si>
  <si>
    <t>T2506291536153829515028</t>
  </si>
  <si>
    <t>615395519380</t>
  </si>
  <si>
    <t>Paid to Harshitha Frnd</t>
  </si>
  <si>
    <t>T2506291317524684159264</t>
  </si>
  <si>
    <t>995079752581</t>
  </si>
  <si>
    <t>T2506291317039628517297</t>
  </si>
  <si>
    <t>769101728668</t>
  </si>
  <si>
    <t>T2506291153140398002402</t>
  </si>
  <si>
    <t>000481993084</t>
  </si>
  <si>
    <t>Jun 28, 2025</t>
  </si>
  <si>
    <t>Paid to BEESETTI  RAMBABU</t>
  </si>
  <si>
    <t>T2506281044284822190406</t>
  </si>
  <si>
    <t>031788644443</t>
  </si>
  <si>
    <t>Jun 26, 2025</t>
  </si>
  <si>
    <t>Paid to GADDAM RAVI RAJU</t>
  </si>
  <si>
    <t>T2506261613324783280814</t>
  </si>
  <si>
    <t>584006824883</t>
  </si>
  <si>
    <t>T2506261540241743017401</t>
  </si>
  <si>
    <t>379533820967</t>
  </si>
  <si>
    <t>01:48 pm</t>
  </si>
  <si>
    <t>T2506261348315257443024</t>
  </si>
  <si>
    <t>091405407277</t>
  </si>
  <si>
    <t>12:19 pm</t>
  </si>
  <si>
    <t>T2506261218597154965708</t>
  </si>
  <si>
    <t>730270046239</t>
  </si>
  <si>
    <t>T2506260912024276458084</t>
  </si>
  <si>
    <t>194037003258</t>
  </si>
  <si>
    <t>Paid to RATNADEEP</t>
  </si>
  <si>
    <t>T2506252117180121938469</t>
  </si>
  <si>
    <t>846332830707</t>
  </si>
  <si>
    <t>T2506252116529831938724</t>
  </si>
  <si>
    <t>595383905253</t>
  </si>
  <si>
    <t>Paid to SHYAM PRASAD  GUDIKANDULA</t>
  </si>
  <si>
    <t>T2506252059232037694864</t>
  </si>
  <si>
    <t>848580053538</t>
  </si>
  <si>
    <t>T2506252058595422856068</t>
  </si>
  <si>
    <t>336067534352</t>
  </si>
  <si>
    <t>T2506252039258119803571</t>
  </si>
  <si>
    <t>952637425467</t>
  </si>
  <si>
    <t>T2506251803245034130644</t>
  </si>
  <si>
    <t>421708900184</t>
  </si>
  <si>
    <t>517617250400</t>
  </si>
  <si>
    <t>01:34 pm</t>
  </si>
  <si>
    <t>T2506251334034504900789</t>
  </si>
  <si>
    <t>309958421874</t>
  </si>
  <si>
    <t>Jun 24, 2025</t>
  </si>
  <si>
    <t>T2506241404011339842995</t>
  </si>
  <si>
    <t>755230104624</t>
  </si>
  <si>
    <t>Jun 22, 2025</t>
  </si>
  <si>
    <t>T2506221954321377741775</t>
  </si>
  <si>
    <t>171654994600</t>
  </si>
  <si>
    <t>T2506221954027228424126</t>
  </si>
  <si>
    <t>119173589297</t>
  </si>
  <si>
    <t>Jun 21, 2025</t>
  </si>
  <si>
    <t>T2506212339436673448231</t>
  </si>
  <si>
    <t>087043303635</t>
  </si>
  <si>
    <t>T2506212003323171903771</t>
  </si>
  <si>
    <t>388011217953</t>
  </si>
  <si>
    <t>T2506211947033600185358</t>
  </si>
  <si>
    <t>021936331853</t>
  </si>
  <si>
    <t>T2506211810255617024729</t>
  </si>
  <si>
    <t>141434014867</t>
  </si>
  <si>
    <t>T2506211734189051326373</t>
  </si>
  <si>
    <t>891890669482</t>
  </si>
  <si>
    <t>T2506211733104390609829</t>
  </si>
  <si>
    <t>664753212786</t>
  </si>
  <si>
    <t>T2506211518049092323207</t>
  </si>
  <si>
    <t>039425988783</t>
  </si>
  <si>
    <t>Jun 20, 2025</t>
  </si>
  <si>
    <t>T2506202055299178907682</t>
  </si>
  <si>
    <t>515963985192</t>
  </si>
  <si>
    <t>Jun 19, 2025</t>
  </si>
  <si>
    <t>T2506192127542597099423</t>
  </si>
  <si>
    <t>302944474340</t>
  </si>
  <si>
    <t>T2506192004455783381659</t>
  </si>
  <si>
    <t>621919828399</t>
  </si>
  <si>
    <t>T2506191918160489511049</t>
  </si>
  <si>
    <t>293020365175</t>
  </si>
  <si>
    <t>Jun 18, 2025</t>
  </si>
  <si>
    <t>T2506182131361770019493</t>
  </si>
  <si>
    <t>389529732089</t>
  </si>
  <si>
    <t>T2506182008346646773229</t>
  </si>
  <si>
    <t>389861048786</t>
  </si>
  <si>
    <t>T2506182008024567638441</t>
  </si>
  <si>
    <t>455524444708</t>
  </si>
  <si>
    <t>T2506181744199100931561</t>
  </si>
  <si>
    <t>277183079446</t>
  </si>
  <si>
    <t>03:16 pm</t>
  </si>
  <si>
    <t>Paid to Aradhya fast food</t>
  </si>
  <si>
    <t>T2506181516171550135888</t>
  </si>
  <si>
    <t>791214095957</t>
  </si>
  <si>
    <t>12:37 am</t>
  </si>
  <si>
    <t>T2506180037076442049906</t>
  </si>
  <si>
    <t>580425454611</t>
  </si>
  <si>
    <t>Jun 17, 2025</t>
  </si>
  <si>
    <t>T2506171359299917802632</t>
  </si>
  <si>
    <t>813194165097</t>
  </si>
  <si>
    <t>Paid to GANJI RAJASEKHAR REDDY</t>
  </si>
  <si>
    <t>T2506171258067614464821</t>
  </si>
  <si>
    <t>071589850550</t>
  </si>
  <si>
    <t>T2506171253323353509512</t>
  </si>
  <si>
    <t>887127812094</t>
  </si>
  <si>
    <t>08:47 am</t>
  </si>
  <si>
    <t>Paid to KOTHA PRAVEENA</t>
  </si>
  <si>
    <t>T2506170847070023078843</t>
  </si>
  <si>
    <t>115478376251</t>
  </si>
  <si>
    <t>Jun 16, 2025</t>
  </si>
  <si>
    <t>12:25 pm</t>
  </si>
  <si>
    <t>Paid to QSPIDERSUTEST YANTRA SW SOLIP LTD AIR1QhmB84Hte1REYNT3981675420QPAY02</t>
  </si>
  <si>
    <t>516712029634</t>
  </si>
  <si>
    <t>02:40 am</t>
  </si>
  <si>
    <t>T2506160240266443185549</t>
  </si>
  <si>
    <t>227109965203</t>
  </si>
  <si>
    <t>Jun 14, 2025</t>
  </si>
  <si>
    <t>T2506141700463041897192</t>
  </si>
  <si>
    <t>966506472867</t>
  </si>
  <si>
    <t>Jun 12, 2025</t>
  </si>
  <si>
    <t>T2506122144218416382873</t>
  </si>
  <si>
    <t>887243632838</t>
  </si>
  <si>
    <t>T2506122143458293166854</t>
  </si>
  <si>
    <t>099731973252</t>
  </si>
  <si>
    <t>T2506121433565970695437</t>
  </si>
  <si>
    <t>945234782141</t>
  </si>
  <si>
    <t>Jun 11, 2025</t>
  </si>
  <si>
    <t>T2506112224161818429270</t>
  </si>
  <si>
    <t>634969206697</t>
  </si>
  <si>
    <t>Paid to Raja Pandaricha Chai</t>
  </si>
  <si>
    <t>T2506111828407491148190</t>
  </si>
  <si>
    <t>109549665288</t>
  </si>
  <si>
    <t>T2506111532423136499518</t>
  </si>
  <si>
    <t>146462730131</t>
  </si>
  <si>
    <t>02:01 am</t>
  </si>
  <si>
    <t>T2506110200576748050224</t>
  </si>
  <si>
    <t>177798315659</t>
  </si>
  <si>
    <t>Jun 10, 2025</t>
  </si>
  <si>
    <t>T2506101508326401865799</t>
  </si>
  <si>
    <t>748163496729</t>
  </si>
  <si>
    <t>Jun 09, 2025</t>
  </si>
  <si>
    <t>Paid to MITTA RAJESH</t>
  </si>
  <si>
    <t>T2506092131003840113035</t>
  </si>
  <si>
    <t>556365297046</t>
  </si>
  <si>
    <t>Jun 08, 2025</t>
  </si>
  <si>
    <t>Paid to Danala  Venkatesh</t>
  </si>
  <si>
    <t>T2506081931348152757813</t>
  </si>
  <si>
    <t>609349730041</t>
  </si>
  <si>
    <t>06:50 am</t>
  </si>
  <si>
    <t>T2506080650256577025160</t>
  </si>
  <si>
    <t>726065770809</t>
  </si>
  <si>
    <t>T2506071802465801284148</t>
  </si>
  <si>
    <t>223981746995</t>
  </si>
  <si>
    <t>T2506071801387835326719</t>
  </si>
  <si>
    <t>847497758428</t>
  </si>
  <si>
    <t>T2506071734413385147470</t>
  </si>
  <si>
    <t>152373264209</t>
  </si>
  <si>
    <t>T2506071727556643549863</t>
  </si>
  <si>
    <t>231119593147</t>
  </si>
  <si>
    <t>Received from Rakeshbingi</t>
  </si>
  <si>
    <t>T2506071458301648495873</t>
  </si>
  <si>
    <t>644793879482</t>
  </si>
  <si>
    <t>T2506071457167361154308</t>
  </si>
  <si>
    <t>769228450541</t>
  </si>
  <si>
    <t>Jun 06, 2025</t>
  </si>
  <si>
    <t>T2506061929377968474933</t>
  </si>
  <si>
    <t>466587067145</t>
  </si>
  <si>
    <t>T2506061610225905550720</t>
  </si>
  <si>
    <t>400936594550</t>
  </si>
  <si>
    <t>T2506061609298571169830</t>
  </si>
  <si>
    <t>421983192911</t>
  </si>
  <si>
    <t>T2506061529588122606849</t>
  </si>
  <si>
    <t>346412538119</t>
  </si>
  <si>
    <t>T2506061418078239784266</t>
  </si>
  <si>
    <t>796102710678</t>
  </si>
  <si>
    <t>Received from Ragavendra BTech</t>
  </si>
  <si>
    <t>T2506061417264272867155</t>
  </si>
  <si>
    <t>893881614394</t>
  </si>
  <si>
    <t>Jun 05, 2025</t>
  </si>
  <si>
    <t>Mobile recharged 7093233023 Jio Prepaid Reference ID 23214247392</t>
  </si>
  <si>
    <t>NB25060519070953390865552</t>
  </si>
  <si>
    <t>917971920710</t>
  </si>
  <si>
    <t>05:19 pm</t>
  </si>
  <si>
    <t>T2506051719019356598871</t>
  </si>
  <si>
    <t>180930444235</t>
  </si>
  <si>
    <t>T2506051718050770147621</t>
  </si>
  <si>
    <t>432275730385</t>
  </si>
  <si>
    <t>Paid to Pinni</t>
  </si>
  <si>
    <t>T2506051230261811479963</t>
  </si>
  <si>
    <t>497271158269</t>
  </si>
  <si>
    <t>12:24 pm</t>
  </si>
  <si>
    <t>T2506051224002692802732</t>
  </si>
  <si>
    <t>745862943428</t>
  </si>
  <si>
    <t>Paid to CEELAM   SRINIVAS</t>
  </si>
  <si>
    <t>T2506051220451127205787</t>
  </si>
  <si>
    <t>699796234689</t>
  </si>
  <si>
    <t>Jun 04, 2025</t>
  </si>
  <si>
    <t>T2506042005273385188134</t>
  </si>
  <si>
    <t>441602430221</t>
  </si>
  <si>
    <t>Paid to Egg Business</t>
  </si>
  <si>
    <t>T2506041717521659567082</t>
  </si>
  <si>
    <t>313527093937</t>
  </si>
  <si>
    <t>T2506041650205376251268</t>
  </si>
  <si>
    <t>815849604540</t>
  </si>
  <si>
    <t>T2506041345243358371693</t>
  </si>
  <si>
    <t>792474707608</t>
  </si>
  <si>
    <t>Received from Manikanta This is an automatically generated statement. Customer(s) are requested to immediately notify PhonePe in case terms-conditions/ for PhonePe Terms &amp; Conditions and Privacy Policy. Disclaimer : Do not fall prey to fictitious offers of winning prizes, money circulation schemes and cheap funds, etc. through SMS, emails and calls. The contents of this email and document are confidential and intended for the recipient specified in this document. If you received this message by mistake, please inform PhonePe at</t>
  </si>
  <si>
    <t>T2506041218532502684058</t>
  </si>
  <si>
    <t>839298002678</t>
  </si>
  <si>
    <t>day</t>
  </si>
  <si>
    <t>month</t>
  </si>
  <si>
    <t>year</t>
  </si>
  <si>
    <t>days</t>
  </si>
  <si>
    <t>month2</t>
  </si>
  <si>
    <t>date2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</si>
</sst>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14009]dd/mm/yyyy;@"/>
  </numFmts>
  <fonts count="9" x14ac:knownFonts="1">
    <font>
      <sz val="11"/>
      <color theme="1"/>
      <name val="Calibri"/>
      <family val="2"/>
      <scheme val="minor"/>
    </font>
    <font>
      <b/>
      <sz val="11"/>
      <color rgb="FFFFFFFF"/>
      <name val="Segoe UI"/>
    </font>
    <font>
      <sz val="10"/>
      <name val="Segoe UI"/>
    </font>
    <font>
      <sz val="10"/>
      <color rgb="FF9C0006"/>
      <name val="Segoe UI"/>
    </font>
    <font>
      <sz val="10"/>
      <color rgb="FF006100"/>
      <name val="Segoe UI"/>
    </font>
    <font>
      <b/>
      <sz val="16"/>
      <color rgb="FFFFFFFF"/>
      <name val="Segoe UI"/>
    </font>
    <font>
      <b/>
      <sz val="11"/>
      <name val="Segoe UI"/>
    </font>
    <font>
      <b/>
      <sz val="12"/>
      <color rgb="FF1F497D"/>
      <name val="Segoe UI"/>
    </font>
    <font>
      <sz val="8"/>
      <name val="Calibri"/>
      <family val="2"/>
      <scheme val="minor"/>
    </font>
  </fonts>
  <fills count="9">
    <fill>
      <patternFill patternType="none"/>
    </fill>
    <fill>
      <patternFill patternType="gray125"/>
    </fill>
    <fill>
      <patternFill patternType="solid">
        <fgColor rgb="FF1F497D"/>
        <bgColor rgb="FF1F497D"/>
      </patternFill>
    </fill>
    <fill>
      <patternFill patternType="solid">
        <fgColor rgb="FFFDF2F2"/>
        <bgColor rgb="FFFDF2F2"/>
      </patternFill>
    </fill>
    <fill>
      <patternFill patternType="solid">
        <fgColor rgb="FFF2F9F2"/>
        <bgColor rgb="FFF2F9F2"/>
      </patternFill>
    </fill>
    <fill>
      <patternFill patternType="solid">
        <fgColor rgb="FFF2F2F2"/>
        <bgColor rgb="FFF2F2F2"/>
      </patternFill>
    </fill>
    <fill>
      <patternFill patternType="solid">
        <fgColor rgb="FF4F81BD"/>
        <bgColor rgb="FF4F81BD"/>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theme="0"/>
      </left>
      <right/>
      <top/>
      <bottom/>
      <diagonal/>
    </border>
    <border>
      <left style="thin">
        <color rgb="FFD9D9D9"/>
      </left>
      <right/>
      <top style="thin">
        <color rgb="FFD9D9D9"/>
      </top>
      <bottom/>
      <diagonal/>
    </border>
    <border>
      <left style="thin">
        <color rgb="FFD9D9D9"/>
      </left>
      <right/>
      <top style="thin">
        <color rgb="FFD9D9D9"/>
      </top>
      <bottom style="thin">
        <color rgb="FFD9D9D9"/>
      </bottom>
      <diagonal/>
    </border>
    <border>
      <left style="thin">
        <color rgb="FFD9D9D9"/>
      </left>
      <right/>
      <top/>
      <bottom/>
      <diagonal/>
    </border>
    <border>
      <left style="thin">
        <color theme="0"/>
      </left>
      <right style="thin">
        <color theme="0"/>
      </right>
      <top/>
      <bottom/>
      <diagonal/>
    </border>
  </borders>
  <cellStyleXfs count="1">
    <xf numFmtId="0" fontId="0" fillId="0" borderId="0"/>
  </cellStyleXfs>
  <cellXfs count="37">
    <xf numFmtId="0" fontId="0" fillId="0" borderId="0" xfId="0"/>
    <xf numFmtId="0" fontId="6" fillId="5" borderId="1" xfId="0" applyFont="1" applyFill="1" applyBorder="1"/>
    <xf numFmtId="3" fontId="6" fillId="0" borderId="1" xfId="0" applyNumberFormat="1" applyFont="1" applyBorder="1"/>
    <xf numFmtId="164" fontId="6" fillId="0" borderId="1" xfId="0" applyNumberFormat="1" applyFont="1" applyBorder="1"/>
    <xf numFmtId="0" fontId="7" fillId="0" borderId="0" xfId="0" applyFont="1"/>
    <xf numFmtId="0" fontId="1" fillId="6" borderId="0" xfId="0" applyFont="1" applyFill="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right" vertical="center"/>
    </xf>
    <xf numFmtId="0" fontId="5" fillId="2" borderId="0" xfId="0" applyFont="1" applyFill="1" applyAlignment="1">
      <alignment horizontal="center" vertical="center"/>
    </xf>
    <xf numFmtId="0" fontId="0" fillId="0" borderId="0" xfId="0"/>
    <xf numFmtId="2" fontId="0" fillId="0" borderId="0" xfId="0" applyNumberFormat="1"/>
    <xf numFmtId="14" fontId="0" fillId="0" borderId="0" xfId="0" applyNumberFormat="1"/>
    <xf numFmtId="2" fontId="1" fillId="2" borderId="0" xfId="0" applyNumberFormat="1" applyFont="1" applyFill="1" applyBorder="1" applyAlignment="1">
      <alignment horizontal="center" vertical="center"/>
    </xf>
    <xf numFmtId="0" fontId="1" fillId="2" borderId="2" xfId="0" applyFont="1" applyFill="1" applyBorder="1" applyAlignment="1">
      <alignment horizontal="center" vertical="center"/>
    </xf>
    <xf numFmtId="2" fontId="1" fillId="2" borderId="2" xfId="0" applyNumberFormat="1" applyFont="1" applyFill="1" applyBorder="1" applyAlignment="1">
      <alignment horizontal="center" vertical="center"/>
    </xf>
    <xf numFmtId="2" fontId="2" fillId="7" borderId="3" xfId="0" applyNumberFormat="1" applyFont="1" applyFill="1" applyBorder="1" applyAlignment="1">
      <alignment horizontal="center" vertical="center"/>
    </xf>
    <xf numFmtId="0" fontId="2" fillId="7" borderId="3" xfId="0" applyFont="1" applyFill="1" applyBorder="1" applyAlignment="1">
      <alignment horizontal="center" vertical="center"/>
    </xf>
    <xf numFmtId="0" fontId="3" fillId="3" borderId="3" xfId="0" applyFont="1" applyFill="1" applyBorder="1" applyAlignment="1">
      <alignment horizontal="center" vertical="center"/>
    </xf>
    <xf numFmtId="164" fontId="2" fillId="7" borderId="3" xfId="0" applyNumberFormat="1" applyFont="1" applyFill="1" applyBorder="1" applyAlignment="1">
      <alignment horizontal="right" vertical="center"/>
    </xf>
    <xf numFmtId="0" fontId="2" fillId="7" borderId="3" xfId="0" applyFont="1" applyFill="1" applyBorder="1" applyAlignment="1">
      <alignment horizontal="left" vertical="center"/>
    </xf>
    <xf numFmtId="2" fontId="2" fillId="7" borderId="3" xfId="0" applyNumberFormat="1" applyFont="1" applyFill="1" applyBorder="1" applyAlignment="1">
      <alignment horizontal="left" vertical="center"/>
    </xf>
    <xf numFmtId="2" fontId="2" fillId="8" borderId="3" xfId="0" applyNumberFormat="1" applyFont="1" applyFill="1" applyBorder="1" applyAlignment="1">
      <alignment horizontal="center" vertical="center"/>
    </xf>
    <xf numFmtId="0" fontId="2" fillId="8" borderId="3" xfId="0" applyFont="1" applyFill="1" applyBorder="1" applyAlignment="1">
      <alignment horizontal="center" vertical="center"/>
    </xf>
    <xf numFmtId="164" fontId="2" fillId="8" borderId="3" xfId="0" applyNumberFormat="1" applyFont="1" applyFill="1" applyBorder="1" applyAlignment="1">
      <alignment horizontal="right" vertical="center"/>
    </xf>
    <xf numFmtId="0" fontId="2" fillId="8" borderId="3" xfId="0" applyFont="1" applyFill="1" applyBorder="1" applyAlignment="1">
      <alignment horizontal="left" vertical="center"/>
    </xf>
    <xf numFmtId="2" fontId="2" fillId="8" borderId="3" xfId="0" applyNumberFormat="1" applyFont="1" applyFill="1" applyBorder="1" applyAlignment="1">
      <alignment horizontal="left" vertical="center"/>
    </xf>
    <xf numFmtId="0" fontId="4" fillId="4" borderId="3" xfId="0" applyFont="1" applyFill="1" applyBorder="1" applyAlignment="1">
      <alignment horizontal="center" vertical="center"/>
    </xf>
    <xf numFmtId="2" fontId="2" fillId="8" borderId="4" xfId="0" applyNumberFormat="1" applyFont="1" applyFill="1" applyBorder="1" applyAlignment="1">
      <alignment horizontal="center" vertical="center"/>
    </xf>
    <xf numFmtId="0" fontId="2" fillId="8" borderId="4" xfId="0" applyFont="1" applyFill="1" applyBorder="1" applyAlignment="1">
      <alignment horizontal="center" vertical="center"/>
    </xf>
    <xf numFmtId="0" fontId="4" fillId="4" borderId="4" xfId="0" applyFont="1" applyFill="1" applyBorder="1" applyAlignment="1">
      <alignment horizontal="center" vertical="center"/>
    </xf>
    <xf numFmtId="164" fontId="2" fillId="8" borderId="4" xfId="0" applyNumberFormat="1" applyFont="1" applyFill="1" applyBorder="1" applyAlignment="1">
      <alignment horizontal="right" vertical="center"/>
    </xf>
    <xf numFmtId="0" fontId="2" fillId="8" borderId="4" xfId="0" applyFont="1" applyFill="1" applyBorder="1" applyAlignment="1">
      <alignment horizontal="left" vertical="center"/>
    </xf>
    <xf numFmtId="2" fontId="2" fillId="8" borderId="4" xfId="0" applyNumberFormat="1" applyFont="1" applyFill="1" applyBorder="1" applyAlignment="1">
      <alignment horizontal="left" vertical="center"/>
    </xf>
    <xf numFmtId="0" fontId="1" fillId="2" borderId="6" xfId="0" applyFont="1" applyFill="1" applyBorder="1" applyAlignment="1">
      <alignment horizontal="center" vertical="center"/>
    </xf>
    <xf numFmtId="14" fontId="2" fillId="8" borderId="5" xfId="0" applyNumberFormat="1" applyFont="1" applyFill="1" applyBorder="1" applyAlignment="1">
      <alignment horizontal="left" vertical="center"/>
    </xf>
    <xf numFmtId="168" fontId="2" fillId="7" borderId="3" xfId="0" applyNumberFormat="1" applyFont="1" applyFill="1" applyBorder="1" applyAlignment="1">
      <alignment horizontal="center" vertical="center"/>
    </xf>
  </cellXfs>
  <cellStyles count="1">
    <cellStyle name="Normal" xfId="0" builtinId="0"/>
  </cellStyles>
  <dxfs count="14">
    <dxf>
      <font>
        <b val="0"/>
        <i val="0"/>
        <strike val="0"/>
        <condense val="0"/>
        <extend val="0"/>
        <outline val="0"/>
        <shadow val="0"/>
        <u val="none"/>
        <vertAlign val="baseline"/>
        <sz val="10"/>
        <color auto="1"/>
        <name val="Segoe UI"/>
        <scheme val="none"/>
      </font>
      <numFmt numFmtId="19" formatCode="dd/mm/yyyy"/>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D9D9D9"/>
        </left>
        <right/>
        <top style="thin">
          <color rgb="FFD9D9D9"/>
        </top>
        <bottom/>
        <vertical/>
        <horizontal/>
      </border>
    </dxf>
    <dxf>
      <numFmt numFmtId="0" formatCode="General"/>
    </dxf>
    <dxf>
      <font>
        <b/>
        <i val="0"/>
        <strike val="0"/>
        <condense val="0"/>
        <extend val="0"/>
        <outline val="0"/>
        <shadow val="0"/>
        <u val="none"/>
        <vertAlign val="baseline"/>
        <sz val="11"/>
        <color rgb="FFFFFFFF"/>
        <name val="Segoe UI"/>
        <scheme val="none"/>
      </font>
      <fill>
        <patternFill patternType="solid">
          <fgColor rgb="FF1F497D"/>
          <bgColor rgb="FF1F497D"/>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Segoe UI"/>
        <scheme val="none"/>
      </font>
      <fill>
        <patternFill patternType="solid">
          <fgColor theme="4" tint="0.79998168889431442"/>
          <bgColor theme="4"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Segoe UI"/>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auto="1"/>
        <name val="Segoe UI"/>
        <scheme val="none"/>
      </font>
      <numFmt numFmtId="2" formatCode="0.00"/>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auto="1"/>
        <name val="Segoe UI"/>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auto="1"/>
        <name val="Segoe UI"/>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auto="1"/>
        <name val="Segoe UI"/>
        <scheme val="none"/>
      </font>
      <numFmt numFmtId="164" formatCode="&quot;₹&quot;#,##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rgb="FF006100"/>
        <name val="Segoe UI"/>
        <scheme val="none"/>
      </font>
      <fill>
        <patternFill patternType="solid">
          <fgColor rgb="FFF2F9F2"/>
          <bgColor rgb="FFF2F9F2"/>
        </patternFill>
      </fill>
      <alignment horizontal="center"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auto="1"/>
        <name val="Segoe UI"/>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0"/>
        <color auto="1"/>
        <name val="Segoe UI"/>
        <scheme val="none"/>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rgb="FFD9D9D9"/>
        </left>
        <right/>
        <top style="thin">
          <color rgb="FFD9D9D9"/>
        </top>
        <bottom/>
        <vertical/>
        <horizontal/>
      </border>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C0482F-F093-4444-A714-C9D0C070E8FD}" name="Table4" displayName="Table4" ref="A1:N1931" totalsRowShown="0" headerRowDxfId="2" dataDxfId="3">
  <autoFilter ref="A1:N1931" xr:uid="{B2C0482F-F093-4444-A714-C9D0C070E8FD}"/>
  <tableColumns count="14">
    <tableColumn id="1" xr3:uid="{61D171E2-3070-4223-B136-ACCD6AC83751}" name="day">
      <calculatedColumnFormula>MID(E2,5,2)</calculatedColumnFormula>
    </tableColumn>
    <tableColumn id="16" xr3:uid="{4162312A-6BFE-4D3B-BD8C-E606ED6FFA8A}" name="month2" dataDxfId="1">
      <calculatedColumnFormula>_xlfn.SWITCH(Table4[[#This Row],[month]],"jan",1,"feb",2,"mar",3,"apr",4,"may",5,"jun",6,"jul",7,"aug",8,"sep",9,"oct",10,"nov",11,"dec",12,"no month")</calculatedColumnFormula>
    </tableColumn>
    <tableColumn id="2" xr3:uid="{02E88781-C5FE-49D5-A2AC-EE4C33A9A30E}" name="month" dataDxfId="13">
      <calculatedColumnFormula>LEFT('All Transactions'!$E2,3)</calculatedColumnFormula>
    </tableColumn>
    <tableColumn id="3" xr3:uid="{28661228-1E05-46F7-BE55-528675A26F58}" name="year" dataDxfId="12">
      <calculatedColumnFormula>RIGHT(E2,4)</calculatedColumnFormula>
    </tableColumn>
    <tableColumn id="4" xr3:uid="{711D2A52-8704-4D60-AB99-D4385F39E0E5}" name="Date" dataDxfId="11"/>
    <tableColumn id="5" xr3:uid="{0AF90B27-49E1-4EB7-85D2-6054641CB28B}" name="Time" dataDxfId="10"/>
    <tableColumn id="6" xr3:uid="{74485220-E31F-49C5-9C32-77EEB82B2D0D}" name="Type" dataDxfId="9"/>
    <tableColumn id="7" xr3:uid="{A2258902-B8C7-4614-858F-7FAB766D258F}" name="Amount (INR)" dataDxfId="8"/>
    <tableColumn id="8" xr3:uid="{A8E4656C-B29C-4793-B788-783876AE02ED}" name="Details" dataDxfId="7"/>
    <tableColumn id="9" xr3:uid="{D93091F3-2B9A-4B24-84C5-96C33CF1C399}" name="Transaction ID" dataDxfId="6"/>
    <tableColumn id="10" xr3:uid="{6C26CCDD-2453-46B8-9A61-004D284D5496}" name="UTR No." dataDxfId="5"/>
    <tableColumn id="11" xr3:uid="{91446408-582E-4C8C-B002-EEB10628A470}" name="Account Info" dataDxfId="4"/>
    <tableColumn id="12" xr3:uid="{04322A3B-ABEA-41EC-8E14-D64D89BEB9EB}" name="days">
      <calculatedColumnFormula>TEXT(A2,"dddd")</calculatedColumnFormula>
    </tableColumn>
    <tableColumn id="14" xr3:uid="{6989F720-71C6-4D43-9B99-4880374E2326}" name="date2" dataDxfId="0">
      <calculatedColumnFormula>DATE(Table4[[#This Row],[year]],Table4[[#This Row],[month2]],Table4[[#This Row],[day]])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heetViews>
  <sheetFormatPr defaultRowHeight="14.5" x14ac:dyDescent="0.35"/>
  <cols>
    <col min="1" max="1" width="42" customWidth="1"/>
    <col min="2" max="2" width="82" customWidth="1"/>
    <col min="3" max="3" width="17" customWidth="1"/>
    <col min="4" max="4" width="15" customWidth="1"/>
  </cols>
  <sheetData>
    <row r="1" spans="1:4" ht="40" customHeight="1" x14ac:dyDescent="0.35">
      <c r="A1" s="9" t="s">
        <v>0</v>
      </c>
      <c r="B1" s="10"/>
      <c r="C1" s="10"/>
      <c r="D1" s="10"/>
    </row>
    <row r="3" spans="1:4" ht="16.5" x14ac:dyDescent="0.45">
      <c r="A3" s="1" t="s">
        <v>1</v>
      </c>
      <c r="B3" s="2">
        <f>COUNTA('All Transactions'!E:E)-1</f>
        <v>1930</v>
      </c>
    </row>
    <row r="4" spans="1:4" ht="16.5" x14ac:dyDescent="0.45">
      <c r="A4" s="1" t="s">
        <v>2</v>
      </c>
      <c r="B4" s="3">
        <f>SUMIF('All Transactions'!G:G,"DEBIT",'All Transactions'!H:H)</f>
        <v>979706.5</v>
      </c>
    </row>
    <row r="5" spans="1:4" ht="16.5" x14ac:dyDescent="0.45">
      <c r="A5" s="1" t="s">
        <v>3</v>
      </c>
      <c r="B5" s="3">
        <f>SUMIF('All Transactions'!G:G,"CREDIT",'All Transactions'!H:H)</f>
        <v>645469.9</v>
      </c>
    </row>
    <row r="6" spans="1:4" ht="16.5" x14ac:dyDescent="0.45">
      <c r="A6" s="1" t="s">
        <v>4</v>
      </c>
      <c r="B6" s="3">
        <f>B5-B4</f>
        <v>-334236.59999999998</v>
      </c>
    </row>
    <row r="9" spans="1:4" ht="17.5" x14ac:dyDescent="0.45">
      <c r="A9" s="4" t="s">
        <v>5</v>
      </c>
    </row>
    <row r="10" spans="1:4" ht="16.5" x14ac:dyDescent="0.35">
      <c r="A10" s="5" t="s">
        <v>6</v>
      </c>
      <c r="B10" s="5" t="s">
        <v>7</v>
      </c>
      <c r="C10" s="5" t="s">
        <v>8</v>
      </c>
    </row>
    <row r="11" spans="1:4" ht="16" x14ac:dyDescent="0.35">
      <c r="A11" s="6" t="s">
        <v>9</v>
      </c>
      <c r="B11" s="7" t="s">
        <v>10</v>
      </c>
      <c r="C11" s="8">
        <v>31400</v>
      </c>
    </row>
    <row r="12" spans="1:4" ht="16" x14ac:dyDescent="0.35">
      <c r="A12" s="6" t="s">
        <v>11</v>
      </c>
      <c r="B12" s="7" t="s">
        <v>12</v>
      </c>
      <c r="C12" s="8">
        <v>30000</v>
      </c>
    </row>
    <row r="13" spans="1:4" ht="16" x14ac:dyDescent="0.35">
      <c r="A13" s="6" t="s">
        <v>9</v>
      </c>
      <c r="B13" s="7" t="s">
        <v>13</v>
      </c>
      <c r="C13" s="8">
        <v>27900</v>
      </c>
    </row>
    <row r="14" spans="1:4" ht="16" x14ac:dyDescent="0.35">
      <c r="A14" s="6" t="s">
        <v>14</v>
      </c>
      <c r="B14" s="7" t="s">
        <v>15</v>
      </c>
      <c r="C14" s="8">
        <v>25000</v>
      </c>
    </row>
    <row r="15" spans="1:4" ht="16" x14ac:dyDescent="0.35">
      <c r="A15" s="6" t="s">
        <v>16</v>
      </c>
      <c r="B15" s="7" t="s">
        <v>10</v>
      </c>
      <c r="C15" s="8">
        <v>25000</v>
      </c>
    </row>
    <row r="16" spans="1:4" ht="16" x14ac:dyDescent="0.35">
      <c r="A16" s="6" t="s">
        <v>17</v>
      </c>
      <c r="B16" s="7" t="s">
        <v>18</v>
      </c>
      <c r="C16" s="8">
        <v>21000</v>
      </c>
    </row>
    <row r="17" spans="1:3" ht="16" x14ac:dyDescent="0.35">
      <c r="A17" s="6" t="s">
        <v>19</v>
      </c>
      <c r="B17" s="7" t="s">
        <v>20</v>
      </c>
      <c r="C17" s="8">
        <v>20000</v>
      </c>
    </row>
    <row r="18" spans="1:3" ht="16" x14ac:dyDescent="0.35">
      <c r="A18" s="6" t="s">
        <v>19</v>
      </c>
      <c r="B18" s="7" t="s">
        <v>10</v>
      </c>
      <c r="C18" s="8">
        <v>20000</v>
      </c>
    </row>
    <row r="19" spans="1:3" ht="16" x14ac:dyDescent="0.35">
      <c r="A19" s="6" t="s">
        <v>19</v>
      </c>
      <c r="B19" s="7" t="s">
        <v>20</v>
      </c>
      <c r="C19" s="8">
        <v>18000</v>
      </c>
    </row>
    <row r="20" spans="1:3" ht="16" x14ac:dyDescent="0.35">
      <c r="A20" s="6" t="s">
        <v>19</v>
      </c>
      <c r="B20" s="7" t="s">
        <v>13</v>
      </c>
      <c r="C20" s="8">
        <v>18000</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31"/>
  <sheetViews>
    <sheetView tabSelected="1" topLeftCell="E1" zoomScale="65" workbookViewId="0">
      <selection activeCell="B2" sqref="B2"/>
    </sheetView>
  </sheetViews>
  <sheetFormatPr defaultColWidth="27.08984375" defaultRowHeight="14.5" x14ac:dyDescent="0.35"/>
  <cols>
    <col min="5" max="5" width="27.08984375" style="11" customWidth="1"/>
    <col min="11" max="11" width="27.08984375" style="11"/>
  </cols>
  <sheetData>
    <row r="1" spans="1:14" ht="16.5" x14ac:dyDescent="0.35">
      <c r="A1" t="s">
        <v>5924</v>
      </c>
      <c r="B1" t="s">
        <v>5928</v>
      </c>
      <c r="C1" t="s">
        <v>5925</v>
      </c>
      <c r="D1" t="s">
        <v>5926</v>
      </c>
      <c r="E1" s="13" t="s">
        <v>6</v>
      </c>
      <c r="F1" s="14" t="s">
        <v>21</v>
      </c>
      <c r="G1" s="14" t="s">
        <v>22</v>
      </c>
      <c r="H1" s="14" t="s">
        <v>8</v>
      </c>
      <c r="I1" s="14" t="s">
        <v>7</v>
      </c>
      <c r="J1" s="14" t="s">
        <v>23</v>
      </c>
      <c r="K1" s="15" t="s">
        <v>24</v>
      </c>
      <c r="L1" s="14" t="s">
        <v>25</v>
      </c>
      <c r="M1" s="14" t="s">
        <v>5927</v>
      </c>
      <c r="N1" s="34" t="s">
        <v>5929</v>
      </c>
    </row>
    <row r="2" spans="1:14" ht="16" x14ac:dyDescent="0.35">
      <c r="A2" t="str">
        <f>MID(E2,5,2)</f>
        <v>04</v>
      </c>
      <c r="B2">
        <f>_xlfn.SWITCH(Table4[[#This Row],[month]],"jan",1,"feb",2,"mar",3,"apr",4,"may",5,"jun",6,"jul",7,"aug",8,"sep",9,"oct",10,"nov",11,"dec",12,"no month")</f>
        <v>6</v>
      </c>
      <c r="C2" s="12" t="str">
        <f>LEFT('All Transactions'!$E2,3)</f>
        <v>Jun</v>
      </c>
      <c r="D2" s="12" t="str">
        <f>RIGHT(E2,4)</f>
        <v>2026</v>
      </c>
      <c r="E2" s="36" t="s">
        <v>26</v>
      </c>
      <c r="F2" s="17" t="s">
        <v>27</v>
      </c>
      <c r="G2" s="18" t="s">
        <v>28</v>
      </c>
      <c r="H2" s="19">
        <v>27</v>
      </c>
      <c r="I2" s="20" t="s">
        <v>29</v>
      </c>
      <c r="J2" s="20" t="s">
        <v>30</v>
      </c>
      <c r="K2" s="21" t="s">
        <v>31</v>
      </c>
      <c r="L2" s="20" t="s">
        <v>32</v>
      </c>
      <c r="M2" t="str">
        <f>TEXT(A2,"dddd")</f>
        <v>Wednesday</v>
      </c>
      <c r="N2" s="35">
        <f>DATE(Table4[[#This Row],[year]],Table4[[#This Row],[month2]],Table4[[#This Row],[day]])</f>
        <v>46177</v>
      </c>
    </row>
    <row r="3" spans="1:14" ht="16" x14ac:dyDescent="0.35">
      <c r="A3" t="str">
        <f t="shared" ref="A3:A66" si="0">MID(E3,5,2)</f>
        <v>04</v>
      </c>
      <c r="B3">
        <f>_xlfn.SWITCH(Table4[[#This Row],[month]],"jan",1,"feb",2,"mar",3,"apr",4,"may",5,"jun",6,"jul",7,"aug",8,"sep",9,"oct",10,"nov",11,"dec",12,"no month")</f>
        <v>6</v>
      </c>
      <c r="C3" s="12" t="str">
        <f>LEFT('All Transactions'!$E3,3)</f>
        <v>Jun</v>
      </c>
      <c r="D3" s="12" t="str">
        <f t="shared" ref="D3:D66" si="1">RIGHT(E3,4)</f>
        <v>2026</v>
      </c>
      <c r="E3" s="22" t="s">
        <v>26</v>
      </c>
      <c r="F3" s="23" t="s">
        <v>33</v>
      </c>
      <c r="G3" s="18" t="s">
        <v>28</v>
      </c>
      <c r="H3" s="24">
        <v>10</v>
      </c>
      <c r="I3" s="25" t="s">
        <v>29</v>
      </c>
      <c r="J3" s="25" t="s">
        <v>34</v>
      </c>
      <c r="K3" s="26" t="s">
        <v>35</v>
      </c>
      <c r="L3" s="25" t="s">
        <v>32</v>
      </c>
      <c r="M3" t="str">
        <f>TEXT(A3,"dddd")</f>
        <v>Wednesday</v>
      </c>
      <c r="N3" s="35">
        <f>DATE(Table4[[#This Row],[year]],Table4[[#This Row],[month2]],Table4[[#This Row],[day]])</f>
        <v>46177</v>
      </c>
    </row>
    <row r="4" spans="1:14" ht="16" x14ac:dyDescent="0.35">
      <c r="A4" t="str">
        <f t="shared" si="0"/>
        <v>04</v>
      </c>
      <c r="B4">
        <f>_xlfn.SWITCH(Table4[[#This Row],[month]],"jan",1,"feb",2,"mar",3,"apr",4,"may",5,"jun",6,"jul",7,"aug",8,"sep",9,"oct",10,"nov",11,"dec",12,"no month")</f>
        <v>6</v>
      </c>
      <c r="C4" s="12" t="str">
        <f>LEFT('All Transactions'!$E4,3)</f>
        <v>Jun</v>
      </c>
      <c r="D4" s="12" t="str">
        <f t="shared" si="1"/>
        <v>2026</v>
      </c>
      <c r="E4" s="16" t="s">
        <v>26</v>
      </c>
      <c r="F4" s="17" t="s">
        <v>36</v>
      </c>
      <c r="G4" s="18" t="s">
        <v>28</v>
      </c>
      <c r="H4" s="19">
        <v>70</v>
      </c>
      <c r="I4" s="20" t="s">
        <v>37</v>
      </c>
      <c r="J4" s="20" t="s">
        <v>38</v>
      </c>
      <c r="K4" s="21" t="s">
        <v>39</v>
      </c>
      <c r="L4" s="20" t="s">
        <v>32</v>
      </c>
      <c r="M4" t="str">
        <f>TEXT(A4,"dddd")</f>
        <v>Wednesday</v>
      </c>
      <c r="N4" s="35">
        <f>DATE(Table4[[#This Row],[year]],Table4[[#This Row],[month2]],Table4[[#This Row],[day]])</f>
        <v>46177</v>
      </c>
    </row>
    <row r="5" spans="1:14" ht="16" x14ac:dyDescent="0.35">
      <c r="A5" t="str">
        <f t="shared" si="0"/>
        <v>04</v>
      </c>
      <c r="B5">
        <f>_xlfn.SWITCH(Table4[[#This Row],[month]],"jan",1,"feb",2,"mar",3,"apr",4,"may",5,"jun",6,"jul",7,"aug",8,"sep",9,"oct",10,"nov",11,"dec",12,"no month")</f>
        <v>6</v>
      </c>
      <c r="C5" s="12" t="str">
        <f>LEFT('All Transactions'!$E5,3)</f>
        <v>Jun</v>
      </c>
      <c r="D5" s="12" t="str">
        <f t="shared" si="1"/>
        <v>2026</v>
      </c>
      <c r="E5" s="22" t="s">
        <v>26</v>
      </c>
      <c r="F5" s="23" t="s">
        <v>40</v>
      </c>
      <c r="G5" s="18" t="s">
        <v>28</v>
      </c>
      <c r="H5" s="24">
        <v>20</v>
      </c>
      <c r="I5" s="25" t="s">
        <v>41</v>
      </c>
      <c r="J5" s="25" t="s">
        <v>42</v>
      </c>
      <c r="K5" s="26" t="s">
        <v>43</v>
      </c>
      <c r="L5" s="25" t="s">
        <v>32</v>
      </c>
      <c r="M5" t="str">
        <f>TEXT(A5,"dddd")</f>
        <v>Wednesday</v>
      </c>
      <c r="N5" s="35">
        <f>DATE(Table4[[#This Row],[year]],Table4[[#This Row],[month2]],Table4[[#This Row],[day]])</f>
        <v>46177</v>
      </c>
    </row>
    <row r="6" spans="1:14" ht="16" x14ac:dyDescent="0.35">
      <c r="A6" t="str">
        <f t="shared" si="0"/>
        <v>04</v>
      </c>
      <c r="B6">
        <f>_xlfn.SWITCH(Table4[[#This Row],[month]],"jan",1,"feb",2,"mar",3,"apr",4,"may",5,"jun",6,"jul",7,"aug",8,"sep",9,"oct",10,"nov",11,"dec",12,"no month")</f>
        <v>6</v>
      </c>
      <c r="C6" s="12" t="str">
        <f>LEFT('All Transactions'!$E6,3)</f>
        <v>Jun</v>
      </c>
      <c r="D6" s="12" t="str">
        <f t="shared" si="1"/>
        <v>2026</v>
      </c>
      <c r="E6" s="16" t="s">
        <v>26</v>
      </c>
      <c r="F6" s="17" t="s">
        <v>44</v>
      </c>
      <c r="G6" s="18" t="s">
        <v>28</v>
      </c>
      <c r="H6" s="19">
        <v>673</v>
      </c>
      <c r="I6" s="20" t="s">
        <v>20</v>
      </c>
      <c r="J6" s="20" t="s">
        <v>45</v>
      </c>
      <c r="K6" s="21" t="s">
        <v>46</v>
      </c>
      <c r="L6" s="20" t="s">
        <v>47</v>
      </c>
      <c r="M6" t="str">
        <f>TEXT(A6,"dddd")</f>
        <v>Wednesday</v>
      </c>
      <c r="N6" s="35">
        <f>DATE(Table4[[#This Row],[year]],Table4[[#This Row],[month2]],Table4[[#This Row],[day]])</f>
        <v>46177</v>
      </c>
    </row>
    <row r="7" spans="1:14" ht="16" x14ac:dyDescent="0.35">
      <c r="A7" t="str">
        <f t="shared" si="0"/>
        <v>04</v>
      </c>
      <c r="B7">
        <f>_xlfn.SWITCH(Table4[[#This Row],[month]],"jan",1,"feb",2,"mar",3,"apr",4,"may",5,"jun",6,"jul",7,"aug",8,"sep",9,"oct",10,"nov",11,"dec",12,"no month")</f>
        <v>6</v>
      </c>
      <c r="C7" s="12" t="str">
        <f>LEFT('All Transactions'!$E7,3)</f>
        <v>Jun</v>
      </c>
      <c r="D7" s="12" t="str">
        <f t="shared" si="1"/>
        <v>2026</v>
      </c>
      <c r="E7" s="22" t="s">
        <v>26</v>
      </c>
      <c r="F7" s="23" t="s">
        <v>48</v>
      </c>
      <c r="G7" s="18" t="s">
        <v>28</v>
      </c>
      <c r="H7" s="24">
        <v>673</v>
      </c>
      <c r="I7" s="25" t="s">
        <v>49</v>
      </c>
      <c r="J7" s="25" t="s">
        <v>50</v>
      </c>
      <c r="K7" s="26" t="s">
        <v>51</v>
      </c>
      <c r="L7" s="25" t="s">
        <v>32</v>
      </c>
      <c r="M7" t="str">
        <f>TEXT(A7,"dddd")</f>
        <v>Wednesday</v>
      </c>
      <c r="N7" s="35">
        <f>DATE(Table4[[#This Row],[year]],Table4[[#This Row],[month2]],Table4[[#This Row],[day]])</f>
        <v>46177</v>
      </c>
    </row>
    <row r="8" spans="1:14" ht="16" x14ac:dyDescent="0.35">
      <c r="A8" t="str">
        <f t="shared" si="0"/>
        <v>03</v>
      </c>
      <c r="B8">
        <f>_xlfn.SWITCH(Table4[[#This Row],[month]],"jan",1,"feb",2,"mar",3,"apr",4,"may",5,"jun",6,"jul",7,"aug",8,"sep",9,"oct",10,"nov",11,"dec",12,"no month")</f>
        <v>6</v>
      </c>
      <c r="C8" s="12" t="str">
        <f>LEFT('All Transactions'!$E8,3)</f>
        <v>Jun</v>
      </c>
      <c r="D8" s="12" t="str">
        <f t="shared" si="1"/>
        <v>2026</v>
      </c>
      <c r="E8" s="16" t="s">
        <v>52</v>
      </c>
      <c r="F8" s="17" t="s">
        <v>53</v>
      </c>
      <c r="G8" s="27" t="s">
        <v>54</v>
      </c>
      <c r="H8" s="19">
        <v>17</v>
      </c>
      <c r="I8" s="20" t="s">
        <v>55</v>
      </c>
      <c r="J8" s="20" t="s">
        <v>56</v>
      </c>
      <c r="K8" s="21" t="s">
        <v>57</v>
      </c>
      <c r="L8" s="20" t="s">
        <v>58</v>
      </c>
      <c r="M8" t="str">
        <f>TEXT(A8,"dddd")</f>
        <v>Tuesday</v>
      </c>
      <c r="N8" s="35">
        <f>DATE(Table4[[#This Row],[year]],Table4[[#This Row],[month2]],Table4[[#This Row],[day]])</f>
        <v>46176</v>
      </c>
    </row>
    <row r="9" spans="1:14" ht="16" x14ac:dyDescent="0.35">
      <c r="A9" t="str">
        <f t="shared" si="0"/>
        <v>03</v>
      </c>
      <c r="B9">
        <f>_xlfn.SWITCH(Table4[[#This Row],[month]],"jan",1,"feb",2,"mar",3,"apr",4,"may",5,"jun",6,"jul",7,"aug",8,"sep",9,"oct",10,"nov",11,"dec",12,"no month")</f>
        <v>6</v>
      </c>
      <c r="C9" s="12" t="str">
        <f>LEFT('All Transactions'!$E9,3)</f>
        <v>Jun</v>
      </c>
      <c r="D9" s="12" t="str">
        <f t="shared" si="1"/>
        <v>2026</v>
      </c>
      <c r="E9" s="22" t="s">
        <v>52</v>
      </c>
      <c r="F9" s="23" t="s">
        <v>59</v>
      </c>
      <c r="G9" s="27" t="s">
        <v>54</v>
      </c>
      <c r="H9" s="24">
        <v>76</v>
      </c>
      <c r="I9" s="25" t="s">
        <v>60</v>
      </c>
      <c r="J9" s="25" t="s">
        <v>61</v>
      </c>
      <c r="K9" s="26" t="s">
        <v>62</v>
      </c>
      <c r="L9" s="25" t="s">
        <v>58</v>
      </c>
      <c r="M9" t="str">
        <f>TEXT(A9,"dddd")</f>
        <v>Tuesday</v>
      </c>
      <c r="N9" s="35">
        <f>DATE(Table4[[#This Row],[year]],Table4[[#This Row],[month2]],Table4[[#This Row],[day]])</f>
        <v>46176</v>
      </c>
    </row>
    <row r="10" spans="1:14" ht="16" x14ac:dyDescent="0.35">
      <c r="A10" t="str">
        <f t="shared" si="0"/>
        <v>03</v>
      </c>
      <c r="B10">
        <f>_xlfn.SWITCH(Table4[[#This Row],[month]],"jan",1,"feb",2,"mar",3,"apr",4,"may",5,"jun",6,"jul",7,"aug",8,"sep",9,"oct",10,"nov",11,"dec",12,"no month")</f>
        <v>6</v>
      </c>
      <c r="C10" s="12" t="str">
        <f>LEFT('All Transactions'!$E10,3)</f>
        <v>Jun</v>
      </c>
      <c r="D10" s="12" t="str">
        <f t="shared" si="1"/>
        <v>2026</v>
      </c>
      <c r="E10" s="16" t="s">
        <v>52</v>
      </c>
      <c r="F10" s="17" t="s">
        <v>63</v>
      </c>
      <c r="G10" s="18" t="s">
        <v>28</v>
      </c>
      <c r="H10" s="19">
        <v>40</v>
      </c>
      <c r="I10" s="20" t="s">
        <v>37</v>
      </c>
      <c r="J10" s="20" t="s">
        <v>64</v>
      </c>
      <c r="K10" s="21" t="s">
        <v>65</v>
      </c>
      <c r="L10" s="20" t="s">
        <v>32</v>
      </c>
      <c r="M10" t="str">
        <f>TEXT(A10,"dddd")</f>
        <v>Tuesday</v>
      </c>
      <c r="N10" s="35">
        <f>DATE(Table4[[#This Row],[year]],Table4[[#This Row],[month2]],Table4[[#This Row],[day]])</f>
        <v>46176</v>
      </c>
    </row>
    <row r="11" spans="1:14" ht="16" x14ac:dyDescent="0.35">
      <c r="A11" t="str">
        <f t="shared" si="0"/>
        <v>03</v>
      </c>
      <c r="B11">
        <f>_xlfn.SWITCH(Table4[[#This Row],[month]],"jan",1,"feb",2,"mar",3,"apr",4,"may",5,"jun",6,"jul",7,"aug",8,"sep",9,"oct",10,"nov",11,"dec",12,"no month")</f>
        <v>6</v>
      </c>
      <c r="C11" s="12" t="str">
        <f>LEFT('All Transactions'!$E11,3)</f>
        <v>Jun</v>
      </c>
      <c r="D11" s="12" t="str">
        <f t="shared" si="1"/>
        <v>2026</v>
      </c>
      <c r="E11" s="22" t="s">
        <v>52</v>
      </c>
      <c r="F11" s="23" t="s">
        <v>66</v>
      </c>
      <c r="G11" s="18" t="s">
        <v>28</v>
      </c>
      <c r="H11" s="24">
        <v>10</v>
      </c>
      <c r="I11" s="25" t="s">
        <v>29</v>
      </c>
      <c r="J11" s="25" t="s">
        <v>67</v>
      </c>
      <c r="K11" s="26" t="s">
        <v>68</v>
      </c>
      <c r="L11" s="25" t="s">
        <v>32</v>
      </c>
      <c r="M11" t="str">
        <f>TEXT(A11,"dddd")</f>
        <v>Tuesday</v>
      </c>
      <c r="N11" s="35">
        <f>DATE(Table4[[#This Row],[year]],Table4[[#This Row],[month2]],Table4[[#This Row],[day]])</f>
        <v>46176</v>
      </c>
    </row>
    <row r="12" spans="1:14" ht="16" x14ac:dyDescent="0.35">
      <c r="A12" t="str">
        <f t="shared" si="0"/>
        <v>03</v>
      </c>
      <c r="B12">
        <f>_xlfn.SWITCH(Table4[[#This Row],[month]],"jan",1,"feb",2,"mar",3,"apr",4,"may",5,"jun",6,"jul",7,"aug",8,"sep",9,"oct",10,"nov",11,"dec",12,"no month")</f>
        <v>6</v>
      </c>
      <c r="C12" s="12" t="str">
        <f>LEFT('All Transactions'!$E12,3)</f>
        <v>Jun</v>
      </c>
      <c r="D12" s="12" t="str">
        <f t="shared" si="1"/>
        <v>2026</v>
      </c>
      <c r="E12" s="16" t="s">
        <v>52</v>
      </c>
      <c r="F12" s="17" t="s">
        <v>69</v>
      </c>
      <c r="G12" s="18" t="s">
        <v>28</v>
      </c>
      <c r="H12" s="19">
        <v>75</v>
      </c>
      <c r="I12" s="20" t="s">
        <v>70</v>
      </c>
      <c r="J12" s="20" t="s">
        <v>71</v>
      </c>
      <c r="K12" s="21" t="s">
        <v>72</v>
      </c>
      <c r="L12" s="20" t="s">
        <v>47</v>
      </c>
      <c r="M12" t="str">
        <f>TEXT(A12,"dddd")</f>
        <v>Tuesday</v>
      </c>
      <c r="N12" s="35">
        <f>DATE(Table4[[#This Row],[year]],Table4[[#This Row],[month2]],Table4[[#This Row],[day]])</f>
        <v>46176</v>
      </c>
    </row>
    <row r="13" spans="1:14" ht="16" x14ac:dyDescent="0.35">
      <c r="A13" t="str">
        <f t="shared" si="0"/>
        <v>03</v>
      </c>
      <c r="B13">
        <f>_xlfn.SWITCH(Table4[[#This Row],[month]],"jan",1,"feb",2,"mar",3,"apr",4,"may",5,"jun",6,"jul",7,"aug",8,"sep",9,"oct",10,"nov",11,"dec",12,"no month")</f>
        <v>6</v>
      </c>
      <c r="C13" s="12" t="str">
        <f>LEFT('All Transactions'!$E13,3)</f>
        <v>Jun</v>
      </c>
      <c r="D13" s="12" t="str">
        <f t="shared" si="1"/>
        <v>2026</v>
      </c>
      <c r="E13" s="22" t="s">
        <v>52</v>
      </c>
      <c r="F13" s="23" t="s">
        <v>73</v>
      </c>
      <c r="G13" s="18" t="s">
        <v>28</v>
      </c>
      <c r="H13" s="24">
        <v>5</v>
      </c>
      <c r="I13" s="25" t="s">
        <v>29</v>
      </c>
      <c r="J13" s="25" t="s">
        <v>74</v>
      </c>
      <c r="K13" s="26" t="s">
        <v>75</v>
      </c>
      <c r="L13" s="25" t="s">
        <v>32</v>
      </c>
      <c r="M13" t="str">
        <f>TEXT(A13,"dddd")</f>
        <v>Tuesday</v>
      </c>
      <c r="N13" s="35">
        <f>DATE(Table4[[#This Row],[year]],Table4[[#This Row],[month2]],Table4[[#This Row],[day]])</f>
        <v>46176</v>
      </c>
    </row>
    <row r="14" spans="1:14" ht="16" x14ac:dyDescent="0.35">
      <c r="A14" t="str">
        <f t="shared" si="0"/>
        <v>03</v>
      </c>
      <c r="B14">
        <f>_xlfn.SWITCH(Table4[[#This Row],[month]],"jan",1,"feb",2,"mar",3,"apr",4,"may",5,"jun",6,"jul",7,"aug",8,"sep",9,"oct",10,"nov",11,"dec",12,"no month")</f>
        <v>6</v>
      </c>
      <c r="C14" s="12" t="str">
        <f>LEFT('All Transactions'!$E14,3)</f>
        <v>Jun</v>
      </c>
      <c r="D14" s="12" t="str">
        <f t="shared" si="1"/>
        <v>2026</v>
      </c>
      <c r="E14" s="16" t="s">
        <v>52</v>
      </c>
      <c r="F14" s="17" t="s">
        <v>76</v>
      </c>
      <c r="G14" s="18" t="s">
        <v>28</v>
      </c>
      <c r="H14" s="19">
        <v>50</v>
      </c>
      <c r="I14" s="20" t="s">
        <v>37</v>
      </c>
      <c r="J14" s="20" t="s">
        <v>77</v>
      </c>
      <c r="K14" s="21" t="s">
        <v>78</v>
      </c>
      <c r="L14" s="20" t="s">
        <v>32</v>
      </c>
      <c r="M14" t="str">
        <f>TEXT(A14,"dddd")</f>
        <v>Tuesday</v>
      </c>
      <c r="N14" s="35">
        <f>DATE(Table4[[#This Row],[year]],Table4[[#This Row],[month2]],Table4[[#This Row],[day]])</f>
        <v>46176</v>
      </c>
    </row>
    <row r="15" spans="1:14" ht="16" x14ac:dyDescent="0.35">
      <c r="A15" t="str">
        <f t="shared" si="0"/>
        <v>03</v>
      </c>
      <c r="B15">
        <f>_xlfn.SWITCH(Table4[[#This Row],[month]],"jan",1,"feb",2,"mar",3,"apr",4,"may",5,"jun",6,"jul",7,"aug",8,"sep",9,"oct",10,"nov",11,"dec",12,"no month")</f>
        <v>6</v>
      </c>
      <c r="C15" s="12" t="str">
        <f>LEFT('All Transactions'!$E15,3)</f>
        <v>Jun</v>
      </c>
      <c r="D15" s="12" t="str">
        <f t="shared" si="1"/>
        <v>2026</v>
      </c>
      <c r="E15" s="22" t="s">
        <v>52</v>
      </c>
      <c r="F15" s="23" t="s">
        <v>79</v>
      </c>
      <c r="G15" s="18" t="s">
        <v>28</v>
      </c>
      <c r="H15" s="24">
        <v>10</v>
      </c>
      <c r="I15" s="25" t="s">
        <v>80</v>
      </c>
      <c r="J15" s="25" t="s">
        <v>81</v>
      </c>
      <c r="K15" s="26" t="s">
        <v>82</v>
      </c>
      <c r="L15" s="25" t="s">
        <v>32</v>
      </c>
      <c r="M15" t="str">
        <f>TEXT(A15,"dddd")</f>
        <v>Tuesday</v>
      </c>
      <c r="N15" s="35">
        <f>DATE(Table4[[#This Row],[year]],Table4[[#This Row],[month2]],Table4[[#This Row],[day]])</f>
        <v>46176</v>
      </c>
    </row>
    <row r="16" spans="1:14" ht="16" x14ac:dyDescent="0.35">
      <c r="A16" t="str">
        <f t="shared" si="0"/>
        <v>03</v>
      </c>
      <c r="B16">
        <f>_xlfn.SWITCH(Table4[[#This Row],[month]],"jan",1,"feb",2,"mar",3,"apr",4,"may",5,"jun",6,"jul",7,"aug",8,"sep",9,"oct",10,"nov",11,"dec",12,"no month")</f>
        <v>6</v>
      </c>
      <c r="C16" s="12" t="str">
        <f>LEFT('All Transactions'!$E16,3)</f>
        <v>Jun</v>
      </c>
      <c r="D16" s="12" t="str">
        <f t="shared" si="1"/>
        <v>2026</v>
      </c>
      <c r="E16" s="16" t="s">
        <v>52</v>
      </c>
      <c r="F16" s="17" t="s">
        <v>83</v>
      </c>
      <c r="G16" s="18" t="s">
        <v>28</v>
      </c>
      <c r="H16" s="19">
        <v>4597</v>
      </c>
      <c r="I16" s="20" t="s">
        <v>84</v>
      </c>
      <c r="J16" s="20" t="s">
        <v>85</v>
      </c>
      <c r="K16" s="21" t="s">
        <v>86</v>
      </c>
      <c r="L16" s="20" t="s">
        <v>32</v>
      </c>
      <c r="M16" t="str">
        <f>TEXT(A16,"dddd")</f>
        <v>Tuesday</v>
      </c>
      <c r="N16" s="35">
        <f>DATE(Table4[[#This Row],[year]],Table4[[#This Row],[month2]],Table4[[#This Row],[day]])</f>
        <v>46176</v>
      </c>
    </row>
    <row r="17" spans="1:14" ht="16" x14ac:dyDescent="0.35">
      <c r="A17" t="str">
        <f t="shared" si="0"/>
        <v>02</v>
      </c>
      <c r="B17">
        <f>_xlfn.SWITCH(Table4[[#This Row],[month]],"jan",1,"feb",2,"mar",3,"apr",4,"may",5,"jun",6,"jul",7,"aug",8,"sep",9,"oct",10,"nov",11,"dec",12,"no month")</f>
        <v>6</v>
      </c>
      <c r="C17" s="12" t="str">
        <f>LEFT('All Transactions'!$E17,3)</f>
        <v>Jun</v>
      </c>
      <c r="D17" s="12" t="str">
        <f t="shared" si="1"/>
        <v>2026</v>
      </c>
      <c r="E17" s="22" t="s">
        <v>87</v>
      </c>
      <c r="F17" s="23" t="s">
        <v>88</v>
      </c>
      <c r="G17" s="27" t="s">
        <v>54</v>
      </c>
      <c r="H17" s="24">
        <v>164</v>
      </c>
      <c r="I17" s="25" t="s">
        <v>89</v>
      </c>
      <c r="J17" s="25" t="s">
        <v>90</v>
      </c>
      <c r="K17" s="26" t="s">
        <v>91</v>
      </c>
      <c r="L17" s="25" t="s">
        <v>58</v>
      </c>
      <c r="M17" t="str">
        <f>TEXT(A17,"dddd")</f>
        <v>Monday</v>
      </c>
      <c r="N17" s="35">
        <f>DATE(Table4[[#This Row],[year]],Table4[[#This Row],[month2]],Table4[[#This Row],[day]])</f>
        <v>46175</v>
      </c>
    </row>
    <row r="18" spans="1:14" ht="16" x14ac:dyDescent="0.35">
      <c r="A18" t="str">
        <f t="shared" si="0"/>
        <v>02</v>
      </c>
      <c r="B18">
        <f>_xlfn.SWITCH(Table4[[#This Row],[month]],"jan",1,"feb",2,"mar",3,"apr",4,"may",5,"jun",6,"jul",7,"aug",8,"sep",9,"oct",10,"nov",11,"dec",12,"no month")</f>
        <v>6</v>
      </c>
      <c r="C18" s="12" t="str">
        <f>LEFT('All Transactions'!$E18,3)</f>
        <v>Jun</v>
      </c>
      <c r="D18" s="12" t="str">
        <f t="shared" si="1"/>
        <v>2026</v>
      </c>
      <c r="E18" s="16" t="s">
        <v>87</v>
      </c>
      <c r="F18" s="17" t="s">
        <v>92</v>
      </c>
      <c r="G18" s="27" t="s">
        <v>54</v>
      </c>
      <c r="H18" s="19">
        <v>46</v>
      </c>
      <c r="I18" s="20" t="s">
        <v>93</v>
      </c>
      <c r="J18" s="20" t="s">
        <v>94</v>
      </c>
      <c r="K18" s="21" t="s">
        <v>95</v>
      </c>
      <c r="L18" s="20" t="s">
        <v>58</v>
      </c>
      <c r="M18" t="str">
        <f>TEXT(A18,"dddd")</f>
        <v>Monday</v>
      </c>
      <c r="N18" s="35">
        <f>DATE(Table4[[#This Row],[year]],Table4[[#This Row],[month2]],Table4[[#This Row],[day]])</f>
        <v>46175</v>
      </c>
    </row>
    <row r="19" spans="1:14" ht="16" x14ac:dyDescent="0.35">
      <c r="A19" t="str">
        <f t="shared" si="0"/>
        <v>02</v>
      </c>
      <c r="B19">
        <f>_xlfn.SWITCH(Table4[[#This Row],[month]],"jan",1,"feb",2,"mar",3,"apr",4,"may",5,"jun",6,"jul",7,"aug",8,"sep",9,"oct",10,"nov",11,"dec",12,"no month")</f>
        <v>6</v>
      </c>
      <c r="C19" s="12" t="str">
        <f>LEFT('All Transactions'!$E19,3)</f>
        <v>Jun</v>
      </c>
      <c r="D19" s="12" t="str">
        <f t="shared" si="1"/>
        <v>2026</v>
      </c>
      <c r="E19" s="22" t="s">
        <v>87</v>
      </c>
      <c r="F19" s="23" t="s">
        <v>96</v>
      </c>
      <c r="G19" s="27" t="s">
        <v>54</v>
      </c>
      <c r="H19" s="24">
        <v>50</v>
      </c>
      <c r="I19" s="25" t="s">
        <v>97</v>
      </c>
      <c r="J19" s="25" t="s">
        <v>98</v>
      </c>
      <c r="K19" s="26" t="s">
        <v>99</v>
      </c>
      <c r="L19" s="25" t="s">
        <v>58</v>
      </c>
      <c r="M19" t="str">
        <f>TEXT(A19,"dddd")</f>
        <v>Monday</v>
      </c>
      <c r="N19" s="35">
        <f>DATE(Table4[[#This Row],[year]],Table4[[#This Row],[month2]],Table4[[#This Row],[day]])</f>
        <v>46175</v>
      </c>
    </row>
    <row r="20" spans="1:14" ht="16" x14ac:dyDescent="0.35">
      <c r="A20" t="str">
        <f t="shared" si="0"/>
        <v>02</v>
      </c>
      <c r="B20">
        <f>_xlfn.SWITCH(Table4[[#This Row],[month]],"jan",1,"feb",2,"mar",3,"apr",4,"may",5,"jun",6,"jul",7,"aug",8,"sep",9,"oct",10,"nov",11,"dec",12,"no month")</f>
        <v>6</v>
      </c>
      <c r="C20" s="12" t="str">
        <f>LEFT('All Transactions'!$E20,3)</f>
        <v>Jun</v>
      </c>
      <c r="D20" s="12" t="str">
        <f t="shared" si="1"/>
        <v>2026</v>
      </c>
      <c r="E20" s="16" t="s">
        <v>87</v>
      </c>
      <c r="F20" s="17" t="s">
        <v>100</v>
      </c>
      <c r="G20" s="18" t="s">
        <v>28</v>
      </c>
      <c r="H20" s="19">
        <v>20</v>
      </c>
      <c r="I20" s="20" t="s">
        <v>101</v>
      </c>
      <c r="J20" s="20" t="s">
        <v>102</v>
      </c>
      <c r="K20" s="21" t="s">
        <v>103</v>
      </c>
      <c r="L20" s="20" t="s">
        <v>32</v>
      </c>
      <c r="M20" t="str">
        <f>TEXT(A20,"dddd")</f>
        <v>Monday</v>
      </c>
      <c r="N20" s="35">
        <f>DATE(Table4[[#This Row],[year]],Table4[[#This Row],[month2]],Table4[[#This Row],[day]])</f>
        <v>46175</v>
      </c>
    </row>
    <row r="21" spans="1:14" ht="16" x14ac:dyDescent="0.35">
      <c r="A21" t="str">
        <f t="shared" si="0"/>
        <v>02</v>
      </c>
      <c r="B21">
        <f>_xlfn.SWITCH(Table4[[#This Row],[month]],"jan",1,"feb",2,"mar",3,"apr",4,"may",5,"jun",6,"jul",7,"aug",8,"sep",9,"oct",10,"nov",11,"dec",12,"no month")</f>
        <v>6</v>
      </c>
      <c r="C21" s="12" t="str">
        <f>LEFT('All Transactions'!$E21,3)</f>
        <v>Jun</v>
      </c>
      <c r="D21" s="12" t="str">
        <f t="shared" si="1"/>
        <v>2026</v>
      </c>
      <c r="E21" s="22" t="s">
        <v>87</v>
      </c>
      <c r="F21" s="23" t="s">
        <v>104</v>
      </c>
      <c r="G21" s="27" t="s">
        <v>54</v>
      </c>
      <c r="H21" s="24">
        <v>82</v>
      </c>
      <c r="I21" s="25" t="s">
        <v>105</v>
      </c>
      <c r="J21" s="25" t="s">
        <v>106</v>
      </c>
      <c r="K21" s="26" t="s">
        <v>107</v>
      </c>
      <c r="L21" s="25" t="s">
        <v>58</v>
      </c>
      <c r="M21" t="str">
        <f>TEXT(A21,"dddd")</f>
        <v>Monday</v>
      </c>
      <c r="N21" s="35">
        <f>DATE(Table4[[#This Row],[year]],Table4[[#This Row],[month2]],Table4[[#This Row],[day]])</f>
        <v>46175</v>
      </c>
    </row>
    <row r="22" spans="1:14" ht="16" x14ac:dyDescent="0.35">
      <c r="A22" t="str">
        <f t="shared" si="0"/>
        <v>02</v>
      </c>
      <c r="B22">
        <f>_xlfn.SWITCH(Table4[[#This Row],[month]],"jan",1,"feb",2,"mar",3,"apr",4,"may",5,"jun",6,"jul",7,"aug",8,"sep",9,"oct",10,"nov",11,"dec",12,"no month")</f>
        <v>6</v>
      </c>
      <c r="C22" s="12" t="str">
        <f>LEFT('All Transactions'!$E22,3)</f>
        <v>Jun</v>
      </c>
      <c r="D22" s="12" t="str">
        <f t="shared" si="1"/>
        <v>2026</v>
      </c>
      <c r="E22" s="16" t="s">
        <v>87</v>
      </c>
      <c r="F22" s="17" t="s">
        <v>108</v>
      </c>
      <c r="G22" s="27" t="s">
        <v>54</v>
      </c>
      <c r="H22" s="19">
        <v>140</v>
      </c>
      <c r="I22" s="20" t="s">
        <v>109</v>
      </c>
      <c r="J22" s="20" t="s">
        <v>110</v>
      </c>
      <c r="K22" s="21" t="s">
        <v>111</v>
      </c>
      <c r="L22" s="20" t="s">
        <v>58</v>
      </c>
      <c r="M22" t="str">
        <f>TEXT(A22,"dddd")</f>
        <v>Monday</v>
      </c>
      <c r="N22" s="35">
        <f>DATE(Table4[[#This Row],[year]],Table4[[#This Row],[month2]],Table4[[#This Row],[day]])</f>
        <v>46175</v>
      </c>
    </row>
    <row r="23" spans="1:14" ht="16" x14ac:dyDescent="0.35">
      <c r="A23" t="str">
        <f t="shared" si="0"/>
        <v>02</v>
      </c>
      <c r="B23">
        <f>_xlfn.SWITCH(Table4[[#This Row],[month]],"jan",1,"feb",2,"mar",3,"apr",4,"may",5,"jun",6,"jul",7,"aug",8,"sep",9,"oct",10,"nov",11,"dec",12,"no month")</f>
        <v>6</v>
      </c>
      <c r="C23" s="12" t="str">
        <f>LEFT('All Transactions'!$E23,3)</f>
        <v>Jun</v>
      </c>
      <c r="D23" s="12" t="str">
        <f t="shared" si="1"/>
        <v>2026</v>
      </c>
      <c r="E23" s="22" t="s">
        <v>87</v>
      </c>
      <c r="F23" s="23" t="s">
        <v>112</v>
      </c>
      <c r="G23" s="27" t="s">
        <v>54</v>
      </c>
      <c r="H23" s="24">
        <v>103</v>
      </c>
      <c r="I23" s="25" t="s">
        <v>113</v>
      </c>
      <c r="J23" s="25" t="s">
        <v>114</v>
      </c>
      <c r="K23" s="26" t="s">
        <v>115</v>
      </c>
      <c r="L23" s="25" t="s">
        <v>58</v>
      </c>
      <c r="M23" t="str">
        <f>TEXT(A23,"dddd")</f>
        <v>Monday</v>
      </c>
      <c r="N23" s="35">
        <f>DATE(Table4[[#This Row],[year]],Table4[[#This Row],[month2]],Table4[[#This Row],[day]])</f>
        <v>46175</v>
      </c>
    </row>
    <row r="24" spans="1:14" ht="16" x14ac:dyDescent="0.35">
      <c r="A24" t="str">
        <f t="shared" si="0"/>
        <v>02</v>
      </c>
      <c r="B24">
        <f>_xlfn.SWITCH(Table4[[#This Row],[month]],"jan",1,"feb",2,"mar",3,"apr",4,"may",5,"jun",6,"jul",7,"aug",8,"sep",9,"oct",10,"nov",11,"dec",12,"no month")</f>
        <v>6</v>
      </c>
      <c r="C24" s="12" t="str">
        <f>LEFT('All Transactions'!$E24,3)</f>
        <v>Jun</v>
      </c>
      <c r="D24" s="12" t="str">
        <f t="shared" si="1"/>
        <v>2026</v>
      </c>
      <c r="E24" s="16" t="s">
        <v>87</v>
      </c>
      <c r="F24" s="17" t="s">
        <v>116</v>
      </c>
      <c r="G24" s="18" t="s">
        <v>28</v>
      </c>
      <c r="H24" s="19">
        <v>130</v>
      </c>
      <c r="I24" s="20" t="s">
        <v>117</v>
      </c>
      <c r="J24" s="20" t="s">
        <v>118</v>
      </c>
      <c r="K24" s="21" t="s">
        <v>119</v>
      </c>
      <c r="L24" s="20" t="s">
        <v>47</v>
      </c>
      <c r="M24" t="str">
        <f>TEXT(A24,"dddd")</f>
        <v>Monday</v>
      </c>
      <c r="N24" s="35">
        <f>DATE(Table4[[#This Row],[year]],Table4[[#This Row],[month2]],Table4[[#This Row],[day]])</f>
        <v>46175</v>
      </c>
    </row>
    <row r="25" spans="1:14" ht="16" x14ac:dyDescent="0.35">
      <c r="A25" t="str">
        <f t="shared" si="0"/>
        <v>02</v>
      </c>
      <c r="B25">
        <f>_xlfn.SWITCH(Table4[[#This Row],[month]],"jan",1,"feb",2,"mar",3,"apr",4,"may",5,"jun",6,"jul",7,"aug",8,"sep",9,"oct",10,"nov",11,"dec",12,"no month")</f>
        <v>6</v>
      </c>
      <c r="C25" s="12" t="str">
        <f>LEFT('All Transactions'!$E25,3)</f>
        <v>Jun</v>
      </c>
      <c r="D25" s="12" t="str">
        <f t="shared" si="1"/>
        <v>2026</v>
      </c>
      <c r="E25" s="22" t="s">
        <v>87</v>
      </c>
      <c r="F25" s="23" t="s">
        <v>120</v>
      </c>
      <c r="G25" s="18" t="s">
        <v>28</v>
      </c>
      <c r="H25" s="24">
        <v>2000</v>
      </c>
      <c r="I25" s="25" t="s">
        <v>10</v>
      </c>
      <c r="J25" s="25" t="s">
        <v>121</v>
      </c>
      <c r="K25" s="26" t="s">
        <v>122</v>
      </c>
      <c r="L25" s="25" t="s">
        <v>32</v>
      </c>
      <c r="M25" t="str">
        <f>TEXT(A25,"dddd")</f>
        <v>Monday</v>
      </c>
      <c r="N25" s="35">
        <f>DATE(Table4[[#This Row],[year]],Table4[[#This Row],[month2]],Table4[[#This Row],[day]])</f>
        <v>46175</v>
      </c>
    </row>
    <row r="26" spans="1:14" ht="16" x14ac:dyDescent="0.35">
      <c r="A26" t="str">
        <f t="shared" si="0"/>
        <v>02</v>
      </c>
      <c r="B26">
        <f>_xlfn.SWITCH(Table4[[#This Row],[month]],"jan",1,"feb",2,"mar",3,"apr",4,"may",5,"jun",6,"jul",7,"aug",8,"sep",9,"oct",10,"nov",11,"dec",12,"no month")</f>
        <v>6</v>
      </c>
      <c r="C26" s="12" t="str">
        <f>LEFT('All Transactions'!$E26,3)</f>
        <v>Jun</v>
      </c>
      <c r="D26" s="12" t="str">
        <f t="shared" si="1"/>
        <v>2026</v>
      </c>
      <c r="E26" s="16" t="s">
        <v>87</v>
      </c>
      <c r="F26" s="17" t="s">
        <v>123</v>
      </c>
      <c r="G26" s="27" t="s">
        <v>54</v>
      </c>
      <c r="H26" s="19">
        <v>75</v>
      </c>
      <c r="I26" s="20" t="s">
        <v>124</v>
      </c>
      <c r="J26" s="20" t="s">
        <v>125</v>
      </c>
      <c r="K26" s="21" t="s">
        <v>126</v>
      </c>
      <c r="L26" s="20" t="s">
        <v>58</v>
      </c>
      <c r="M26" t="str">
        <f>TEXT(A26,"dddd")</f>
        <v>Monday</v>
      </c>
      <c r="N26" s="35">
        <f>DATE(Table4[[#This Row],[year]],Table4[[#This Row],[month2]],Table4[[#This Row],[day]])</f>
        <v>46175</v>
      </c>
    </row>
    <row r="27" spans="1:14" ht="16" x14ac:dyDescent="0.35">
      <c r="A27" t="str">
        <f t="shared" si="0"/>
        <v>02</v>
      </c>
      <c r="B27">
        <f>_xlfn.SWITCH(Table4[[#This Row],[month]],"jan",1,"feb",2,"mar",3,"apr",4,"may",5,"jun",6,"jul",7,"aug",8,"sep",9,"oct",10,"nov",11,"dec",12,"no month")</f>
        <v>6</v>
      </c>
      <c r="C27" s="12" t="str">
        <f>LEFT('All Transactions'!$E27,3)</f>
        <v>Jun</v>
      </c>
      <c r="D27" s="12" t="str">
        <f t="shared" si="1"/>
        <v>2026</v>
      </c>
      <c r="E27" s="22" t="s">
        <v>87</v>
      </c>
      <c r="F27" s="23" t="s">
        <v>127</v>
      </c>
      <c r="G27" s="27" t="s">
        <v>54</v>
      </c>
      <c r="H27" s="24">
        <v>45</v>
      </c>
      <c r="I27" s="25" t="s">
        <v>128</v>
      </c>
      <c r="J27" s="25" t="s">
        <v>129</v>
      </c>
      <c r="K27" s="26" t="s">
        <v>130</v>
      </c>
      <c r="L27" s="25" t="s">
        <v>58</v>
      </c>
      <c r="M27" t="str">
        <f>TEXT(A27,"dddd")</f>
        <v>Monday</v>
      </c>
      <c r="N27" s="35">
        <f>DATE(Table4[[#This Row],[year]],Table4[[#This Row],[month2]],Table4[[#This Row],[day]])</f>
        <v>46175</v>
      </c>
    </row>
    <row r="28" spans="1:14" ht="16" x14ac:dyDescent="0.35">
      <c r="A28" t="str">
        <f t="shared" si="0"/>
        <v>02</v>
      </c>
      <c r="B28">
        <f>_xlfn.SWITCH(Table4[[#This Row],[month]],"jan",1,"feb",2,"mar",3,"apr",4,"may",5,"jun",6,"jul",7,"aug",8,"sep",9,"oct",10,"nov",11,"dec",12,"no month")</f>
        <v>6</v>
      </c>
      <c r="C28" s="12" t="str">
        <f>LEFT('All Transactions'!$E28,3)</f>
        <v>Jun</v>
      </c>
      <c r="D28" s="12" t="str">
        <f t="shared" si="1"/>
        <v>2026</v>
      </c>
      <c r="E28" s="16" t="s">
        <v>87</v>
      </c>
      <c r="F28" s="17" t="s">
        <v>127</v>
      </c>
      <c r="G28" s="18" t="s">
        <v>28</v>
      </c>
      <c r="H28" s="19">
        <v>23</v>
      </c>
      <c r="I28" s="20" t="s">
        <v>131</v>
      </c>
      <c r="J28" s="20" t="s">
        <v>132</v>
      </c>
      <c r="K28" s="21" t="s">
        <v>133</v>
      </c>
      <c r="L28" s="20" t="s">
        <v>32</v>
      </c>
      <c r="M28" t="str">
        <f>TEXT(A28,"dddd")</f>
        <v>Monday</v>
      </c>
      <c r="N28" s="35">
        <f>DATE(Table4[[#This Row],[year]],Table4[[#This Row],[month2]],Table4[[#This Row],[day]])</f>
        <v>46175</v>
      </c>
    </row>
    <row r="29" spans="1:14" ht="16" x14ac:dyDescent="0.35">
      <c r="A29" t="str">
        <f t="shared" si="0"/>
        <v>02</v>
      </c>
      <c r="B29">
        <f>_xlfn.SWITCH(Table4[[#This Row],[month]],"jan",1,"feb",2,"mar",3,"apr",4,"may",5,"jun",6,"jul",7,"aug",8,"sep",9,"oct",10,"nov",11,"dec",12,"no month")</f>
        <v>6</v>
      </c>
      <c r="C29" s="12" t="str">
        <f>LEFT('All Transactions'!$E29,3)</f>
        <v>Jun</v>
      </c>
      <c r="D29" s="12" t="str">
        <f t="shared" si="1"/>
        <v>2026</v>
      </c>
      <c r="E29" s="22" t="s">
        <v>87</v>
      </c>
      <c r="F29" s="23" t="s">
        <v>134</v>
      </c>
      <c r="G29" s="27" t="s">
        <v>54</v>
      </c>
      <c r="H29" s="24">
        <v>66</v>
      </c>
      <c r="I29" s="25" t="s">
        <v>135</v>
      </c>
      <c r="J29" s="25" t="s">
        <v>136</v>
      </c>
      <c r="K29" s="26" t="s">
        <v>137</v>
      </c>
      <c r="L29" s="25" t="s">
        <v>58</v>
      </c>
      <c r="M29" t="str">
        <f>TEXT(A29,"dddd")</f>
        <v>Monday</v>
      </c>
      <c r="N29" s="35">
        <f>DATE(Table4[[#This Row],[year]],Table4[[#This Row],[month2]],Table4[[#This Row],[day]])</f>
        <v>46175</v>
      </c>
    </row>
    <row r="30" spans="1:14" ht="16" x14ac:dyDescent="0.35">
      <c r="A30" t="str">
        <f t="shared" si="0"/>
        <v>02</v>
      </c>
      <c r="B30">
        <f>_xlfn.SWITCH(Table4[[#This Row],[month]],"jan",1,"feb",2,"mar",3,"apr",4,"may",5,"jun",6,"jul",7,"aug",8,"sep",9,"oct",10,"nov",11,"dec",12,"no month")</f>
        <v>6</v>
      </c>
      <c r="C30" s="12" t="str">
        <f>LEFT('All Transactions'!$E30,3)</f>
        <v>Jun</v>
      </c>
      <c r="D30" s="12" t="str">
        <f t="shared" si="1"/>
        <v>2026</v>
      </c>
      <c r="E30" s="16" t="s">
        <v>87</v>
      </c>
      <c r="F30" s="17" t="s">
        <v>138</v>
      </c>
      <c r="G30" s="27" t="s">
        <v>54</v>
      </c>
      <c r="H30" s="19">
        <v>77</v>
      </c>
      <c r="I30" s="20" t="s">
        <v>139</v>
      </c>
      <c r="J30" s="20" t="s">
        <v>140</v>
      </c>
      <c r="K30" s="21" t="s">
        <v>141</v>
      </c>
      <c r="L30" s="20" t="s">
        <v>58</v>
      </c>
      <c r="M30" t="str">
        <f>TEXT(A30,"dddd")</f>
        <v>Monday</v>
      </c>
      <c r="N30" s="35">
        <f>DATE(Table4[[#This Row],[year]],Table4[[#This Row],[month2]],Table4[[#This Row],[day]])</f>
        <v>46175</v>
      </c>
    </row>
    <row r="31" spans="1:14" ht="16" x14ac:dyDescent="0.35">
      <c r="A31" t="str">
        <f t="shared" si="0"/>
        <v>02</v>
      </c>
      <c r="B31">
        <f>_xlfn.SWITCH(Table4[[#This Row],[month]],"jan",1,"feb",2,"mar",3,"apr",4,"may",5,"jun",6,"jul",7,"aug",8,"sep",9,"oct",10,"nov",11,"dec",12,"no month")</f>
        <v>6</v>
      </c>
      <c r="C31" s="12" t="str">
        <f>LEFT('All Transactions'!$E31,3)</f>
        <v>Jun</v>
      </c>
      <c r="D31" s="12" t="str">
        <f t="shared" si="1"/>
        <v>2026</v>
      </c>
      <c r="E31" s="22" t="s">
        <v>87</v>
      </c>
      <c r="F31" s="23" t="s">
        <v>142</v>
      </c>
      <c r="G31" s="27" t="s">
        <v>54</v>
      </c>
      <c r="H31" s="24">
        <v>2000</v>
      </c>
      <c r="I31" s="25" t="s">
        <v>143</v>
      </c>
      <c r="J31" s="25" t="s">
        <v>144</v>
      </c>
      <c r="K31" s="26" t="s">
        <v>145</v>
      </c>
      <c r="L31" s="25" t="s">
        <v>58</v>
      </c>
      <c r="M31" t="str">
        <f>TEXT(A31,"dddd")</f>
        <v>Monday</v>
      </c>
      <c r="N31" s="35">
        <f>DATE(Table4[[#This Row],[year]],Table4[[#This Row],[month2]],Table4[[#This Row],[day]])</f>
        <v>46175</v>
      </c>
    </row>
    <row r="32" spans="1:14" ht="16" x14ac:dyDescent="0.35">
      <c r="A32" t="str">
        <f t="shared" si="0"/>
        <v>02</v>
      </c>
      <c r="B32">
        <f>_xlfn.SWITCH(Table4[[#This Row],[month]],"jan",1,"feb",2,"mar",3,"apr",4,"may",5,"jun",6,"jul",7,"aug",8,"sep",9,"oct",10,"nov",11,"dec",12,"no month")</f>
        <v>6</v>
      </c>
      <c r="C32" s="12" t="str">
        <f>LEFT('All Transactions'!$E32,3)</f>
        <v>Jun</v>
      </c>
      <c r="D32" s="12" t="str">
        <f t="shared" si="1"/>
        <v>2026</v>
      </c>
      <c r="E32" s="16" t="s">
        <v>87</v>
      </c>
      <c r="F32" s="17" t="s">
        <v>146</v>
      </c>
      <c r="G32" s="18" t="s">
        <v>28</v>
      </c>
      <c r="H32" s="19">
        <v>30</v>
      </c>
      <c r="I32" s="20" t="s">
        <v>147</v>
      </c>
      <c r="J32" s="20" t="s">
        <v>148</v>
      </c>
      <c r="K32" s="21" t="s">
        <v>149</v>
      </c>
      <c r="L32" s="20" t="s">
        <v>32</v>
      </c>
      <c r="M32" t="str">
        <f>TEXT(A32,"dddd")</f>
        <v>Monday</v>
      </c>
      <c r="N32" s="35">
        <f>DATE(Table4[[#This Row],[year]],Table4[[#This Row],[month2]],Table4[[#This Row],[day]])</f>
        <v>46175</v>
      </c>
    </row>
    <row r="33" spans="1:14" ht="16" x14ac:dyDescent="0.35">
      <c r="A33" t="str">
        <f t="shared" si="0"/>
        <v>02</v>
      </c>
      <c r="B33">
        <f>_xlfn.SWITCH(Table4[[#This Row],[month]],"jan",1,"feb",2,"mar",3,"apr",4,"may",5,"jun",6,"jul",7,"aug",8,"sep",9,"oct",10,"nov",11,"dec",12,"no month")</f>
        <v>6</v>
      </c>
      <c r="C33" s="12" t="str">
        <f>LEFT('All Transactions'!$E33,3)</f>
        <v>Jun</v>
      </c>
      <c r="D33" s="12" t="str">
        <f t="shared" si="1"/>
        <v>2026</v>
      </c>
      <c r="E33" s="22" t="s">
        <v>87</v>
      </c>
      <c r="F33" s="23" t="s">
        <v>150</v>
      </c>
      <c r="G33" s="18" t="s">
        <v>28</v>
      </c>
      <c r="H33" s="24">
        <v>1250</v>
      </c>
      <c r="I33" s="25" t="s">
        <v>151</v>
      </c>
      <c r="J33" s="25" t="s">
        <v>152</v>
      </c>
      <c r="K33" s="26" t="s">
        <v>153</v>
      </c>
      <c r="L33" s="25" t="s">
        <v>32</v>
      </c>
      <c r="M33" t="str">
        <f>TEXT(A33,"dddd")</f>
        <v>Monday</v>
      </c>
      <c r="N33" s="35">
        <f>DATE(Table4[[#This Row],[year]],Table4[[#This Row],[month2]],Table4[[#This Row],[day]])</f>
        <v>46175</v>
      </c>
    </row>
    <row r="34" spans="1:14" ht="16" x14ac:dyDescent="0.35">
      <c r="A34" t="str">
        <f t="shared" si="0"/>
        <v>01</v>
      </c>
      <c r="B34">
        <f>_xlfn.SWITCH(Table4[[#This Row],[month]],"jan",1,"feb",2,"mar",3,"apr",4,"may",5,"jun",6,"jul",7,"aug",8,"sep",9,"oct",10,"nov",11,"dec",12,"no month")</f>
        <v>6</v>
      </c>
      <c r="C34" s="12" t="str">
        <f>LEFT('All Transactions'!$E34,3)</f>
        <v>Jun</v>
      </c>
      <c r="D34" s="12" t="str">
        <f t="shared" si="1"/>
        <v>2026</v>
      </c>
      <c r="E34" s="16" t="s">
        <v>154</v>
      </c>
      <c r="F34" s="17" t="s">
        <v>155</v>
      </c>
      <c r="G34" s="27" t="s">
        <v>54</v>
      </c>
      <c r="H34" s="19">
        <v>100</v>
      </c>
      <c r="I34" s="20" t="s">
        <v>156</v>
      </c>
      <c r="J34" s="20" t="s">
        <v>157</v>
      </c>
      <c r="K34" s="21" t="s">
        <v>158</v>
      </c>
      <c r="L34" s="20" t="s">
        <v>58</v>
      </c>
      <c r="M34" t="str">
        <f>TEXT(A34,"dddd")</f>
        <v>Sunday</v>
      </c>
      <c r="N34" s="35">
        <f>DATE(Table4[[#This Row],[year]],Table4[[#This Row],[month2]],Table4[[#This Row],[day]])</f>
        <v>46174</v>
      </c>
    </row>
    <row r="35" spans="1:14" ht="16" x14ac:dyDescent="0.35">
      <c r="A35" t="str">
        <f t="shared" si="0"/>
        <v>01</v>
      </c>
      <c r="B35">
        <f>_xlfn.SWITCH(Table4[[#This Row],[month]],"jan",1,"feb",2,"mar",3,"apr",4,"may",5,"jun",6,"jul",7,"aug",8,"sep",9,"oct",10,"nov",11,"dec",12,"no month")</f>
        <v>6</v>
      </c>
      <c r="C35" s="12" t="str">
        <f>LEFT('All Transactions'!$E35,3)</f>
        <v>Jun</v>
      </c>
      <c r="D35" s="12" t="str">
        <f t="shared" si="1"/>
        <v>2026</v>
      </c>
      <c r="E35" s="22" t="s">
        <v>154</v>
      </c>
      <c r="F35" s="23" t="s">
        <v>159</v>
      </c>
      <c r="G35" s="27" t="s">
        <v>54</v>
      </c>
      <c r="H35" s="24">
        <v>63</v>
      </c>
      <c r="I35" s="25" t="s">
        <v>89</v>
      </c>
      <c r="J35" s="25" t="s">
        <v>160</v>
      </c>
      <c r="K35" s="26" t="s">
        <v>161</v>
      </c>
      <c r="L35" s="25" t="s">
        <v>58</v>
      </c>
      <c r="M35" t="str">
        <f>TEXT(A35,"dddd")</f>
        <v>Sunday</v>
      </c>
      <c r="N35" s="35">
        <f>DATE(Table4[[#This Row],[year]],Table4[[#This Row],[month2]],Table4[[#This Row],[day]])</f>
        <v>46174</v>
      </c>
    </row>
    <row r="36" spans="1:14" ht="16" x14ac:dyDescent="0.35">
      <c r="A36" t="str">
        <f t="shared" si="0"/>
        <v>01</v>
      </c>
      <c r="B36">
        <f>_xlfn.SWITCH(Table4[[#This Row],[month]],"jan",1,"feb",2,"mar",3,"apr",4,"may",5,"jun",6,"jul",7,"aug",8,"sep",9,"oct",10,"nov",11,"dec",12,"no month")</f>
        <v>6</v>
      </c>
      <c r="C36" s="12" t="str">
        <f>LEFT('All Transactions'!$E36,3)</f>
        <v>Jun</v>
      </c>
      <c r="D36" s="12" t="str">
        <f t="shared" si="1"/>
        <v>2026</v>
      </c>
      <c r="E36" s="16" t="s">
        <v>154</v>
      </c>
      <c r="F36" s="17" t="s">
        <v>162</v>
      </c>
      <c r="G36" s="27" t="s">
        <v>54</v>
      </c>
      <c r="H36" s="19">
        <v>29</v>
      </c>
      <c r="I36" s="20" t="s">
        <v>163</v>
      </c>
      <c r="J36" s="20" t="s">
        <v>164</v>
      </c>
      <c r="K36" s="21" t="s">
        <v>165</v>
      </c>
      <c r="L36" s="20" t="s">
        <v>58</v>
      </c>
      <c r="M36" t="str">
        <f>TEXT(A36,"dddd")</f>
        <v>Sunday</v>
      </c>
      <c r="N36" s="35">
        <f>DATE(Table4[[#This Row],[year]],Table4[[#This Row],[month2]],Table4[[#This Row],[day]])</f>
        <v>46174</v>
      </c>
    </row>
    <row r="37" spans="1:14" ht="16" x14ac:dyDescent="0.35">
      <c r="A37" t="str">
        <f t="shared" si="0"/>
        <v>01</v>
      </c>
      <c r="B37">
        <f>_xlfn.SWITCH(Table4[[#This Row],[month]],"jan",1,"feb",2,"mar",3,"apr",4,"may",5,"jun",6,"jul",7,"aug",8,"sep",9,"oct",10,"nov",11,"dec",12,"no month")</f>
        <v>6</v>
      </c>
      <c r="C37" s="12" t="str">
        <f>LEFT('All Transactions'!$E37,3)</f>
        <v>Jun</v>
      </c>
      <c r="D37" s="12" t="str">
        <f t="shared" si="1"/>
        <v>2026</v>
      </c>
      <c r="E37" s="22" t="s">
        <v>154</v>
      </c>
      <c r="F37" s="23" t="s">
        <v>166</v>
      </c>
      <c r="G37" s="18" t="s">
        <v>28</v>
      </c>
      <c r="H37" s="24">
        <v>120</v>
      </c>
      <c r="I37" s="25" t="s">
        <v>167</v>
      </c>
      <c r="J37" s="25" t="s">
        <v>168</v>
      </c>
      <c r="K37" s="26" t="s">
        <v>169</v>
      </c>
      <c r="L37" s="25" t="s">
        <v>32</v>
      </c>
      <c r="M37" t="str">
        <f>TEXT(A37,"dddd")</f>
        <v>Sunday</v>
      </c>
      <c r="N37" s="35">
        <f>DATE(Table4[[#This Row],[year]],Table4[[#This Row],[month2]],Table4[[#This Row],[day]])</f>
        <v>46174</v>
      </c>
    </row>
    <row r="38" spans="1:14" ht="16" x14ac:dyDescent="0.35">
      <c r="A38" t="str">
        <f t="shared" si="0"/>
        <v>01</v>
      </c>
      <c r="B38">
        <f>_xlfn.SWITCH(Table4[[#This Row],[month]],"jan",1,"feb",2,"mar",3,"apr",4,"may",5,"jun",6,"jul",7,"aug",8,"sep",9,"oct",10,"nov",11,"dec",12,"no month")</f>
        <v>6</v>
      </c>
      <c r="C38" s="12" t="str">
        <f>LEFT('All Transactions'!$E38,3)</f>
        <v>Jun</v>
      </c>
      <c r="D38" s="12" t="str">
        <f t="shared" si="1"/>
        <v>2026</v>
      </c>
      <c r="E38" s="16" t="s">
        <v>154</v>
      </c>
      <c r="F38" s="17" t="s">
        <v>96</v>
      </c>
      <c r="G38" s="18" t="s">
        <v>28</v>
      </c>
      <c r="H38" s="19">
        <v>120</v>
      </c>
      <c r="I38" s="20" t="s">
        <v>170</v>
      </c>
      <c r="J38" s="20" t="s">
        <v>171</v>
      </c>
      <c r="K38" s="21" t="s">
        <v>172</v>
      </c>
      <c r="L38" s="20" t="s">
        <v>32</v>
      </c>
      <c r="M38" t="str">
        <f>TEXT(A38,"dddd")</f>
        <v>Sunday</v>
      </c>
      <c r="N38" s="35">
        <f>DATE(Table4[[#This Row],[year]],Table4[[#This Row],[month2]],Table4[[#This Row],[day]])</f>
        <v>46174</v>
      </c>
    </row>
    <row r="39" spans="1:14" ht="16" x14ac:dyDescent="0.35">
      <c r="A39" t="str">
        <f t="shared" si="0"/>
        <v>01</v>
      </c>
      <c r="B39">
        <f>_xlfn.SWITCH(Table4[[#This Row],[month]],"jan",1,"feb",2,"mar",3,"apr",4,"may",5,"jun",6,"jul",7,"aug",8,"sep",9,"oct",10,"nov",11,"dec",12,"no month")</f>
        <v>6</v>
      </c>
      <c r="C39" s="12" t="str">
        <f>LEFT('All Transactions'!$E39,3)</f>
        <v>Jun</v>
      </c>
      <c r="D39" s="12" t="str">
        <f t="shared" si="1"/>
        <v>2026</v>
      </c>
      <c r="E39" s="22" t="s">
        <v>154</v>
      </c>
      <c r="F39" s="23" t="s">
        <v>173</v>
      </c>
      <c r="G39" s="27" t="s">
        <v>54</v>
      </c>
      <c r="H39" s="24">
        <v>50</v>
      </c>
      <c r="I39" s="25" t="s">
        <v>174</v>
      </c>
      <c r="J39" s="25" t="s">
        <v>175</v>
      </c>
      <c r="K39" s="26" t="s">
        <v>176</v>
      </c>
      <c r="L39" s="25" t="s">
        <v>58</v>
      </c>
      <c r="M39" t="str">
        <f>TEXT(A39,"dddd")</f>
        <v>Sunday</v>
      </c>
      <c r="N39" s="35">
        <f>DATE(Table4[[#This Row],[year]],Table4[[#This Row],[month2]],Table4[[#This Row],[day]])</f>
        <v>46174</v>
      </c>
    </row>
    <row r="40" spans="1:14" ht="16" x14ac:dyDescent="0.35">
      <c r="A40" t="str">
        <f t="shared" si="0"/>
        <v>01</v>
      </c>
      <c r="B40">
        <f>_xlfn.SWITCH(Table4[[#This Row],[month]],"jan",1,"feb",2,"mar",3,"apr",4,"may",5,"jun",6,"jul",7,"aug",8,"sep",9,"oct",10,"nov",11,"dec",12,"no month")</f>
        <v>6</v>
      </c>
      <c r="C40" s="12" t="str">
        <f>LEFT('All Transactions'!$E40,3)</f>
        <v>Jun</v>
      </c>
      <c r="D40" s="12" t="str">
        <f t="shared" si="1"/>
        <v>2026</v>
      </c>
      <c r="E40" s="16" t="s">
        <v>154</v>
      </c>
      <c r="F40" s="17" t="s">
        <v>100</v>
      </c>
      <c r="G40" s="27" t="s">
        <v>54</v>
      </c>
      <c r="H40" s="19">
        <v>75</v>
      </c>
      <c r="I40" s="20" t="s">
        <v>177</v>
      </c>
      <c r="J40" s="20" t="s">
        <v>178</v>
      </c>
      <c r="K40" s="21" t="s">
        <v>179</v>
      </c>
      <c r="L40" s="20" t="s">
        <v>58</v>
      </c>
      <c r="M40" t="str">
        <f>TEXT(A40,"dddd")</f>
        <v>Sunday</v>
      </c>
      <c r="N40" s="35">
        <f>DATE(Table4[[#This Row],[year]],Table4[[#This Row],[month2]],Table4[[#This Row],[day]])</f>
        <v>46174</v>
      </c>
    </row>
    <row r="41" spans="1:14" ht="16" x14ac:dyDescent="0.35">
      <c r="A41" t="str">
        <f t="shared" si="0"/>
        <v>01</v>
      </c>
      <c r="B41">
        <f>_xlfn.SWITCH(Table4[[#This Row],[month]],"jan",1,"feb",2,"mar",3,"apr",4,"may",5,"jun",6,"jul",7,"aug",8,"sep",9,"oct",10,"nov",11,"dec",12,"no month")</f>
        <v>6</v>
      </c>
      <c r="C41" s="12" t="str">
        <f>LEFT('All Transactions'!$E41,3)</f>
        <v>Jun</v>
      </c>
      <c r="D41" s="12" t="str">
        <f t="shared" si="1"/>
        <v>2026</v>
      </c>
      <c r="E41" s="22" t="s">
        <v>154</v>
      </c>
      <c r="F41" s="23" t="s">
        <v>180</v>
      </c>
      <c r="G41" s="27" t="s">
        <v>54</v>
      </c>
      <c r="H41" s="24">
        <v>96</v>
      </c>
      <c r="I41" s="25" t="s">
        <v>181</v>
      </c>
      <c r="J41" s="25" t="s">
        <v>182</v>
      </c>
      <c r="K41" s="26" t="s">
        <v>183</v>
      </c>
      <c r="L41" s="25" t="s">
        <v>58</v>
      </c>
      <c r="M41" t="str">
        <f>TEXT(A41,"dddd")</f>
        <v>Sunday</v>
      </c>
      <c r="N41" s="35">
        <f>DATE(Table4[[#This Row],[year]],Table4[[#This Row],[month2]],Table4[[#This Row],[day]])</f>
        <v>46174</v>
      </c>
    </row>
    <row r="42" spans="1:14" ht="16" x14ac:dyDescent="0.35">
      <c r="A42" t="str">
        <f t="shared" si="0"/>
        <v>01</v>
      </c>
      <c r="B42">
        <f>_xlfn.SWITCH(Table4[[#This Row],[month]],"jan",1,"feb",2,"mar",3,"apr",4,"may",5,"jun",6,"jul",7,"aug",8,"sep",9,"oct",10,"nov",11,"dec",12,"no month")</f>
        <v>6</v>
      </c>
      <c r="C42" s="12" t="str">
        <f>LEFT('All Transactions'!$E42,3)</f>
        <v>Jun</v>
      </c>
      <c r="D42" s="12" t="str">
        <f t="shared" si="1"/>
        <v>2026</v>
      </c>
      <c r="E42" s="16" t="s">
        <v>154</v>
      </c>
      <c r="F42" s="17" t="s">
        <v>184</v>
      </c>
      <c r="G42" s="18" t="s">
        <v>28</v>
      </c>
      <c r="H42" s="19">
        <v>10</v>
      </c>
      <c r="I42" s="20" t="s">
        <v>29</v>
      </c>
      <c r="J42" s="20" t="s">
        <v>185</v>
      </c>
      <c r="K42" s="21" t="s">
        <v>186</v>
      </c>
      <c r="L42" s="20" t="s">
        <v>32</v>
      </c>
      <c r="M42" t="str">
        <f>TEXT(A42,"dddd")</f>
        <v>Sunday</v>
      </c>
      <c r="N42" s="35">
        <f>DATE(Table4[[#This Row],[year]],Table4[[#This Row],[month2]],Table4[[#This Row],[day]])</f>
        <v>46174</v>
      </c>
    </row>
    <row r="43" spans="1:14" ht="16" x14ac:dyDescent="0.35">
      <c r="A43" t="str">
        <f t="shared" si="0"/>
        <v>01</v>
      </c>
      <c r="B43">
        <f>_xlfn.SWITCH(Table4[[#This Row],[month]],"jan",1,"feb",2,"mar",3,"apr",4,"may",5,"jun",6,"jul",7,"aug",8,"sep",9,"oct",10,"nov",11,"dec",12,"no month")</f>
        <v>6</v>
      </c>
      <c r="C43" s="12" t="str">
        <f>LEFT('All Transactions'!$E43,3)</f>
        <v>Jun</v>
      </c>
      <c r="D43" s="12" t="str">
        <f t="shared" si="1"/>
        <v>2026</v>
      </c>
      <c r="E43" s="22" t="s">
        <v>154</v>
      </c>
      <c r="F43" s="23" t="s">
        <v>187</v>
      </c>
      <c r="G43" s="18" t="s">
        <v>28</v>
      </c>
      <c r="H43" s="24">
        <v>50</v>
      </c>
      <c r="I43" s="25" t="s">
        <v>37</v>
      </c>
      <c r="J43" s="25" t="s">
        <v>188</v>
      </c>
      <c r="K43" s="26" t="s">
        <v>189</v>
      </c>
      <c r="L43" s="25" t="s">
        <v>32</v>
      </c>
      <c r="M43" t="str">
        <f>TEXT(A43,"dddd")</f>
        <v>Sunday</v>
      </c>
      <c r="N43" s="35">
        <f>DATE(Table4[[#This Row],[year]],Table4[[#This Row],[month2]],Table4[[#This Row],[day]])</f>
        <v>46174</v>
      </c>
    </row>
    <row r="44" spans="1:14" ht="16" x14ac:dyDescent="0.35">
      <c r="A44" t="str">
        <f t="shared" si="0"/>
        <v>01</v>
      </c>
      <c r="B44">
        <f>_xlfn.SWITCH(Table4[[#This Row],[month]],"jan",1,"feb",2,"mar",3,"apr",4,"may",5,"jun",6,"jul",7,"aug",8,"sep",9,"oct",10,"nov",11,"dec",12,"no month")</f>
        <v>6</v>
      </c>
      <c r="C44" s="12" t="str">
        <f>LEFT('All Transactions'!$E44,3)</f>
        <v>Jun</v>
      </c>
      <c r="D44" s="12" t="str">
        <f t="shared" si="1"/>
        <v>2026</v>
      </c>
      <c r="E44" s="16" t="s">
        <v>154</v>
      </c>
      <c r="F44" s="17" t="s">
        <v>190</v>
      </c>
      <c r="G44" s="18" t="s">
        <v>28</v>
      </c>
      <c r="H44" s="19">
        <v>175</v>
      </c>
      <c r="I44" s="20" t="s">
        <v>191</v>
      </c>
      <c r="J44" s="20" t="s">
        <v>192</v>
      </c>
      <c r="K44" s="21" t="s">
        <v>193</v>
      </c>
      <c r="L44" s="20" t="s">
        <v>32</v>
      </c>
      <c r="M44" t="str">
        <f>TEXT(A44,"dddd")</f>
        <v>Sunday</v>
      </c>
      <c r="N44" s="35">
        <f>DATE(Table4[[#This Row],[year]],Table4[[#This Row],[month2]],Table4[[#This Row],[day]])</f>
        <v>46174</v>
      </c>
    </row>
    <row r="45" spans="1:14" ht="16" x14ac:dyDescent="0.35">
      <c r="A45" t="str">
        <f t="shared" si="0"/>
        <v>01</v>
      </c>
      <c r="B45">
        <f>_xlfn.SWITCH(Table4[[#This Row],[month]],"jan",1,"feb",2,"mar",3,"apr",4,"may",5,"jun",6,"jul",7,"aug",8,"sep",9,"oct",10,"nov",11,"dec",12,"no month")</f>
        <v>6</v>
      </c>
      <c r="C45" s="12" t="str">
        <f>LEFT('All Transactions'!$E45,3)</f>
        <v>Jun</v>
      </c>
      <c r="D45" s="12" t="str">
        <f t="shared" si="1"/>
        <v>2026</v>
      </c>
      <c r="E45" s="22" t="s">
        <v>154</v>
      </c>
      <c r="F45" s="23" t="s">
        <v>66</v>
      </c>
      <c r="G45" s="18" t="s">
        <v>28</v>
      </c>
      <c r="H45" s="24">
        <v>100</v>
      </c>
      <c r="I45" s="25" t="s">
        <v>20</v>
      </c>
      <c r="J45" s="25" t="s">
        <v>194</v>
      </c>
      <c r="K45" s="26" t="s">
        <v>195</v>
      </c>
      <c r="L45" s="25" t="s">
        <v>47</v>
      </c>
      <c r="M45" t="str">
        <f>TEXT(A45,"dddd")</f>
        <v>Sunday</v>
      </c>
      <c r="N45" s="35">
        <f>DATE(Table4[[#This Row],[year]],Table4[[#This Row],[month2]],Table4[[#This Row],[day]])</f>
        <v>46174</v>
      </c>
    </row>
    <row r="46" spans="1:14" ht="16" x14ac:dyDescent="0.35">
      <c r="A46" t="str">
        <f t="shared" si="0"/>
        <v>01</v>
      </c>
      <c r="B46">
        <f>_xlfn.SWITCH(Table4[[#This Row],[month]],"jan",1,"feb",2,"mar",3,"apr",4,"may",5,"jun",6,"jul",7,"aug",8,"sep",9,"oct",10,"nov",11,"dec",12,"no month")</f>
        <v>6</v>
      </c>
      <c r="C46" s="12" t="str">
        <f>LEFT('All Transactions'!$E46,3)</f>
        <v>Jun</v>
      </c>
      <c r="D46" s="12" t="str">
        <f t="shared" si="1"/>
        <v>2026</v>
      </c>
      <c r="E46" s="16" t="s">
        <v>154</v>
      </c>
      <c r="F46" s="17" t="s">
        <v>196</v>
      </c>
      <c r="G46" s="18" t="s">
        <v>28</v>
      </c>
      <c r="H46" s="19">
        <v>90</v>
      </c>
      <c r="I46" s="20" t="s">
        <v>197</v>
      </c>
      <c r="J46" s="20" t="s">
        <v>198</v>
      </c>
      <c r="K46" s="21" t="s">
        <v>199</v>
      </c>
      <c r="L46" s="20" t="s">
        <v>32</v>
      </c>
      <c r="M46" t="str">
        <f>TEXT(A46,"dddd")</f>
        <v>Sunday</v>
      </c>
      <c r="N46" s="35">
        <f>DATE(Table4[[#This Row],[year]],Table4[[#This Row],[month2]],Table4[[#This Row],[day]])</f>
        <v>46174</v>
      </c>
    </row>
    <row r="47" spans="1:14" ht="16" x14ac:dyDescent="0.35">
      <c r="A47" t="str">
        <f t="shared" si="0"/>
        <v>01</v>
      </c>
      <c r="B47">
        <f>_xlfn.SWITCH(Table4[[#This Row],[month]],"jan",1,"feb",2,"mar",3,"apr",4,"may",5,"jun",6,"jul",7,"aug",8,"sep",9,"oct",10,"nov",11,"dec",12,"no month")</f>
        <v>6</v>
      </c>
      <c r="C47" s="12" t="str">
        <f>LEFT('All Transactions'!$E47,3)</f>
        <v>Jun</v>
      </c>
      <c r="D47" s="12" t="str">
        <f t="shared" si="1"/>
        <v>2026</v>
      </c>
      <c r="E47" s="22" t="s">
        <v>154</v>
      </c>
      <c r="F47" s="23" t="s">
        <v>200</v>
      </c>
      <c r="G47" s="18" t="s">
        <v>28</v>
      </c>
      <c r="H47" s="24">
        <v>10</v>
      </c>
      <c r="I47" s="25" t="s">
        <v>201</v>
      </c>
      <c r="J47" s="25" t="s">
        <v>202</v>
      </c>
      <c r="K47" s="26" t="s">
        <v>203</v>
      </c>
      <c r="L47" s="25" t="s">
        <v>32</v>
      </c>
      <c r="M47" t="str">
        <f>TEXT(A47,"dddd")</f>
        <v>Sunday</v>
      </c>
      <c r="N47" s="35">
        <f>DATE(Table4[[#This Row],[year]],Table4[[#This Row],[month2]],Table4[[#This Row],[day]])</f>
        <v>46174</v>
      </c>
    </row>
    <row r="48" spans="1:14" ht="16" x14ac:dyDescent="0.35">
      <c r="A48" t="str">
        <f t="shared" si="0"/>
        <v>01</v>
      </c>
      <c r="B48">
        <f>_xlfn.SWITCH(Table4[[#This Row],[month]],"jan",1,"feb",2,"mar",3,"apr",4,"may",5,"jun",6,"jul",7,"aug",8,"sep",9,"oct",10,"nov",11,"dec",12,"no month")</f>
        <v>6</v>
      </c>
      <c r="C48" s="12" t="str">
        <f>LEFT('All Transactions'!$E48,3)</f>
        <v>Jun</v>
      </c>
      <c r="D48" s="12" t="str">
        <f t="shared" si="1"/>
        <v>2026</v>
      </c>
      <c r="E48" s="16" t="s">
        <v>154</v>
      </c>
      <c r="F48" s="17" t="s">
        <v>204</v>
      </c>
      <c r="G48" s="18" t="s">
        <v>28</v>
      </c>
      <c r="H48" s="19">
        <v>3000</v>
      </c>
      <c r="I48" s="20" t="s">
        <v>205</v>
      </c>
      <c r="J48" s="20" t="s">
        <v>206</v>
      </c>
      <c r="K48" s="21" t="s">
        <v>207</v>
      </c>
      <c r="L48" s="20" t="s">
        <v>32</v>
      </c>
      <c r="M48" t="str">
        <f>TEXT(A48,"dddd")</f>
        <v>Sunday</v>
      </c>
      <c r="N48" s="35">
        <f>DATE(Table4[[#This Row],[year]],Table4[[#This Row],[month2]],Table4[[#This Row],[day]])</f>
        <v>46174</v>
      </c>
    </row>
    <row r="49" spans="1:14" ht="16" x14ac:dyDescent="0.35">
      <c r="A49" t="str">
        <f t="shared" si="0"/>
        <v>31</v>
      </c>
      <c r="B49">
        <f>_xlfn.SWITCH(Table4[[#This Row],[month]],"jan",1,"feb",2,"mar",3,"apr",4,"may",5,"jun",6,"jul",7,"aug",8,"sep",9,"oct",10,"nov",11,"dec",12,"no month")</f>
        <v>5</v>
      </c>
      <c r="C49" s="12" t="str">
        <f>LEFT('All Transactions'!$E49,3)</f>
        <v>May</v>
      </c>
      <c r="D49" s="12" t="str">
        <f t="shared" si="1"/>
        <v>2026</v>
      </c>
      <c r="E49" s="22" t="s">
        <v>208</v>
      </c>
      <c r="F49" s="23" t="s">
        <v>209</v>
      </c>
      <c r="G49" s="18" t="s">
        <v>28</v>
      </c>
      <c r="H49" s="24">
        <v>10</v>
      </c>
      <c r="I49" s="25" t="s">
        <v>210</v>
      </c>
      <c r="J49" s="25" t="s">
        <v>211</v>
      </c>
      <c r="K49" s="26" t="s">
        <v>212</v>
      </c>
      <c r="L49" s="25" t="s">
        <v>32</v>
      </c>
      <c r="M49" t="str">
        <f>TEXT(A49,"dddd")</f>
        <v>Tuesday</v>
      </c>
      <c r="N49" s="35">
        <f>DATE(Table4[[#This Row],[year]],Table4[[#This Row],[month2]],Table4[[#This Row],[day]])</f>
        <v>46173</v>
      </c>
    </row>
    <row r="50" spans="1:14" ht="16" x14ac:dyDescent="0.35">
      <c r="A50" t="str">
        <f t="shared" si="0"/>
        <v>31</v>
      </c>
      <c r="B50">
        <f>_xlfn.SWITCH(Table4[[#This Row],[month]],"jan",1,"feb",2,"mar",3,"apr",4,"may",5,"jun",6,"jul",7,"aug",8,"sep",9,"oct",10,"nov",11,"dec",12,"no month")</f>
        <v>5</v>
      </c>
      <c r="C50" s="12" t="str">
        <f>LEFT('All Transactions'!$E50,3)</f>
        <v>May</v>
      </c>
      <c r="D50" s="12" t="str">
        <f t="shared" si="1"/>
        <v>2026</v>
      </c>
      <c r="E50" s="16" t="s">
        <v>208</v>
      </c>
      <c r="F50" s="17" t="s">
        <v>213</v>
      </c>
      <c r="G50" s="18" t="s">
        <v>28</v>
      </c>
      <c r="H50" s="19">
        <v>20</v>
      </c>
      <c r="I50" s="20" t="s">
        <v>210</v>
      </c>
      <c r="J50" s="20" t="s">
        <v>214</v>
      </c>
      <c r="K50" s="21" t="s">
        <v>215</v>
      </c>
      <c r="L50" s="20" t="s">
        <v>32</v>
      </c>
      <c r="M50" t="str">
        <f>TEXT(A50,"dddd")</f>
        <v>Tuesday</v>
      </c>
      <c r="N50" s="35">
        <f>DATE(Table4[[#This Row],[year]],Table4[[#This Row],[month2]],Table4[[#This Row],[day]])</f>
        <v>46173</v>
      </c>
    </row>
    <row r="51" spans="1:14" ht="16" x14ac:dyDescent="0.35">
      <c r="A51" t="str">
        <f t="shared" si="0"/>
        <v>31</v>
      </c>
      <c r="B51">
        <f>_xlfn.SWITCH(Table4[[#This Row],[month]],"jan",1,"feb",2,"mar",3,"apr",4,"may",5,"jun",6,"jul",7,"aug",8,"sep",9,"oct",10,"nov",11,"dec",12,"no month")</f>
        <v>5</v>
      </c>
      <c r="C51" s="12" t="str">
        <f>LEFT('All Transactions'!$E51,3)</f>
        <v>May</v>
      </c>
      <c r="D51" s="12" t="str">
        <f t="shared" si="1"/>
        <v>2026</v>
      </c>
      <c r="E51" s="22" t="s">
        <v>208</v>
      </c>
      <c r="F51" s="23" t="s">
        <v>216</v>
      </c>
      <c r="G51" s="27" t="s">
        <v>54</v>
      </c>
      <c r="H51" s="24">
        <v>29</v>
      </c>
      <c r="I51" s="25" t="s">
        <v>217</v>
      </c>
      <c r="J51" s="25" t="s">
        <v>218</v>
      </c>
      <c r="K51" s="26" t="s">
        <v>219</v>
      </c>
      <c r="L51" s="25" t="s">
        <v>58</v>
      </c>
      <c r="M51" t="str">
        <f>TEXT(A51,"dddd")</f>
        <v>Tuesday</v>
      </c>
      <c r="N51" s="35">
        <f>DATE(Table4[[#This Row],[year]],Table4[[#This Row],[month2]],Table4[[#This Row],[day]])</f>
        <v>46173</v>
      </c>
    </row>
    <row r="52" spans="1:14" ht="16" x14ac:dyDescent="0.35">
      <c r="A52" t="str">
        <f t="shared" si="0"/>
        <v>31</v>
      </c>
      <c r="B52">
        <f>_xlfn.SWITCH(Table4[[#This Row],[month]],"jan",1,"feb",2,"mar",3,"apr",4,"may",5,"jun",6,"jul",7,"aug",8,"sep",9,"oct",10,"nov",11,"dec",12,"no month")</f>
        <v>5</v>
      </c>
      <c r="C52" s="12" t="str">
        <f>LEFT('All Transactions'!$E52,3)</f>
        <v>May</v>
      </c>
      <c r="D52" s="12" t="str">
        <f t="shared" si="1"/>
        <v>2026</v>
      </c>
      <c r="E52" s="16" t="s">
        <v>208</v>
      </c>
      <c r="F52" s="17" t="s">
        <v>220</v>
      </c>
      <c r="G52" s="27" t="s">
        <v>54</v>
      </c>
      <c r="H52" s="19">
        <v>219</v>
      </c>
      <c r="I52" s="20" t="s">
        <v>89</v>
      </c>
      <c r="J52" s="20" t="s">
        <v>221</v>
      </c>
      <c r="K52" s="21" t="s">
        <v>222</v>
      </c>
      <c r="L52" s="20" t="s">
        <v>58</v>
      </c>
      <c r="M52" t="str">
        <f>TEXT(A52,"dddd")</f>
        <v>Tuesday</v>
      </c>
      <c r="N52" s="35">
        <f>DATE(Table4[[#This Row],[year]],Table4[[#This Row],[month2]],Table4[[#This Row],[day]])</f>
        <v>46173</v>
      </c>
    </row>
    <row r="53" spans="1:14" ht="16" x14ac:dyDescent="0.35">
      <c r="A53" t="str">
        <f t="shared" si="0"/>
        <v>31</v>
      </c>
      <c r="B53">
        <f>_xlfn.SWITCH(Table4[[#This Row],[month]],"jan",1,"feb",2,"mar",3,"apr",4,"may",5,"jun",6,"jul",7,"aug",8,"sep",9,"oct",10,"nov",11,"dec",12,"no month")</f>
        <v>5</v>
      </c>
      <c r="C53" s="12" t="str">
        <f>LEFT('All Transactions'!$E53,3)</f>
        <v>May</v>
      </c>
      <c r="D53" s="12" t="str">
        <f t="shared" si="1"/>
        <v>2026</v>
      </c>
      <c r="E53" s="22" t="s">
        <v>208</v>
      </c>
      <c r="F53" s="23" t="s">
        <v>223</v>
      </c>
      <c r="G53" s="27" t="s">
        <v>54</v>
      </c>
      <c r="H53" s="24">
        <v>150</v>
      </c>
      <c r="I53" s="25" t="s">
        <v>224</v>
      </c>
      <c r="J53" s="25" t="s">
        <v>225</v>
      </c>
      <c r="K53" s="26" t="s">
        <v>226</v>
      </c>
      <c r="L53" s="25" t="s">
        <v>58</v>
      </c>
      <c r="M53" t="str">
        <f>TEXT(A53,"dddd")</f>
        <v>Tuesday</v>
      </c>
      <c r="N53" s="35">
        <f>DATE(Table4[[#This Row],[year]],Table4[[#This Row],[month2]],Table4[[#This Row],[day]])</f>
        <v>46173</v>
      </c>
    </row>
    <row r="54" spans="1:14" ht="16" x14ac:dyDescent="0.35">
      <c r="A54" t="str">
        <f t="shared" si="0"/>
        <v>31</v>
      </c>
      <c r="B54">
        <f>_xlfn.SWITCH(Table4[[#This Row],[month]],"jan",1,"feb",2,"mar",3,"apr",4,"may",5,"jun",6,"jul",7,"aug",8,"sep",9,"oct",10,"nov",11,"dec",12,"no month")</f>
        <v>5</v>
      </c>
      <c r="C54" s="12" t="str">
        <f>LEFT('All Transactions'!$E54,3)</f>
        <v>May</v>
      </c>
      <c r="D54" s="12" t="str">
        <f t="shared" si="1"/>
        <v>2026</v>
      </c>
      <c r="E54" s="16" t="s">
        <v>208</v>
      </c>
      <c r="F54" s="17" t="s">
        <v>227</v>
      </c>
      <c r="G54" s="27" t="s">
        <v>54</v>
      </c>
      <c r="H54" s="19">
        <v>40</v>
      </c>
      <c r="I54" s="20" t="s">
        <v>228</v>
      </c>
      <c r="J54" s="20" t="s">
        <v>229</v>
      </c>
      <c r="K54" s="21" t="s">
        <v>230</v>
      </c>
      <c r="L54" s="20" t="s">
        <v>58</v>
      </c>
      <c r="M54" t="str">
        <f>TEXT(A54,"dddd")</f>
        <v>Tuesday</v>
      </c>
      <c r="N54" s="35">
        <f>DATE(Table4[[#This Row],[year]],Table4[[#This Row],[month2]],Table4[[#This Row],[day]])</f>
        <v>46173</v>
      </c>
    </row>
    <row r="55" spans="1:14" ht="16" x14ac:dyDescent="0.35">
      <c r="A55" t="str">
        <f t="shared" si="0"/>
        <v>31</v>
      </c>
      <c r="B55">
        <f>_xlfn.SWITCH(Table4[[#This Row],[month]],"jan",1,"feb",2,"mar",3,"apr",4,"may",5,"jun",6,"jul",7,"aug",8,"sep",9,"oct",10,"nov",11,"dec",12,"no month")</f>
        <v>5</v>
      </c>
      <c r="C55" s="12" t="str">
        <f>LEFT('All Transactions'!$E55,3)</f>
        <v>May</v>
      </c>
      <c r="D55" s="12" t="str">
        <f t="shared" si="1"/>
        <v>2026</v>
      </c>
      <c r="E55" s="22" t="s">
        <v>208</v>
      </c>
      <c r="F55" s="23" t="s">
        <v>231</v>
      </c>
      <c r="G55" s="27" t="s">
        <v>54</v>
      </c>
      <c r="H55" s="24">
        <v>30</v>
      </c>
      <c r="I55" s="25" t="s">
        <v>232</v>
      </c>
      <c r="J55" s="25" t="s">
        <v>233</v>
      </c>
      <c r="K55" s="26" t="s">
        <v>234</v>
      </c>
      <c r="L55" s="25" t="s">
        <v>58</v>
      </c>
      <c r="M55" t="str">
        <f>TEXT(A55,"dddd")</f>
        <v>Tuesday</v>
      </c>
      <c r="N55" s="35">
        <f>DATE(Table4[[#This Row],[year]],Table4[[#This Row],[month2]],Table4[[#This Row],[day]])</f>
        <v>46173</v>
      </c>
    </row>
    <row r="56" spans="1:14" ht="16" x14ac:dyDescent="0.35">
      <c r="A56" t="str">
        <f t="shared" si="0"/>
        <v>31</v>
      </c>
      <c r="B56">
        <f>_xlfn.SWITCH(Table4[[#This Row],[month]],"jan",1,"feb",2,"mar",3,"apr",4,"may",5,"jun",6,"jul",7,"aug",8,"sep",9,"oct",10,"nov",11,"dec",12,"no month")</f>
        <v>5</v>
      </c>
      <c r="C56" s="12" t="str">
        <f>LEFT('All Transactions'!$E56,3)</f>
        <v>May</v>
      </c>
      <c r="D56" s="12" t="str">
        <f t="shared" si="1"/>
        <v>2026</v>
      </c>
      <c r="E56" s="16" t="s">
        <v>208</v>
      </c>
      <c r="F56" s="17" t="s">
        <v>235</v>
      </c>
      <c r="G56" s="27" t="s">
        <v>54</v>
      </c>
      <c r="H56" s="19">
        <v>43</v>
      </c>
      <c r="I56" s="20" t="s">
        <v>236</v>
      </c>
      <c r="J56" s="20" t="s">
        <v>237</v>
      </c>
      <c r="K56" s="21" t="s">
        <v>238</v>
      </c>
      <c r="L56" s="20" t="s">
        <v>58</v>
      </c>
      <c r="M56" t="str">
        <f>TEXT(A56,"dddd")</f>
        <v>Tuesday</v>
      </c>
      <c r="N56" s="35">
        <f>DATE(Table4[[#This Row],[year]],Table4[[#This Row],[month2]],Table4[[#This Row],[day]])</f>
        <v>46173</v>
      </c>
    </row>
    <row r="57" spans="1:14" ht="16" x14ac:dyDescent="0.35">
      <c r="A57" t="str">
        <f t="shared" si="0"/>
        <v>31</v>
      </c>
      <c r="B57">
        <f>_xlfn.SWITCH(Table4[[#This Row],[month]],"jan",1,"feb",2,"mar",3,"apr",4,"may",5,"jun",6,"jul",7,"aug",8,"sep",9,"oct",10,"nov",11,"dec",12,"no month")</f>
        <v>5</v>
      </c>
      <c r="C57" s="12" t="str">
        <f>LEFT('All Transactions'!$E57,3)</f>
        <v>May</v>
      </c>
      <c r="D57" s="12" t="str">
        <f t="shared" si="1"/>
        <v>2026</v>
      </c>
      <c r="E57" s="22" t="s">
        <v>208</v>
      </c>
      <c r="F57" s="23" t="s">
        <v>239</v>
      </c>
      <c r="G57" s="27" t="s">
        <v>54</v>
      </c>
      <c r="H57" s="24">
        <v>41</v>
      </c>
      <c r="I57" s="25" t="s">
        <v>240</v>
      </c>
      <c r="J57" s="25" t="s">
        <v>241</v>
      </c>
      <c r="K57" s="26" t="s">
        <v>242</v>
      </c>
      <c r="L57" s="25" t="s">
        <v>58</v>
      </c>
      <c r="M57" t="str">
        <f>TEXT(A57,"dddd")</f>
        <v>Tuesday</v>
      </c>
      <c r="N57" s="35">
        <f>DATE(Table4[[#This Row],[year]],Table4[[#This Row],[month2]],Table4[[#This Row],[day]])</f>
        <v>46173</v>
      </c>
    </row>
    <row r="58" spans="1:14" ht="16" x14ac:dyDescent="0.35">
      <c r="A58" t="str">
        <f t="shared" si="0"/>
        <v>31</v>
      </c>
      <c r="B58">
        <f>_xlfn.SWITCH(Table4[[#This Row],[month]],"jan",1,"feb",2,"mar",3,"apr",4,"may",5,"jun",6,"jul",7,"aug",8,"sep",9,"oct",10,"nov",11,"dec",12,"no month")</f>
        <v>5</v>
      </c>
      <c r="C58" s="12" t="str">
        <f>LEFT('All Transactions'!$E58,3)</f>
        <v>May</v>
      </c>
      <c r="D58" s="12" t="str">
        <f t="shared" si="1"/>
        <v>2026</v>
      </c>
      <c r="E58" s="16" t="s">
        <v>208</v>
      </c>
      <c r="F58" s="17" t="s">
        <v>108</v>
      </c>
      <c r="G58" s="18" t="s">
        <v>28</v>
      </c>
      <c r="H58" s="19">
        <v>1300</v>
      </c>
      <c r="I58" s="20" t="s">
        <v>10</v>
      </c>
      <c r="J58" s="20" t="s">
        <v>243</v>
      </c>
      <c r="K58" s="21" t="s">
        <v>244</v>
      </c>
      <c r="L58" s="20" t="s">
        <v>32</v>
      </c>
      <c r="M58" t="str">
        <f>TEXT(A58,"dddd")</f>
        <v>Tuesday</v>
      </c>
      <c r="N58" s="35">
        <f>DATE(Table4[[#This Row],[year]],Table4[[#This Row],[month2]],Table4[[#This Row],[day]])</f>
        <v>46173</v>
      </c>
    </row>
    <row r="59" spans="1:14" ht="16" x14ac:dyDescent="0.35">
      <c r="A59" t="str">
        <f t="shared" si="0"/>
        <v>31</v>
      </c>
      <c r="B59">
        <f>_xlfn.SWITCH(Table4[[#This Row],[month]],"jan",1,"feb",2,"mar",3,"apr",4,"may",5,"jun",6,"jul",7,"aug",8,"sep",9,"oct",10,"nov",11,"dec",12,"no month")</f>
        <v>5</v>
      </c>
      <c r="C59" s="12" t="str">
        <f>LEFT('All Transactions'!$E59,3)</f>
        <v>May</v>
      </c>
      <c r="D59" s="12" t="str">
        <f t="shared" si="1"/>
        <v>2026</v>
      </c>
      <c r="E59" s="22" t="s">
        <v>208</v>
      </c>
      <c r="F59" s="23" t="s">
        <v>245</v>
      </c>
      <c r="G59" s="27" t="s">
        <v>54</v>
      </c>
      <c r="H59" s="24">
        <v>2000</v>
      </c>
      <c r="I59" s="25" t="s">
        <v>156</v>
      </c>
      <c r="J59" s="25" t="s">
        <v>246</v>
      </c>
      <c r="K59" s="26" t="s">
        <v>247</v>
      </c>
      <c r="L59" s="25" t="s">
        <v>58</v>
      </c>
      <c r="M59" t="str">
        <f>TEXT(A59,"dddd")</f>
        <v>Tuesday</v>
      </c>
      <c r="N59" s="35">
        <f>DATE(Table4[[#This Row],[year]],Table4[[#This Row],[month2]],Table4[[#This Row],[day]])</f>
        <v>46173</v>
      </c>
    </row>
    <row r="60" spans="1:14" ht="16" x14ac:dyDescent="0.35">
      <c r="A60" t="str">
        <f t="shared" si="0"/>
        <v>31</v>
      </c>
      <c r="B60">
        <f>_xlfn.SWITCH(Table4[[#This Row],[month]],"jan",1,"feb",2,"mar",3,"apr",4,"may",5,"jun",6,"jul",7,"aug",8,"sep",9,"oct",10,"nov",11,"dec",12,"no month")</f>
        <v>5</v>
      </c>
      <c r="C60" s="12" t="str">
        <f>LEFT('All Transactions'!$E60,3)</f>
        <v>May</v>
      </c>
      <c r="D60" s="12" t="str">
        <f t="shared" si="1"/>
        <v>2026</v>
      </c>
      <c r="E60" s="16" t="s">
        <v>208</v>
      </c>
      <c r="F60" s="17" t="s">
        <v>248</v>
      </c>
      <c r="G60" s="18" t="s">
        <v>28</v>
      </c>
      <c r="H60" s="19">
        <v>15</v>
      </c>
      <c r="I60" s="20" t="s">
        <v>249</v>
      </c>
      <c r="J60" s="20" t="s">
        <v>250</v>
      </c>
      <c r="K60" s="21" t="s">
        <v>251</v>
      </c>
      <c r="L60" s="20" t="s">
        <v>32</v>
      </c>
      <c r="M60" t="str">
        <f>TEXT(A60,"dddd")</f>
        <v>Tuesday</v>
      </c>
      <c r="N60" s="35">
        <f>DATE(Table4[[#This Row],[year]],Table4[[#This Row],[month2]],Table4[[#This Row],[day]])</f>
        <v>46173</v>
      </c>
    </row>
    <row r="61" spans="1:14" ht="16" x14ac:dyDescent="0.35">
      <c r="A61" t="str">
        <f t="shared" si="0"/>
        <v>31</v>
      </c>
      <c r="B61">
        <f>_xlfn.SWITCH(Table4[[#This Row],[month]],"jan",1,"feb",2,"mar",3,"apr",4,"may",5,"jun",6,"jul",7,"aug",8,"sep",9,"oct",10,"nov",11,"dec",12,"no month")</f>
        <v>5</v>
      </c>
      <c r="C61" s="12" t="str">
        <f>LEFT('All Transactions'!$E61,3)</f>
        <v>May</v>
      </c>
      <c r="D61" s="12" t="str">
        <f t="shared" si="1"/>
        <v>2026</v>
      </c>
      <c r="E61" s="22" t="s">
        <v>208</v>
      </c>
      <c r="F61" s="23" t="s">
        <v>184</v>
      </c>
      <c r="G61" s="27" t="s">
        <v>54</v>
      </c>
      <c r="H61" s="24">
        <v>51</v>
      </c>
      <c r="I61" s="25" t="s">
        <v>252</v>
      </c>
      <c r="J61" s="25" t="s">
        <v>253</v>
      </c>
      <c r="K61" s="26" t="s">
        <v>254</v>
      </c>
      <c r="L61" s="25" t="s">
        <v>58</v>
      </c>
      <c r="M61" t="str">
        <f>TEXT(A61,"dddd")</f>
        <v>Tuesday</v>
      </c>
      <c r="N61" s="35">
        <f>DATE(Table4[[#This Row],[year]],Table4[[#This Row],[month2]],Table4[[#This Row],[day]])</f>
        <v>46173</v>
      </c>
    </row>
    <row r="62" spans="1:14" ht="16" x14ac:dyDescent="0.35">
      <c r="A62" t="str">
        <f t="shared" si="0"/>
        <v>31</v>
      </c>
      <c r="B62">
        <f>_xlfn.SWITCH(Table4[[#This Row],[month]],"jan",1,"feb",2,"mar",3,"apr",4,"may",5,"jun",6,"jul",7,"aug",8,"sep",9,"oct",10,"nov",11,"dec",12,"no month")</f>
        <v>5</v>
      </c>
      <c r="C62" s="12" t="str">
        <f>LEFT('All Transactions'!$E62,3)</f>
        <v>May</v>
      </c>
      <c r="D62" s="12" t="str">
        <f t="shared" si="1"/>
        <v>2026</v>
      </c>
      <c r="E62" s="16" t="s">
        <v>208</v>
      </c>
      <c r="F62" s="17" t="s">
        <v>255</v>
      </c>
      <c r="G62" s="18" t="s">
        <v>28</v>
      </c>
      <c r="H62" s="19">
        <v>17</v>
      </c>
      <c r="I62" s="20" t="s">
        <v>256</v>
      </c>
      <c r="J62" s="20" t="s">
        <v>257</v>
      </c>
      <c r="K62" s="21" t="s">
        <v>258</v>
      </c>
      <c r="L62" s="20" t="s">
        <v>32</v>
      </c>
      <c r="M62" t="str">
        <f>TEXT(A62,"dddd")</f>
        <v>Tuesday</v>
      </c>
      <c r="N62" s="35">
        <f>DATE(Table4[[#This Row],[year]],Table4[[#This Row],[month2]],Table4[[#This Row],[day]])</f>
        <v>46173</v>
      </c>
    </row>
    <row r="63" spans="1:14" ht="16" x14ac:dyDescent="0.35">
      <c r="A63" t="str">
        <f t="shared" si="0"/>
        <v>31</v>
      </c>
      <c r="B63">
        <f>_xlfn.SWITCH(Table4[[#This Row],[month]],"jan",1,"feb",2,"mar",3,"apr",4,"may",5,"jun",6,"jul",7,"aug",8,"sep",9,"oct",10,"nov",11,"dec",12,"no month")</f>
        <v>5</v>
      </c>
      <c r="C63" s="12" t="str">
        <f>LEFT('All Transactions'!$E63,3)</f>
        <v>May</v>
      </c>
      <c r="D63" s="12" t="str">
        <f t="shared" si="1"/>
        <v>2026</v>
      </c>
      <c r="E63" s="22" t="s">
        <v>208</v>
      </c>
      <c r="F63" s="23" t="s">
        <v>259</v>
      </c>
      <c r="G63" s="18" t="s">
        <v>28</v>
      </c>
      <c r="H63" s="24">
        <v>393</v>
      </c>
      <c r="I63" s="25" t="s">
        <v>256</v>
      </c>
      <c r="J63" s="25" t="s">
        <v>260</v>
      </c>
      <c r="K63" s="26" t="s">
        <v>261</v>
      </c>
      <c r="L63" s="25" t="s">
        <v>32</v>
      </c>
      <c r="M63" t="str">
        <f>TEXT(A63,"dddd")</f>
        <v>Tuesday</v>
      </c>
      <c r="N63" s="35">
        <f>DATE(Table4[[#This Row],[year]],Table4[[#This Row],[month2]],Table4[[#This Row],[day]])</f>
        <v>46173</v>
      </c>
    </row>
    <row r="64" spans="1:14" ht="16" x14ac:dyDescent="0.35">
      <c r="A64" t="str">
        <f t="shared" si="0"/>
        <v>31</v>
      </c>
      <c r="B64">
        <f>_xlfn.SWITCH(Table4[[#This Row],[month]],"jan",1,"feb",2,"mar",3,"apr",4,"may",5,"jun",6,"jul",7,"aug",8,"sep",9,"oct",10,"nov",11,"dec",12,"no month")</f>
        <v>5</v>
      </c>
      <c r="C64" s="12" t="str">
        <f>LEFT('All Transactions'!$E64,3)</f>
        <v>May</v>
      </c>
      <c r="D64" s="12" t="str">
        <f t="shared" si="1"/>
        <v>2026</v>
      </c>
      <c r="E64" s="16" t="s">
        <v>208</v>
      </c>
      <c r="F64" s="17" t="s">
        <v>262</v>
      </c>
      <c r="G64" s="27" t="s">
        <v>54</v>
      </c>
      <c r="H64" s="19">
        <v>132</v>
      </c>
      <c r="I64" s="20" t="s">
        <v>263</v>
      </c>
      <c r="J64" s="20" t="s">
        <v>264</v>
      </c>
      <c r="K64" s="21" t="s">
        <v>265</v>
      </c>
      <c r="L64" s="20" t="s">
        <v>58</v>
      </c>
      <c r="M64" t="str">
        <f>TEXT(A64,"dddd")</f>
        <v>Tuesday</v>
      </c>
      <c r="N64" s="35">
        <f>DATE(Table4[[#This Row],[year]],Table4[[#This Row],[month2]],Table4[[#This Row],[day]])</f>
        <v>46173</v>
      </c>
    </row>
    <row r="65" spans="1:14" ht="16" x14ac:dyDescent="0.35">
      <c r="A65" t="str">
        <f t="shared" si="0"/>
        <v>31</v>
      </c>
      <c r="B65">
        <f>_xlfn.SWITCH(Table4[[#This Row],[month]],"jan",1,"feb",2,"mar",3,"apr",4,"may",5,"jun",6,"jul",7,"aug",8,"sep",9,"oct",10,"nov",11,"dec",12,"no month")</f>
        <v>5</v>
      </c>
      <c r="C65" s="12" t="str">
        <f>LEFT('All Transactions'!$E65,3)</f>
        <v>May</v>
      </c>
      <c r="D65" s="12" t="str">
        <f t="shared" si="1"/>
        <v>2026</v>
      </c>
      <c r="E65" s="22" t="s">
        <v>208</v>
      </c>
      <c r="F65" s="23" t="s">
        <v>266</v>
      </c>
      <c r="G65" s="18" t="s">
        <v>28</v>
      </c>
      <c r="H65" s="24">
        <v>20</v>
      </c>
      <c r="I65" s="25" t="s">
        <v>267</v>
      </c>
      <c r="J65" s="25" t="s">
        <v>268</v>
      </c>
      <c r="K65" s="26" t="s">
        <v>269</v>
      </c>
      <c r="L65" s="25" t="s">
        <v>32</v>
      </c>
      <c r="M65" t="str">
        <f>TEXT(A65,"dddd")</f>
        <v>Tuesday</v>
      </c>
      <c r="N65" s="35">
        <f>DATE(Table4[[#This Row],[year]],Table4[[#This Row],[month2]],Table4[[#This Row],[day]])</f>
        <v>46173</v>
      </c>
    </row>
    <row r="66" spans="1:14" ht="16" x14ac:dyDescent="0.35">
      <c r="A66" t="str">
        <f t="shared" si="0"/>
        <v>31</v>
      </c>
      <c r="B66">
        <f>_xlfn.SWITCH(Table4[[#This Row],[month]],"jan",1,"feb",2,"mar",3,"apr",4,"may",5,"jun",6,"jul",7,"aug",8,"sep",9,"oct",10,"nov",11,"dec",12,"no month")</f>
        <v>5</v>
      </c>
      <c r="C66" s="12" t="str">
        <f>LEFT('All Transactions'!$E66,3)</f>
        <v>May</v>
      </c>
      <c r="D66" s="12" t="str">
        <f t="shared" si="1"/>
        <v>2026</v>
      </c>
      <c r="E66" s="16" t="s">
        <v>208</v>
      </c>
      <c r="F66" s="17" t="s">
        <v>270</v>
      </c>
      <c r="G66" s="18" t="s">
        <v>28</v>
      </c>
      <c r="H66" s="19">
        <v>160</v>
      </c>
      <c r="I66" s="20" t="s">
        <v>271</v>
      </c>
      <c r="J66" s="20" t="s">
        <v>272</v>
      </c>
      <c r="K66" s="21" t="s">
        <v>273</v>
      </c>
      <c r="L66" s="20" t="s">
        <v>32</v>
      </c>
      <c r="M66" t="str">
        <f>TEXT(A66,"dddd")</f>
        <v>Tuesday</v>
      </c>
      <c r="N66" s="35">
        <f>DATE(Table4[[#This Row],[year]],Table4[[#This Row],[month2]],Table4[[#This Row],[day]])</f>
        <v>46173</v>
      </c>
    </row>
    <row r="67" spans="1:14" ht="16" x14ac:dyDescent="0.35">
      <c r="A67" t="str">
        <f t="shared" ref="A67:A130" si="2">MID(E67,5,2)</f>
        <v>30</v>
      </c>
      <c r="B67">
        <f>_xlfn.SWITCH(Table4[[#This Row],[month]],"jan",1,"feb",2,"mar",3,"apr",4,"may",5,"jun",6,"jul",7,"aug",8,"sep",9,"oct",10,"nov",11,"dec",12,"no month")</f>
        <v>5</v>
      </c>
      <c r="C67" s="12" t="str">
        <f>LEFT('All Transactions'!$E67,3)</f>
        <v>May</v>
      </c>
      <c r="D67" s="12" t="str">
        <f t="shared" ref="D67:D130" si="3">RIGHT(E67,4)</f>
        <v>2026</v>
      </c>
      <c r="E67" s="22" t="s">
        <v>274</v>
      </c>
      <c r="F67" s="23" t="s">
        <v>275</v>
      </c>
      <c r="G67" s="27" t="s">
        <v>54</v>
      </c>
      <c r="H67" s="24">
        <v>42</v>
      </c>
      <c r="I67" s="25" t="s">
        <v>276</v>
      </c>
      <c r="J67" s="25" t="s">
        <v>277</v>
      </c>
      <c r="K67" s="26" t="s">
        <v>278</v>
      </c>
      <c r="L67" s="25" t="s">
        <v>58</v>
      </c>
      <c r="M67" t="str">
        <f>TEXT(A67,"dddd")</f>
        <v>Monday</v>
      </c>
      <c r="N67" s="35">
        <f>DATE(Table4[[#This Row],[year]],Table4[[#This Row],[month2]],Table4[[#This Row],[day]])</f>
        <v>46172</v>
      </c>
    </row>
    <row r="68" spans="1:14" ht="16" x14ac:dyDescent="0.35">
      <c r="A68" t="str">
        <f t="shared" si="2"/>
        <v>30</v>
      </c>
      <c r="B68">
        <f>_xlfn.SWITCH(Table4[[#This Row],[month]],"jan",1,"feb",2,"mar",3,"apr",4,"may",5,"jun",6,"jul",7,"aug",8,"sep",9,"oct",10,"nov",11,"dec",12,"no month")</f>
        <v>5</v>
      </c>
      <c r="C68" s="12" t="str">
        <f>LEFT('All Transactions'!$E68,3)</f>
        <v>May</v>
      </c>
      <c r="D68" s="12" t="str">
        <f t="shared" si="3"/>
        <v>2026</v>
      </c>
      <c r="E68" s="16" t="s">
        <v>274</v>
      </c>
      <c r="F68" s="17" t="s">
        <v>216</v>
      </c>
      <c r="G68" s="27" t="s">
        <v>54</v>
      </c>
      <c r="H68" s="19">
        <v>41</v>
      </c>
      <c r="I68" s="20" t="s">
        <v>279</v>
      </c>
      <c r="J68" s="20" t="s">
        <v>280</v>
      </c>
      <c r="K68" s="21" t="s">
        <v>281</v>
      </c>
      <c r="L68" s="20" t="s">
        <v>58</v>
      </c>
      <c r="M68" t="str">
        <f>TEXT(A68,"dddd")</f>
        <v>Monday</v>
      </c>
      <c r="N68" s="35">
        <f>DATE(Table4[[#This Row],[year]],Table4[[#This Row],[month2]],Table4[[#This Row],[day]])</f>
        <v>46172</v>
      </c>
    </row>
    <row r="69" spans="1:14" ht="16" x14ac:dyDescent="0.35">
      <c r="A69" t="str">
        <f t="shared" si="2"/>
        <v>30</v>
      </c>
      <c r="B69">
        <f>_xlfn.SWITCH(Table4[[#This Row],[month]],"jan",1,"feb",2,"mar",3,"apr",4,"may",5,"jun",6,"jul",7,"aug",8,"sep",9,"oct",10,"nov",11,"dec",12,"no month")</f>
        <v>5</v>
      </c>
      <c r="C69" s="12" t="str">
        <f>LEFT('All Transactions'!$E69,3)</f>
        <v>May</v>
      </c>
      <c r="D69" s="12" t="str">
        <f t="shared" si="3"/>
        <v>2026</v>
      </c>
      <c r="E69" s="22" t="s">
        <v>274</v>
      </c>
      <c r="F69" s="23" t="s">
        <v>282</v>
      </c>
      <c r="G69" s="18" t="s">
        <v>28</v>
      </c>
      <c r="H69" s="24">
        <v>19</v>
      </c>
      <c r="I69" s="25" t="s">
        <v>283</v>
      </c>
      <c r="J69" s="25" t="s">
        <v>284</v>
      </c>
      <c r="K69" s="26" t="s">
        <v>285</v>
      </c>
      <c r="L69" s="25" t="s">
        <v>32</v>
      </c>
      <c r="M69" t="str">
        <f>TEXT(A69,"dddd")</f>
        <v>Monday</v>
      </c>
      <c r="N69" s="35">
        <f>DATE(Table4[[#This Row],[year]],Table4[[#This Row],[month2]],Table4[[#This Row],[day]])</f>
        <v>46172</v>
      </c>
    </row>
    <row r="70" spans="1:14" ht="16" x14ac:dyDescent="0.35">
      <c r="A70" t="str">
        <f t="shared" si="2"/>
        <v>30</v>
      </c>
      <c r="B70">
        <f>_xlfn.SWITCH(Table4[[#This Row],[month]],"jan",1,"feb",2,"mar",3,"apr",4,"may",5,"jun",6,"jul",7,"aug",8,"sep",9,"oct",10,"nov",11,"dec",12,"no month")</f>
        <v>5</v>
      </c>
      <c r="C70" s="12" t="str">
        <f>LEFT('All Transactions'!$E70,3)</f>
        <v>May</v>
      </c>
      <c r="D70" s="12" t="str">
        <f t="shared" si="3"/>
        <v>2026</v>
      </c>
      <c r="E70" s="16" t="s">
        <v>274</v>
      </c>
      <c r="F70" s="17" t="s">
        <v>286</v>
      </c>
      <c r="G70" s="27" t="s">
        <v>54</v>
      </c>
      <c r="H70" s="19">
        <v>60</v>
      </c>
      <c r="I70" s="20" t="s">
        <v>89</v>
      </c>
      <c r="J70" s="20" t="s">
        <v>287</v>
      </c>
      <c r="K70" s="21" t="s">
        <v>288</v>
      </c>
      <c r="L70" s="20" t="s">
        <v>58</v>
      </c>
      <c r="M70" t="str">
        <f>TEXT(A70,"dddd")</f>
        <v>Monday</v>
      </c>
      <c r="N70" s="35">
        <f>DATE(Table4[[#This Row],[year]],Table4[[#This Row],[month2]],Table4[[#This Row],[day]])</f>
        <v>46172</v>
      </c>
    </row>
    <row r="71" spans="1:14" ht="16" x14ac:dyDescent="0.35">
      <c r="A71" t="str">
        <f t="shared" si="2"/>
        <v>30</v>
      </c>
      <c r="B71">
        <f>_xlfn.SWITCH(Table4[[#This Row],[month]],"jan",1,"feb",2,"mar",3,"apr",4,"may",5,"jun",6,"jul",7,"aug",8,"sep",9,"oct",10,"nov",11,"dec",12,"no month")</f>
        <v>5</v>
      </c>
      <c r="C71" s="12" t="str">
        <f>LEFT('All Transactions'!$E71,3)</f>
        <v>May</v>
      </c>
      <c r="D71" s="12" t="str">
        <f t="shared" si="3"/>
        <v>2026</v>
      </c>
      <c r="E71" s="22" t="s">
        <v>274</v>
      </c>
      <c r="F71" s="23" t="s">
        <v>289</v>
      </c>
      <c r="G71" s="27" t="s">
        <v>54</v>
      </c>
      <c r="H71" s="24">
        <v>140</v>
      </c>
      <c r="I71" s="25" t="s">
        <v>290</v>
      </c>
      <c r="J71" s="25" t="s">
        <v>291</v>
      </c>
      <c r="K71" s="26" t="s">
        <v>292</v>
      </c>
      <c r="L71" s="25" t="s">
        <v>58</v>
      </c>
      <c r="M71" t="str">
        <f>TEXT(A71,"dddd")</f>
        <v>Monday</v>
      </c>
      <c r="N71" s="35">
        <f>DATE(Table4[[#This Row],[year]],Table4[[#This Row],[month2]],Table4[[#This Row],[day]])</f>
        <v>46172</v>
      </c>
    </row>
    <row r="72" spans="1:14" ht="16" x14ac:dyDescent="0.35">
      <c r="A72" t="str">
        <f t="shared" si="2"/>
        <v>30</v>
      </c>
      <c r="B72">
        <f>_xlfn.SWITCH(Table4[[#This Row],[month]],"jan",1,"feb",2,"mar",3,"apr",4,"may",5,"jun",6,"jul",7,"aug",8,"sep",9,"oct",10,"nov",11,"dec",12,"no month")</f>
        <v>5</v>
      </c>
      <c r="C72" s="12" t="str">
        <f>LEFT('All Transactions'!$E72,3)</f>
        <v>May</v>
      </c>
      <c r="D72" s="12" t="str">
        <f t="shared" si="3"/>
        <v>2026</v>
      </c>
      <c r="E72" s="16" t="s">
        <v>274</v>
      </c>
      <c r="F72" s="17" t="s">
        <v>293</v>
      </c>
      <c r="G72" s="18" t="s">
        <v>28</v>
      </c>
      <c r="H72" s="19">
        <v>5</v>
      </c>
      <c r="I72" s="20" t="s">
        <v>294</v>
      </c>
      <c r="J72" s="20" t="s">
        <v>295</v>
      </c>
      <c r="K72" s="21" t="s">
        <v>296</v>
      </c>
      <c r="L72" s="20" t="s">
        <v>32</v>
      </c>
      <c r="M72" t="str">
        <f>TEXT(A72,"dddd")</f>
        <v>Monday</v>
      </c>
      <c r="N72" s="35">
        <f>DATE(Table4[[#This Row],[year]],Table4[[#This Row],[month2]],Table4[[#This Row],[day]])</f>
        <v>46172</v>
      </c>
    </row>
    <row r="73" spans="1:14" ht="16" x14ac:dyDescent="0.35">
      <c r="A73" t="str">
        <f t="shared" si="2"/>
        <v>30</v>
      </c>
      <c r="B73">
        <f>_xlfn.SWITCH(Table4[[#This Row],[month]],"jan",1,"feb",2,"mar",3,"apr",4,"may",5,"jun",6,"jul",7,"aug",8,"sep",9,"oct",10,"nov",11,"dec",12,"no month")</f>
        <v>5</v>
      </c>
      <c r="C73" s="12" t="str">
        <f>LEFT('All Transactions'!$E73,3)</f>
        <v>May</v>
      </c>
      <c r="D73" s="12" t="str">
        <f t="shared" si="3"/>
        <v>2026</v>
      </c>
      <c r="E73" s="22" t="s">
        <v>274</v>
      </c>
      <c r="F73" s="23" t="s">
        <v>297</v>
      </c>
      <c r="G73" s="27" t="s">
        <v>54</v>
      </c>
      <c r="H73" s="24">
        <v>82</v>
      </c>
      <c r="I73" s="25" t="s">
        <v>298</v>
      </c>
      <c r="J73" s="25" t="s">
        <v>299</v>
      </c>
      <c r="K73" s="26" t="s">
        <v>300</v>
      </c>
      <c r="L73" s="25" t="s">
        <v>58</v>
      </c>
      <c r="M73" t="str">
        <f>TEXT(A73,"dddd")</f>
        <v>Monday</v>
      </c>
      <c r="N73" s="35">
        <f>DATE(Table4[[#This Row],[year]],Table4[[#This Row],[month2]],Table4[[#This Row],[day]])</f>
        <v>46172</v>
      </c>
    </row>
    <row r="74" spans="1:14" ht="16" x14ac:dyDescent="0.35">
      <c r="A74" t="str">
        <f t="shared" si="2"/>
        <v>30</v>
      </c>
      <c r="B74">
        <f>_xlfn.SWITCH(Table4[[#This Row],[month]],"jan",1,"feb",2,"mar",3,"apr",4,"may",5,"jun",6,"jul",7,"aug",8,"sep",9,"oct",10,"nov",11,"dec",12,"no month")</f>
        <v>5</v>
      </c>
      <c r="C74" s="12" t="str">
        <f>LEFT('All Transactions'!$E74,3)</f>
        <v>May</v>
      </c>
      <c r="D74" s="12" t="str">
        <f t="shared" si="3"/>
        <v>2026</v>
      </c>
      <c r="E74" s="16" t="s">
        <v>274</v>
      </c>
      <c r="F74" s="17" t="s">
        <v>301</v>
      </c>
      <c r="G74" s="27" t="s">
        <v>54</v>
      </c>
      <c r="H74" s="19">
        <v>30</v>
      </c>
      <c r="I74" s="20" t="s">
        <v>302</v>
      </c>
      <c r="J74" s="20" t="s">
        <v>303</v>
      </c>
      <c r="K74" s="21" t="s">
        <v>304</v>
      </c>
      <c r="L74" s="20" t="s">
        <v>58</v>
      </c>
      <c r="M74" t="str">
        <f>TEXT(A74,"dddd")</f>
        <v>Monday</v>
      </c>
      <c r="N74" s="35">
        <f>DATE(Table4[[#This Row],[year]],Table4[[#This Row],[month2]],Table4[[#This Row],[day]])</f>
        <v>46172</v>
      </c>
    </row>
    <row r="75" spans="1:14" ht="16" x14ac:dyDescent="0.35">
      <c r="A75" t="str">
        <f t="shared" si="2"/>
        <v>30</v>
      </c>
      <c r="B75">
        <f>_xlfn.SWITCH(Table4[[#This Row],[month]],"jan",1,"feb",2,"mar",3,"apr",4,"may",5,"jun",6,"jul",7,"aug",8,"sep",9,"oct",10,"nov",11,"dec",12,"no month")</f>
        <v>5</v>
      </c>
      <c r="C75" s="12" t="str">
        <f>LEFT('All Transactions'!$E75,3)</f>
        <v>May</v>
      </c>
      <c r="D75" s="12" t="str">
        <f t="shared" si="3"/>
        <v>2026</v>
      </c>
      <c r="E75" s="22" t="s">
        <v>274</v>
      </c>
      <c r="F75" s="23" t="s">
        <v>305</v>
      </c>
      <c r="G75" s="27" t="s">
        <v>54</v>
      </c>
      <c r="H75" s="24">
        <v>85</v>
      </c>
      <c r="I75" s="25" t="s">
        <v>306</v>
      </c>
      <c r="J75" s="25" t="s">
        <v>307</v>
      </c>
      <c r="K75" s="26" t="s">
        <v>308</v>
      </c>
      <c r="L75" s="25" t="s">
        <v>58</v>
      </c>
      <c r="M75" t="str">
        <f>TEXT(A75,"dddd")</f>
        <v>Monday</v>
      </c>
      <c r="N75" s="35">
        <f>DATE(Table4[[#This Row],[year]],Table4[[#This Row],[month2]],Table4[[#This Row],[day]])</f>
        <v>46172</v>
      </c>
    </row>
    <row r="76" spans="1:14" ht="16" x14ac:dyDescent="0.35">
      <c r="A76" t="str">
        <f t="shared" si="2"/>
        <v>30</v>
      </c>
      <c r="B76">
        <f>_xlfn.SWITCH(Table4[[#This Row],[month]],"jan",1,"feb",2,"mar",3,"apr",4,"may",5,"jun",6,"jul",7,"aug",8,"sep",9,"oct",10,"nov",11,"dec",12,"no month")</f>
        <v>5</v>
      </c>
      <c r="C76" s="12" t="str">
        <f>LEFT('All Transactions'!$E76,3)</f>
        <v>May</v>
      </c>
      <c r="D76" s="12" t="str">
        <f t="shared" si="3"/>
        <v>2026</v>
      </c>
      <c r="E76" s="16" t="s">
        <v>274</v>
      </c>
      <c r="F76" s="17" t="s">
        <v>123</v>
      </c>
      <c r="G76" s="18" t="s">
        <v>28</v>
      </c>
      <c r="H76" s="19">
        <v>170</v>
      </c>
      <c r="I76" s="20" t="s">
        <v>309</v>
      </c>
      <c r="J76" s="20" t="s">
        <v>310</v>
      </c>
      <c r="K76" s="21" t="s">
        <v>311</v>
      </c>
      <c r="L76" s="20" t="s">
        <v>32</v>
      </c>
      <c r="M76" t="str">
        <f>TEXT(A76,"dddd")</f>
        <v>Monday</v>
      </c>
      <c r="N76" s="35">
        <f>DATE(Table4[[#This Row],[year]],Table4[[#This Row],[month2]],Table4[[#This Row],[day]])</f>
        <v>46172</v>
      </c>
    </row>
    <row r="77" spans="1:14" ht="16" x14ac:dyDescent="0.35">
      <c r="A77" t="str">
        <f t="shared" si="2"/>
        <v>30</v>
      </c>
      <c r="B77">
        <f>_xlfn.SWITCH(Table4[[#This Row],[month]],"jan",1,"feb",2,"mar",3,"apr",4,"may",5,"jun",6,"jul",7,"aug",8,"sep",9,"oct",10,"nov",11,"dec",12,"no month")</f>
        <v>5</v>
      </c>
      <c r="C77" s="12" t="str">
        <f>LEFT('All Transactions'!$E77,3)</f>
        <v>May</v>
      </c>
      <c r="D77" s="12" t="str">
        <f t="shared" si="3"/>
        <v>2026</v>
      </c>
      <c r="E77" s="22" t="s">
        <v>274</v>
      </c>
      <c r="F77" s="23" t="s">
        <v>312</v>
      </c>
      <c r="G77" s="27" t="s">
        <v>54</v>
      </c>
      <c r="H77" s="24">
        <v>100</v>
      </c>
      <c r="I77" s="25" t="s">
        <v>313</v>
      </c>
      <c r="J77" s="25" t="s">
        <v>314</v>
      </c>
      <c r="K77" s="26" t="s">
        <v>315</v>
      </c>
      <c r="L77" s="25" t="s">
        <v>58</v>
      </c>
      <c r="M77" t="str">
        <f>TEXT(A77,"dddd")</f>
        <v>Monday</v>
      </c>
      <c r="N77" s="35">
        <f>DATE(Table4[[#This Row],[year]],Table4[[#This Row],[month2]],Table4[[#This Row],[day]])</f>
        <v>46172</v>
      </c>
    </row>
    <row r="78" spans="1:14" ht="16" x14ac:dyDescent="0.35">
      <c r="A78" t="str">
        <f t="shared" si="2"/>
        <v>30</v>
      </c>
      <c r="B78">
        <f>_xlfn.SWITCH(Table4[[#This Row],[month]],"jan",1,"feb",2,"mar",3,"apr",4,"may",5,"jun",6,"jul",7,"aug",8,"sep",9,"oct",10,"nov",11,"dec",12,"no month")</f>
        <v>5</v>
      </c>
      <c r="C78" s="12" t="str">
        <f>LEFT('All Transactions'!$E78,3)</f>
        <v>May</v>
      </c>
      <c r="D78" s="12" t="str">
        <f t="shared" si="3"/>
        <v>2026</v>
      </c>
      <c r="E78" s="16" t="s">
        <v>274</v>
      </c>
      <c r="F78" s="17" t="s">
        <v>316</v>
      </c>
      <c r="G78" s="27" t="s">
        <v>54</v>
      </c>
      <c r="H78" s="19">
        <v>133</v>
      </c>
      <c r="I78" s="20" t="s">
        <v>317</v>
      </c>
      <c r="J78" s="20" t="s">
        <v>318</v>
      </c>
      <c r="K78" s="21" t="s">
        <v>319</v>
      </c>
      <c r="L78" s="20" t="s">
        <v>58</v>
      </c>
      <c r="M78" t="str">
        <f>TEXT(A78,"dddd")</f>
        <v>Monday</v>
      </c>
      <c r="N78" s="35">
        <f>DATE(Table4[[#This Row],[year]],Table4[[#This Row],[month2]],Table4[[#This Row],[day]])</f>
        <v>46172</v>
      </c>
    </row>
    <row r="79" spans="1:14" ht="16" x14ac:dyDescent="0.35">
      <c r="A79" t="str">
        <f t="shared" si="2"/>
        <v>30</v>
      </c>
      <c r="B79">
        <f>_xlfn.SWITCH(Table4[[#This Row],[month]],"jan",1,"feb",2,"mar",3,"apr",4,"may",5,"jun",6,"jul",7,"aug",8,"sep",9,"oct",10,"nov",11,"dec",12,"no month")</f>
        <v>5</v>
      </c>
      <c r="C79" s="12" t="str">
        <f>LEFT('All Transactions'!$E79,3)</f>
        <v>May</v>
      </c>
      <c r="D79" s="12" t="str">
        <f t="shared" si="3"/>
        <v>2026</v>
      </c>
      <c r="E79" s="22" t="s">
        <v>274</v>
      </c>
      <c r="F79" s="23" t="s">
        <v>320</v>
      </c>
      <c r="G79" s="27" t="s">
        <v>54</v>
      </c>
      <c r="H79" s="24">
        <v>71</v>
      </c>
      <c r="I79" s="25" t="s">
        <v>321</v>
      </c>
      <c r="J79" s="25" t="s">
        <v>322</v>
      </c>
      <c r="K79" s="26" t="s">
        <v>323</v>
      </c>
      <c r="L79" s="25" t="s">
        <v>58</v>
      </c>
      <c r="M79" t="str">
        <f>TEXT(A79,"dddd")</f>
        <v>Monday</v>
      </c>
      <c r="N79" s="35">
        <f>DATE(Table4[[#This Row],[year]],Table4[[#This Row],[month2]],Table4[[#This Row],[day]])</f>
        <v>46172</v>
      </c>
    </row>
    <row r="80" spans="1:14" ht="16" x14ac:dyDescent="0.35">
      <c r="A80" t="str">
        <f t="shared" si="2"/>
        <v>30</v>
      </c>
      <c r="B80">
        <f>_xlfn.SWITCH(Table4[[#This Row],[month]],"jan",1,"feb",2,"mar",3,"apr",4,"may",5,"jun",6,"jul",7,"aug",8,"sep",9,"oct",10,"nov",11,"dec",12,"no month")</f>
        <v>5</v>
      </c>
      <c r="C80" s="12" t="str">
        <f>LEFT('All Transactions'!$E80,3)</f>
        <v>May</v>
      </c>
      <c r="D80" s="12" t="str">
        <f t="shared" si="3"/>
        <v>2026</v>
      </c>
      <c r="E80" s="16" t="s">
        <v>274</v>
      </c>
      <c r="F80" s="17" t="s">
        <v>324</v>
      </c>
      <c r="G80" s="18" t="s">
        <v>28</v>
      </c>
      <c r="H80" s="19">
        <v>10</v>
      </c>
      <c r="I80" s="20" t="s">
        <v>325</v>
      </c>
      <c r="J80" s="20" t="s">
        <v>326</v>
      </c>
      <c r="K80" s="21" t="s">
        <v>327</v>
      </c>
      <c r="L80" s="20" t="s">
        <v>32</v>
      </c>
      <c r="M80" t="str">
        <f>TEXT(A80,"dddd")</f>
        <v>Monday</v>
      </c>
      <c r="N80" s="35">
        <f>DATE(Table4[[#This Row],[year]],Table4[[#This Row],[month2]],Table4[[#This Row],[day]])</f>
        <v>46172</v>
      </c>
    </row>
    <row r="81" spans="1:14" ht="16" x14ac:dyDescent="0.35">
      <c r="A81" t="str">
        <f t="shared" si="2"/>
        <v>30</v>
      </c>
      <c r="B81">
        <f>_xlfn.SWITCH(Table4[[#This Row],[month]],"jan",1,"feb",2,"mar",3,"apr",4,"may",5,"jun",6,"jul",7,"aug",8,"sep",9,"oct",10,"nov",11,"dec",12,"no month")</f>
        <v>5</v>
      </c>
      <c r="C81" s="12" t="str">
        <f>LEFT('All Transactions'!$E81,3)</f>
        <v>May</v>
      </c>
      <c r="D81" s="12" t="str">
        <f t="shared" si="3"/>
        <v>2026</v>
      </c>
      <c r="E81" s="22" t="s">
        <v>274</v>
      </c>
      <c r="F81" s="23" t="s">
        <v>328</v>
      </c>
      <c r="G81" s="18" t="s">
        <v>28</v>
      </c>
      <c r="H81" s="24">
        <v>7</v>
      </c>
      <c r="I81" s="25" t="s">
        <v>201</v>
      </c>
      <c r="J81" s="25" t="s">
        <v>329</v>
      </c>
      <c r="K81" s="26" t="s">
        <v>330</v>
      </c>
      <c r="L81" s="25" t="s">
        <v>32</v>
      </c>
      <c r="M81" t="str">
        <f>TEXT(A81,"dddd")</f>
        <v>Monday</v>
      </c>
      <c r="N81" s="35">
        <f>DATE(Table4[[#This Row],[year]],Table4[[#This Row],[month2]],Table4[[#This Row],[day]])</f>
        <v>46172</v>
      </c>
    </row>
    <row r="82" spans="1:14" ht="16" x14ac:dyDescent="0.35">
      <c r="A82" t="str">
        <f t="shared" si="2"/>
        <v>30</v>
      </c>
      <c r="B82">
        <f>_xlfn.SWITCH(Table4[[#This Row],[month]],"jan",1,"feb",2,"mar",3,"apr",4,"may",5,"jun",6,"jul",7,"aug",8,"sep",9,"oct",10,"nov",11,"dec",12,"no month")</f>
        <v>5</v>
      </c>
      <c r="C82" s="12" t="str">
        <f>LEFT('All Transactions'!$E82,3)</f>
        <v>May</v>
      </c>
      <c r="D82" s="12" t="str">
        <f t="shared" si="3"/>
        <v>2026</v>
      </c>
      <c r="E82" s="16" t="s">
        <v>274</v>
      </c>
      <c r="F82" s="17" t="s">
        <v>331</v>
      </c>
      <c r="G82" s="18" t="s">
        <v>28</v>
      </c>
      <c r="H82" s="19">
        <v>30</v>
      </c>
      <c r="I82" s="20" t="s">
        <v>201</v>
      </c>
      <c r="J82" s="20" t="s">
        <v>332</v>
      </c>
      <c r="K82" s="21" t="s">
        <v>333</v>
      </c>
      <c r="L82" s="20" t="s">
        <v>32</v>
      </c>
      <c r="M82" t="str">
        <f>TEXT(A82,"dddd")</f>
        <v>Monday</v>
      </c>
      <c r="N82" s="35">
        <f>DATE(Table4[[#This Row],[year]],Table4[[#This Row],[month2]],Table4[[#This Row],[day]])</f>
        <v>46172</v>
      </c>
    </row>
    <row r="83" spans="1:14" ht="16" x14ac:dyDescent="0.35">
      <c r="A83" t="str">
        <f t="shared" si="2"/>
        <v>29</v>
      </c>
      <c r="B83">
        <f>_xlfn.SWITCH(Table4[[#This Row],[month]],"jan",1,"feb",2,"mar",3,"apr",4,"may",5,"jun",6,"jul",7,"aug",8,"sep",9,"oct",10,"nov",11,"dec",12,"no month")</f>
        <v>5</v>
      </c>
      <c r="C83" s="12" t="str">
        <f>LEFT('All Transactions'!$E83,3)</f>
        <v>May</v>
      </c>
      <c r="D83" s="12" t="str">
        <f t="shared" si="3"/>
        <v>2026</v>
      </c>
      <c r="E83" s="22" t="s">
        <v>334</v>
      </c>
      <c r="F83" s="23" t="s">
        <v>335</v>
      </c>
      <c r="G83" s="18" t="s">
        <v>28</v>
      </c>
      <c r="H83" s="24">
        <v>143.97999999999999</v>
      </c>
      <c r="I83" s="25" t="s">
        <v>336</v>
      </c>
      <c r="J83" s="25" t="s">
        <v>337</v>
      </c>
      <c r="K83" s="26" t="s">
        <v>338</v>
      </c>
      <c r="L83" s="25" t="s">
        <v>32</v>
      </c>
      <c r="M83" t="str">
        <f>TEXT(A83,"dddd")</f>
        <v>Sunday</v>
      </c>
      <c r="N83" s="35">
        <f>DATE(Table4[[#This Row],[year]],Table4[[#This Row],[month2]],Table4[[#This Row],[day]])</f>
        <v>46171</v>
      </c>
    </row>
    <row r="84" spans="1:14" ht="16" x14ac:dyDescent="0.35">
      <c r="A84" t="str">
        <f t="shared" si="2"/>
        <v>29</v>
      </c>
      <c r="B84">
        <f>_xlfn.SWITCH(Table4[[#This Row],[month]],"jan",1,"feb",2,"mar",3,"apr",4,"may",5,"jun",6,"jul",7,"aug",8,"sep",9,"oct",10,"nov",11,"dec",12,"no month")</f>
        <v>5</v>
      </c>
      <c r="C84" s="12" t="str">
        <f>LEFT('All Transactions'!$E84,3)</f>
        <v>May</v>
      </c>
      <c r="D84" s="12" t="str">
        <f t="shared" si="3"/>
        <v>2026</v>
      </c>
      <c r="E84" s="16" t="s">
        <v>334</v>
      </c>
      <c r="F84" s="17" t="s">
        <v>339</v>
      </c>
      <c r="G84" s="27" t="s">
        <v>54</v>
      </c>
      <c r="H84" s="19">
        <v>43</v>
      </c>
      <c r="I84" s="20" t="s">
        <v>340</v>
      </c>
      <c r="J84" s="20" t="s">
        <v>341</v>
      </c>
      <c r="K84" s="21" t="s">
        <v>342</v>
      </c>
      <c r="L84" s="20" t="s">
        <v>58</v>
      </c>
      <c r="M84" t="str">
        <f>TEXT(A84,"dddd")</f>
        <v>Sunday</v>
      </c>
      <c r="N84" s="35">
        <f>DATE(Table4[[#This Row],[year]],Table4[[#This Row],[month2]],Table4[[#This Row],[day]])</f>
        <v>46171</v>
      </c>
    </row>
    <row r="85" spans="1:14" ht="16" x14ac:dyDescent="0.35">
      <c r="A85" t="str">
        <f t="shared" si="2"/>
        <v>29</v>
      </c>
      <c r="B85">
        <f>_xlfn.SWITCH(Table4[[#This Row],[month]],"jan",1,"feb",2,"mar",3,"apr",4,"may",5,"jun",6,"jul",7,"aug",8,"sep",9,"oct",10,"nov",11,"dec",12,"no month")</f>
        <v>5</v>
      </c>
      <c r="C85" s="12" t="str">
        <f>LEFT('All Transactions'!$E85,3)</f>
        <v>May</v>
      </c>
      <c r="D85" s="12" t="str">
        <f t="shared" si="3"/>
        <v>2026</v>
      </c>
      <c r="E85" s="22" t="s">
        <v>334</v>
      </c>
      <c r="F85" s="23" t="s">
        <v>343</v>
      </c>
      <c r="G85" s="27" t="s">
        <v>54</v>
      </c>
      <c r="H85" s="24">
        <v>67</v>
      </c>
      <c r="I85" s="25" t="s">
        <v>89</v>
      </c>
      <c r="J85" s="25" t="s">
        <v>344</v>
      </c>
      <c r="K85" s="26" t="s">
        <v>345</v>
      </c>
      <c r="L85" s="25" t="s">
        <v>58</v>
      </c>
      <c r="M85" t="str">
        <f>TEXT(A85,"dddd")</f>
        <v>Sunday</v>
      </c>
      <c r="N85" s="35">
        <f>DATE(Table4[[#This Row],[year]],Table4[[#This Row],[month2]],Table4[[#This Row],[day]])</f>
        <v>46171</v>
      </c>
    </row>
    <row r="86" spans="1:14" ht="16" x14ac:dyDescent="0.35">
      <c r="A86" t="str">
        <f t="shared" si="2"/>
        <v>29</v>
      </c>
      <c r="B86">
        <f>_xlfn.SWITCH(Table4[[#This Row],[month]],"jan",1,"feb",2,"mar",3,"apr",4,"may",5,"jun",6,"jul",7,"aug",8,"sep",9,"oct",10,"nov",11,"dec",12,"no month")</f>
        <v>5</v>
      </c>
      <c r="C86" s="12" t="str">
        <f>LEFT('All Transactions'!$E86,3)</f>
        <v>May</v>
      </c>
      <c r="D86" s="12" t="str">
        <f t="shared" si="3"/>
        <v>2026</v>
      </c>
      <c r="E86" s="16" t="s">
        <v>334</v>
      </c>
      <c r="F86" s="17" t="s">
        <v>346</v>
      </c>
      <c r="G86" s="27" t="s">
        <v>54</v>
      </c>
      <c r="H86" s="19">
        <v>80</v>
      </c>
      <c r="I86" s="20" t="s">
        <v>347</v>
      </c>
      <c r="J86" s="20" t="s">
        <v>348</v>
      </c>
      <c r="K86" s="21" t="s">
        <v>349</v>
      </c>
      <c r="L86" s="20" t="s">
        <v>58</v>
      </c>
      <c r="M86" t="str">
        <f>TEXT(A86,"dddd")</f>
        <v>Sunday</v>
      </c>
      <c r="N86" s="35">
        <f>DATE(Table4[[#This Row],[year]],Table4[[#This Row],[month2]],Table4[[#This Row],[day]])</f>
        <v>46171</v>
      </c>
    </row>
    <row r="87" spans="1:14" ht="16" x14ac:dyDescent="0.35">
      <c r="A87" t="str">
        <f t="shared" si="2"/>
        <v>29</v>
      </c>
      <c r="B87">
        <f>_xlfn.SWITCH(Table4[[#This Row],[month]],"jan",1,"feb",2,"mar",3,"apr",4,"may",5,"jun",6,"jul",7,"aug",8,"sep",9,"oct",10,"nov",11,"dec",12,"no month")</f>
        <v>5</v>
      </c>
      <c r="C87" s="12" t="str">
        <f>LEFT('All Transactions'!$E87,3)</f>
        <v>May</v>
      </c>
      <c r="D87" s="12" t="str">
        <f t="shared" si="3"/>
        <v>2026</v>
      </c>
      <c r="E87" s="22" t="s">
        <v>334</v>
      </c>
      <c r="F87" s="23" t="s">
        <v>350</v>
      </c>
      <c r="G87" s="27" t="s">
        <v>54</v>
      </c>
      <c r="H87" s="24">
        <v>91</v>
      </c>
      <c r="I87" s="25" t="s">
        <v>351</v>
      </c>
      <c r="J87" s="25" t="s">
        <v>352</v>
      </c>
      <c r="K87" s="26" t="s">
        <v>353</v>
      </c>
      <c r="L87" s="25" t="s">
        <v>58</v>
      </c>
      <c r="M87" t="str">
        <f>TEXT(A87,"dddd")</f>
        <v>Sunday</v>
      </c>
      <c r="N87" s="35">
        <f>DATE(Table4[[#This Row],[year]],Table4[[#This Row],[month2]],Table4[[#This Row],[day]])</f>
        <v>46171</v>
      </c>
    </row>
    <row r="88" spans="1:14" ht="16" x14ac:dyDescent="0.35">
      <c r="A88" t="str">
        <f t="shared" si="2"/>
        <v>29</v>
      </c>
      <c r="B88">
        <f>_xlfn.SWITCH(Table4[[#This Row],[month]],"jan",1,"feb",2,"mar",3,"apr",4,"may",5,"jun",6,"jul",7,"aug",8,"sep",9,"oct",10,"nov",11,"dec",12,"no month")</f>
        <v>5</v>
      </c>
      <c r="C88" s="12" t="str">
        <f>LEFT('All Transactions'!$E88,3)</f>
        <v>May</v>
      </c>
      <c r="D88" s="12" t="str">
        <f t="shared" si="3"/>
        <v>2026</v>
      </c>
      <c r="E88" s="16" t="s">
        <v>334</v>
      </c>
      <c r="F88" s="17" t="s">
        <v>354</v>
      </c>
      <c r="G88" s="27" t="s">
        <v>54</v>
      </c>
      <c r="H88" s="19">
        <v>70</v>
      </c>
      <c r="I88" s="20" t="s">
        <v>355</v>
      </c>
      <c r="J88" s="20" t="s">
        <v>356</v>
      </c>
      <c r="K88" s="21" t="s">
        <v>357</v>
      </c>
      <c r="L88" s="20" t="s">
        <v>58</v>
      </c>
      <c r="M88" t="str">
        <f>TEXT(A88,"dddd")</f>
        <v>Sunday</v>
      </c>
      <c r="N88" s="35">
        <f>DATE(Table4[[#This Row],[year]],Table4[[#This Row],[month2]],Table4[[#This Row],[day]])</f>
        <v>46171</v>
      </c>
    </row>
    <row r="89" spans="1:14" ht="16" x14ac:dyDescent="0.35">
      <c r="A89" t="str">
        <f t="shared" si="2"/>
        <v>29</v>
      </c>
      <c r="B89">
        <f>_xlfn.SWITCH(Table4[[#This Row],[month]],"jan",1,"feb",2,"mar",3,"apr",4,"may",5,"jun",6,"jul",7,"aug",8,"sep",9,"oct",10,"nov",11,"dec",12,"no month")</f>
        <v>5</v>
      </c>
      <c r="C89" s="12" t="str">
        <f>LEFT('All Transactions'!$E89,3)</f>
        <v>May</v>
      </c>
      <c r="D89" s="12" t="str">
        <f t="shared" si="3"/>
        <v>2026</v>
      </c>
      <c r="E89" s="22" t="s">
        <v>334</v>
      </c>
      <c r="F89" s="23" t="s">
        <v>358</v>
      </c>
      <c r="G89" s="18" t="s">
        <v>28</v>
      </c>
      <c r="H89" s="24">
        <v>38.5</v>
      </c>
      <c r="I89" s="25" t="s">
        <v>359</v>
      </c>
      <c r="J89" s="25" t="s">
        <v>360</v>
      </c>
      <c r="K89" s="26" t="s">
        <v>361</v>
      </c>
      <c r="L89" s="25" t="s">
        <v>32</v>
      </c>
      <c r="M89" t="str">
        <f>TEXT(A89,"dddd")</f>
        <v>Sunday</v>
      </c>
      <c r="N89" s="35">
        <f>DATE(Table4[[#This Row],[year]],Table4[[#This Row],[month2]],Table4[[#This Row],[day]])</f>
        <v>46171</v>
      </c>
    </row>
    <row r="90" spans="1:14" ht="16" x14ac:dyDescent="0.35">
      <c r="A90" t="str">
        <f t="shared" si="2"/>
        <v>29</v>
      </c>
      <c r="B90">
        <f>_xlfn.SWITCH(Table4[[#This Row],[month]],"jan",1,"feb",2,"mar",3,"apr",4,"may",5,"jun",6,"jul",7,"aug",8,"sep",9,"oct",10,"nov",11,"dec",12,"no month")</f>
        <v>5</v>
      </c>
      <c r="C90" s="12" t="str">
        <f>LEFT('All Transactions'!$E90,3)</f>
        <v>May</v>
      </c>
      <c r="D90" s="12" t="str">
        <f t="shared" si="3"/>
        <v>2026</v>
      </c>
      <c r="E90" s="16" t="s">
        <v>334</v>
      </c>
      <c r="F90" s="17" t="s">
        <v>362</v>
      </c>
      <c r="G90" s="27" t="s">
        <v>54</v>
      </c>
      <c r="H90" s="19">
        <v>120</v>
      </c>
      <c r="I90" s="20" t="s">
        <v>252</v>
      </c>
      <c r="J90" s="20" t="s">
        <v>363</v>
      </c>
      <c r="K90" s="21" t="s">
        <v>364</v>
      </c>
      <c r="L90" s="20" t="s">
        <v>58</v>
      </c>
      <c r="M90" t="str">
        <f>TEXT(A90,"dddd")</f>
        <v>Sunday</v>
      </c>
      <c r="N90" s="35">
        <f>DATE(Table4[[#This Row],[year]],Table4[[#This Row],[month2]],Table4[[#This Row],[day]])</f>
        <v>46171</v>
      </c>
    </row>
    <row r="91" spans="1:14" ht="16" x14ac:dyDescent="0.35">
      <c r="A91" t="str">
        <f t="shared" si="2"/>
        <v>29</v>
      </c>
      <c r="B91">
        <f>_xlfn.SWITCH(Table4[[#This Row],[month]],"jan",1,"feb",2,"mar",3,"apr",4,"may",5,"jun",6,"jul",7,"aug",8,"sep",9,"oct",10,"nov",11,"dec",12,"no month")</f>
        <v>5</v>
      </c>
      <c r="C91" s="12" t="str">
        <f>LEFT('All Transactions'!$E91,3)</f>
        <v>May</v>
      </c>
      <c r="D91" s="12" t="str">
        <f t="shared" si="3"/>
        <v>2026</v>
      </c>
      <c r="E91" s="22" t="s">
        <v>334</v>
      </c>
      <c r="F91" s="23" t="s">
        <v>365</v>
      </c>
      <c r="G91" s="27" t="s">
        <v>54</v>
      </c>
      <c r="H91" s="24">
        <v>110</v>
      </c>
      <c r="I91" s="25" t="s">
        <v>156</v>
      </c>
      <c r="J91" s="25" t="s">
        <v>366</v>
      </c>
      <c r="K91" s="26" t="s">
        <v>367</v>
      </c>
      <c r="L91" s="25" t="s">
        <v>58</v>
      </c>
      <c r="M91" t="str">
        <f>TEXT(A91,"dddd")</f>
        <v>Sunday</v>
      </c>
      <c r="N91" s="35">
        <f>DATE(Table4[[#This Row],[year]],Table4[[#This Row],[month2]],Table4[[#This Row],[day]])</f>
        <v>46171</v>
      </c>
    </row>
    <row r="92" spans="1:14" ht="16" x14ac:dyDescent="0.35">
      <c r="A92" t="str">
        <f t="shared" si="2"/>
        <v>29</v>
      </c>
      <c r="B92">
        <f>_xlfn.SWITCH(Table4[[#This Row],[month]],"jan",1,"feb",2,"mar",3,"apr",4,"may",5,"jun",6,"jul",7,"aug",8,"sep",9,"oct",10,"nov",11,"dec",12,"no month")</f>
        <v>5</v>
      </c>
      <c r="C92" s="12" t="str">
        <f>LEFT('All Transactions'!$E92,3)</f>
        <v>May</v>
      </c>
      <c r="D92" s="12" t="str">
        <f t="shared" si="3"/>
        <v>2026</v>
      </c>
      <c r="E92" s="16" t="s">
        <v>334</v>
      </c>
      <c r="F92" s="17" t="s">
        <v>368</v>
      </c>
      <c r="G92" s="27" t="s">
        <v>54</v>
      </c>
      <c r="H92" s="19">
        <v>7600</v>
      </c>
      <c r="I92" s="20" t="s">
        <v>143</v>
      </c>
      <c r="J92" s="20" t="s">
        <v>369</v>
      </c>
      <c r="K92" s="21" t="s">
        <v>370</v>
      </c>
      <c r="L92" s="20" t="s">
        <v>58</v>
      </c>
      <c r="M92" t="str">
        <f>TEXT(A92,"dddd")</f>
        <v>Sunday</v>
      </c>
      <c r="N92" s="35">
        <f>DATE(Table4[[#This Row],[year]],Table4[[#This Row],[month2]],Table4[[#This Row],[day]])</f>
        <v>46171</v>
      </c>
    </row>
    <row r="93" spans="1:14" ht="16" x14ac:dyDescent="0.35">
      <c r="A93" t="str">
        <f t="shared" si="2"/>
        <v>29</v>
      </c>
      <c r="B93">
        <f>_xlfn.SWITCH(Table4[[#This Row],[month]],"jan",1,"feb",2,"mar",3,"apr",4,"may",5,"jun",6,"jul",7,"aug",8,"sep",9,"oct",10,"nov",11,"dec",12,"no month")</f>
        <v>5</v>
      </c>
      <c r="C93" s="12" t="str">
        <f>LEFT('All Transactions'!$E93,3)</f>
        <v>May</v>
      </c>
      <c r="D93" s="12" t="str">
        <f t="shared" si="3"/>
        <v>2026</v>
      </c>
      <c r="E93" s="22" t="s">
        <v>334</v>
      </c>
      <c r="F93" s="23" t="s">
        <v>66</v>
      </c>
      <c r="G93" s="18" t="s">
        <v>28</v>
      </c>
      <c r="H93" s="24">
        <v>10</v>
      </c>
      <c r="I93" s="25" t="s">
        <v>191</v>
      </c>
      <c r="J93" s="25" t="s">
        <v>371</v>
      </c>
      <c r="K93" s="26" t="s">
        <v>372</v>
      </c>
      <c r="L93" s="25" t="s">
        <v>32</v>
      </c>
      <c r="M93" t="str">
        <f>TEXT(A93,"dddd")</f>
        <v>Sunday</v>
      </c>
      <c r="N93" s="35">
        <f>DATE(Table4[[#This Row],[year]],Table4[[#This Row],[month2]],Table4[[#This Row],[day]])</f>
        <v>46171</v>
      </c>
    </row>
    <row r="94" spans="1:14" ht="16" x14ac:dyDescent="0.35">
      <c r="A94" t="str">
        <f t="shared" si="2"/>
        <v>29</v>
      </c>
      <c r="B94">
        <f>_xlfn.SWITCH(Table4[[#This Row],[month]],"jan",1,"feb",2,"mar",3,"apr",4,"may",5,"jun",6,"jul",7,"aug",8,"sep",9,"oct",10,"nov",11,"dec",12,"no month")</f>
        <v>5</v>
      </c>
      <c r="C94" s="12" t="str">
        <f>LEFT('All Transactions'!$E94,3)</f>
        <v>May</v>
      </c>
      <c r="D94" s="12" t="str">
        <f t="shared" si="3"/>
        <v>2026</v>
      </c>
      <c r="E94" s="16" t="s">
        <v>334</v>
      </c>
      <c r="F94" s="17" t="s">
        <v>373</v>
      </c>
      <c r="G94" s="18" t="s">
        <v>28</v>
      </c>
      <c r="H94" s="19">
        <v>60</v>
      </c>
      <c r="I94" s="20" t="s">
        <v>374</v>
      </c>
      <c r="J94" s="20" t="s">
        <v>375</v>
      </c>
      <c r="K94" s="21" t="s">
        <v>376</v>
      </c>
      <c r="L94" s="20" t="s">
        <v>32</v>
      </c>
      <c r="M94" t="str">
        <f>TEXT(A94,"dddd")</f>
        <v>Sunday</v>
      </c>
      <c r="N94" s="35">
        <f>DATE(Table4[[#This Row],[year]],Table4[[#This Row],[month2]],Table4[[#This Row],[day]])</f>
        <v>46171</v>
      </c>
    </row>
    <row r="95" spans="1:14" ht="16" x14ac:dyDescent="0.35">
      <c r="A95" t="str">
        <f t="shared" si="2"/>
        <v>29</v>
      </c>
      <c r="B95">
        <f>_xlfn.SWITCH(Table4[[#This Row],[month]],"jan",1,"feb",2,"mar",3,"apr",4,"may",5,"jun",6,"jul",7,"aug",8,"sep",9,"oct",10,"nov",11,"dec",12,"no month")</f>
        <v>5</v>
      </c>
      <c r="C95" s="12" t="str">
        <f>LEFT('All Transactions'!$E95,3)</f>
        <v>May</v>
      </c>
      <c r="D95" s="12" t="str">
        <f t="shared" si="3"/>
        <v>2026</v>
      </c>
      <c r="E95" s="22" t="s">
        <v>334</v>
      </c>
      <c r="F95" s="23" t="s">
        <v>377</v>
      </c>
      <c r="G95" s="27" t="s">
        <v>54</v>
      </c>
      <c r="H95" s="24">
        <v>100</v>
      </c>
      <c r="I95" s="25" t="s">
        <v>156</v>
      </c>
      <c r="J95" s="25" t="s">
        <v>378</v>
      </c>
      <c r="K95" s="26" t="s">
        <v>379</v>
      </c>
      <c r="L95" s="25" t="s">
        <v>58</v>
      </c>
      <c r="M95" t="str">
        <f>TEXT(A95,"dddd")</f>
        <v>Sunday</v>
      </c>
      <c r="N95" s="35">
        <f>DATE(Table4[[#This Row],[year]],Table4[[#This Row],[month2]],Table4[[#This Row],[day]])</f>
        <v>46171</v>
      </c>
    </row>
    <row r="96" spans="1:14" ht="16" x14ac:dyDescent="0.35">
      <c r="A96" t="str">
        <f t="shared" si="2"/>
        <v>29</v>
      </c>
      <c r="B96">
        <f>_xlfn.SWITCH(Table4[[#This Row],[month]],"jan",1,"feb",2,"mar",3,"apr",4,"may",5,"jun",6,"jul",7,"aug",8,"sep",9,"oct",10,"nov",11,"dec",12,"no month")</f>
        <v>5</v>
      </c>
      <c r="C96" s="12" t="str">
        <f>LEFT('All Transactions'!$E96,3)</f>
        <v>May</v>
      </c>
      <c r="D96" s="12" t="str">
        <f t="shared" si="3"/>
        <v>2026</v>
      </c>
      <c r="E96" s="16" t="s">
        <v>334</v>
      </c>
      <c r="F96" s="17" t="s">
        <v>380</v>
      </c>
      <c r="G96" s="18" t="s">
        <v>28</v>
      </c>
      <c r="H96" s="19">
        <v>30</v>
      </c>
      <c r="I96" s="20" t="s">
        <v>191</v>
      </c>
      <c r="J96" s="20" t="s">
        <v>381</v>
      </c>
      <c r="K96" s="21" t="s">
        <v>382</v>
      </c>
      <c r="L96" s="20" t="s">
        <v>32</v>
      </c>
      <c r="M96" t="str">
        <f>TEXT(A96,"dddd")</f>
        <v>Sunday</v>
      </c>
      <c r="N96" s="35">
        <f>DATE(Table4[[#This Row],[year]],Table4[[#This Row],[month2]],Table4[[#This Row],[day]])</f>
        <v>46171</v>
      </c>
    </row>
    <row r="97" spans="1:14" ht="16" x14ac:dyDescent="0.35">
      <c r="A97" t="str">
        <f t="shared" si="2"/>
        <v>29</v>
      </c>
      <c r="B97">
        <f>_xlfn.SWITCH(Table4[[#This Row],[month]],"jan",1,"feb",2,"mar",3,"apr",4,"may",5,"jun",6,"jul",7,"aug",8,"sep",9,"oct",10,"nov",11,"dec",12,"no month")</f>
        <v>5</v>
      </c>
      <c r="C97" s="12" t="str">
        <f>LEFT('All Transactions'!$E97,3)</f>
        <v>May</v>
      </c>
      <c r="D97" s="12" t="str">
        <f t="shared" si="3"/>
        <v>2026</v>
      </c>
      <c r="E97" s="22" t="s">
        <v>334</v>
      </c>
      <c r="F97" s="23" t="s">
        <v>383</v>
      </c>
      <c r="G97" s="18" t="s">
        <v>28</v>
      </c>
      <c r="H97" s="24">
        <v>40</v>
      </c>
      <c r="I97" s="25" t="s">
        <v>384</v>
      </c>
      <c r="J97" s="25" t="s">
        <v>385</v>
      </c>
      <c r="K97" s="26" t="s">
        <v>386</v>
      </c>
      <c r="L97" s="25" t="s">
        <v>32</v>
      </c>
      <c r="M97" t="str">
        <f>TEXT(A97,"dddd")</f>
        <v>Sunday</v>
      </c>
      <c r="N97" s="35">
        <f>DATE(Table4[[#This Row],[year]],Table4[[#This Row],[month2]],Table4[[#This Row],[day]])</f>
        <v>46171</v>
      </c>
    </row>
    <row r="98" spans="1:14" ht="16" x14ac:dyDescent="0.35">
      <c r="A98" t="str">
        <f t="shared" si="2"/>
        <v>28</v>
      </c>
      <c r="B98">
        <f>_xlfn.SWITCH(Table4[[#This Row],[month]],"jan",1,"feb",2,"mar",3,"apr",4,"may",5,"jun",6,"jul",7,"aug",8,"sep",9,"oct",10,"nov",11,"dec",12,"no month")</f>
        <v>5</v>
      </c>
      <c r="C98" s="12" t="str">
        <f>LEFT('All Transactions'!$E98,3)</f>
        <v>May</v>
      </c>
      <c r="D98" s="12" t="str">
        <f t="shared" si="3"/>
        <v>2026</v>
      </c>
      <c r="E98" s="16" t="s">
        <v>387</v>
      </c>
      <c r="F98" s="17" t="s">
        <v>388</v>
      </c>
      <c r="G98" s="18" t="s">
        <v>28</v>
      </c>
      <c r="H98" s="19">
        <v>10</v>
      </c>
      <c r="I98" s="20" t="s">
        <v>325</v>
      </c>
      <c r="J98" s="20" t="s">
        <v>389</v>
      </c>
      <c r="K98" s="21" t="s">
        <v>390</v>
      </c>
      <c r="L98" s="20" t="s">
        <v>32</v>
      </c>
      <c r="M98" t="str">
        <f>TEXT(A98,"dddd")</f>
        <v>Saturday</v>
      </c>
      <c r="N98" s="35">
        <f>DATE(Table4[[#This Row],[year]],Table4[[#This Row],[month2]],Table4[[#This Row],[day]])</f>
        <v>46170</v>
      </c>
    </row>
    <row r="99" spans="1:14" ht="16" x14ac:dyDescent="0.35">
      <c r="A99" t="str">
        <f t="shared" si="2"/>
        <v>28</v>
      </c>
      <c r="B99">
        <f>_xlfn.SWITCH(Table4[[#This Row],[month]],"jan",1,"feb",2,"mar",3,"apr",4,"may",5,"jun",6,"jul",7,"aug",8,"sep",9,"oct",10,"nov",11,"dec",12,"no month")</f>
        <v>5</v>
      </c>
      <c r="C99" s="12" t="str">
        <f>LEFT('All Transactions'!$E99,3)</f>
        <v>May</v>
      </c>
      <c r="D99" s="12" t="str">
        <f t="shared" si="3"/>
        <v>2026</v>
      </c>
      <c r="E99" s="22" t="s">
        <v>387</v>
      </c>
      <c r="F99" s="23" t="s">
        <v>391</v>
      </c>
      <c r="G99" s="27" t="s">
        <v>54</v>
      </c>
      <c r="H99" s="24">
        <v>40</v>
      </c>
      <c r="I99" s="25" t="s">
        <v>392</v>
      </c>
      <c r="J99" s="25" t="s">
        <v>393</v>
      </c>
      <c r="K99" s="26" t="s">
        <v>394</v>
      </c>
      <c r="L99" s="25" t="s">
        <v>58</v>
      </c>
      <c r="M99" t="str">
        <f>TEXT(A99,"dddd")</f>
        <v>Saturday</v>
      </c>
      <c r="N99" s="35">
        <f>DATE(Table4[[#This Row],[year]],Table4[[#This Row],[month2]],Table4[[#This Row],[day]])</f>
        <v>46170</v>
      </c>
    </row>
    <row r="100" spans="1:14" ht="16" x14ac:dyDescent="0.35">
      <c r="A100" t="str">
        <f t="shared" si="2"/>
        <v>28</v>
      </c>
      <c r="B100">
        <f>_xlfn.SWITCH(Table4[[#This Row],[month]],"jan",1,"feb",2,"mar",3,"apr",4,"may",5,"jun",6,"jul",7,"aug",8,"sep",9,"oct",10,"nov",11,"dec",12,"no month")</f>
        <v>5</v>
      </c>
      <c r="C100" s="12" t="str">
        <f>LEFT('All Transactions'!$E100,3)</f>
        <v>May</v>
      </c>
      <c r="D100" s="12" t="str">
        <f t="shared" si="3"/>
        <v>2026</v>
      </c>
      <c r="E100" s="16" t="s">
        <v>387</v>
      </c>
      <c r="F100" s="17" t="s">
        <v>395</v>
      </c>
      <c r="G100" s="27" t="s">
        <v>54</v>
      </c>
      <c r="H100" s="19">
        <v>50</v>
      </c>
      <c r="I100" s="20" t="s">
        <v>396</v>
      </c>
      <c r="J100" s="20" t="s">
        <v>397</v>
      </c>
      <c r="K100" s="21" t="s">
        <v>398</v>
      </c>
      <c r="L100" s="20" t="s">
        <v>58</v>
      </c>
      <c r="M100" t="str">
        <f>TEXT(A100,"dddd")</f>
        <v>Saturday</v>
      </c>
      <c r="N100" s="35">
        <f>DATE(Table4[[#This Row],[year]],Table4[[#This Row],[month2]],Table4[[#This Row],[day]])</f>
        <v>46170</v>
      </c>
    </row>
    <row r="101" spans="1:14" ht="16" x14ac:dyDescent="0.35">
      <c r="A101" t="str">
        <f t="shared" si="2"/>
        <v>28</v>
      </c>
      <c r="B101">
        <f>_xlfn.SWITCH(Table4[[#This Row],[month]],"jan",1,"feb",2,"mar",3,"apr",4,"may",5,"jun",6,"jul",7,"aug",8,"sep",9,"oct",10,"nov",11,"dec",12,"no month")</f>
        <v>5</v>
      </c>
      <c r="C101" s="12" t="str">
        <f>LEFT('All Transactions'!$E101,3)</f>
        <v>May</v>
      </c>
      <c r="D101" s="12" t="str">
        <f t="shared" si="3"/>
        <v>2026</v>
      </c>
      <c r="E101" s="22" t="s">
        <v>387</v>
      </c>
      <c r="F101" s="23" t="s">
        <v>399</v>
      </c>
      <c r="G101" s="27" t="s">
        <v>54</v>
      </c>
      <c r="H101" s="24">
        <v>200</v>
      </c>
      <c r="I101" s="25" t="s">
        <v>400</v>
      </c>
      <c r="J101" s="25" t="s">
        <v>401</v>
      </c>
      <c r="K101" s="26" t="s">
        <v>402</v>
      </c>
      <c r="L101" s="25" t="s">
        <v>58</v>
      </c>
      <c r="M101" t="str">
        <f>TEXT(A101,"dddd")</f>
        <v>Saturday</v>
      </c>
      <c r="N101" s="35">
        <f>DATE(Table4[[#This Row],[year]],Table4[[#This Row],[month2]],Table4[[#This Row],[day]])</f>
        <v>46170</v>
      </c>
    </row>
    <row r="102" spans="1:14" ht="16" x14ac:dyDescent="0.35">
      <c r="A102" t="str">
        <f t="shared" si="2"/>
        <v>28</v>
      </c>
      <c r="B102">
        <f>_xlfn.SWITCH(Table4[[#This Row],[month]],"jan",1,"feb",2,"mar",3,"apr",4,"may",5,"jun",6,"jul",7,"aug",8,"sep",9,"oct",10,"nov",11,"dec",12,"no month")</f>
        <v>5</v>
      </c>
      <c r="C102" s="12" t="str">
        <f>LEFT('All Transactions'!$E102,3)</f>
        <v>May</v>
      </c>
      <c r="D102" s="12" t="str">
        <f t="shared" si="3"/>
        <v>2026</v>
      </c>
      <c r="E102" s="16" t="s">
        <v>387</v>
      </c>
      <c r="F102" s="17" t="s">
        <v>403</v>
      </c>
      <c r="G102" s="27" t="s">
        <v>54</v>
      </c>
      <c r="H102" s="19">
        <v>66</v>
      </c>
      <c r="I102" s="20" t="s">
        <v>404</v>
      </c>
      <c r="J102" s="20" t="s">
        <v>405</v>
      </c>
      <c r="K102" s="21" t="s">
        <v>406</v>
      </c>
      <c r="L102" s="20" t="s">
        <v>58</v>
      </c>
      <c r="M102" t="str">
        <f>TEXT(A102,"dddd")</f>
        <v>Saturday</v>
      </c>
      <c r="N102" s="35">
        <f>DATE(Table4[[#This Row],[year]],Table4[[#This Row],[month2]],Table4[[#This Row],[day]])</f>
        <v>46170</v>
      </c>
    </row>
    <row r="103" spans="1:14" ht="16" x14ac:dyDescent="0.35">
      <c r="A103" t="str">
        <f t="shared" si="2"/>
        <v>28</v>
      </c>
      <c r="B103">
        <f>_xlfn.SWITCH(Table4[[#This Row],[month]],"jan",1,"feb",2,"mar",3,"apr",4,"may",5,"jun",6,"jul",7,"aug",8,"sep",9,"oct",10,"nov",11,"dec",12,"no month")</f>
        <v>5</v>
      </c>
      <c r="C103" s="12" t="str">
        <f>LEFT('All Transactions'!$E103,3)</f>
        <v>May</v>
      </c>
      <c r="D103" s="12" t="str">
        <f t="shared" si="3"/>
        <v>2026</v>
      </c>
      <c r="E103" s="22" t="s">
        <v>387</v>
      </c>
      <c r="F103" s="23" t="s">
        <v>407</v>
      </c>
      <c r="G103" s="18" t="s">
        <v>28</v>
      </c>
      <c r="H103" s="24">
        <v>5</v>
      </c>
      <c r="I103" s="25" t="s">
        <v>408</v>
      </c>
      <c r="J103" s="25" t="s">
        <v>409</v>
      </c>
      <c r="K103" s="26" t="s">
        <v>410</v>
      </c>
      <c r="L103" s="25" t="s">
        <v>32</v>
      </c>
      <c r="M103" t="str">
        <f>TEXT(A103,"dddd")</f>
        <v>Saturday</v>
      </c>
      <c r="N103" s="35">
        <f>DATE(Table4[[#This Row],[year]],Table4[[#This Row],[month2]],Table4[[#This Row],[day]])</f>
        <v>46170</v>
      </c>
    </row>
    <row r="104" spans="1:14" ht="16" x14ac:dyDescent="0.35">
      <c r="A104" t="str">
        <f t="shared" si="2"/>
        <v>28</v>
      </c>
      <c r="B104">
        <f>_xlfn.SWITCH(Table4[[#This Row],[month]],"jan",1,"feb",2,"mar",3,"apr",4,"may",5,"jun",6,"jul",7,"aug",8,"sep",9,"oct",10,"nov",11,"dec",12,"no month")</f>
        <v>5</v>
      </c>
      <c r="C104" s="12" t="str">
        <f>LEFT('All Transactions'!$E104,3)</f>
        <v>May</v>
      </c>
      <c r="D104" s="12" t="str">
        <f t="shared" si="3"/>
        <v>2026</v>
      </c>
      <c r="E104" s="16" t="s">
        <v>387</v>
      </c>
      <c r="F104" s="17" t="s">
        <v>411</v>
      </c>
      <c r="G104" s="27" t="s">
        <v>54</v>
      </c>
      <c r="H104" s="19">
        <v>200</v>
      </c>
      <c r="I104" s="20" t="s">
        <v>412</v>
      </c>
      <c r="J104" s="20" t="s">
        <v>413</v>
      </c>
      <c r="K104" s="21" t="s">
        <v>414</v>
      </c>
      <c r="L104" s="20" t="s">
        <v>58</v>
      </c>
      <c r="M104" t="str">
        <f>TEXT(A104,"dddd")</f>
        <v>Saturday</v>
      </c>
      <c r="N104" s="35">
        <f>DATE(Table4[[#This Row],[year]],Table4[[#This Row],[month2]],Table4[[#This Row],[day]])</f>
        <v>46170</v>
      </c>
    </row>
    <row r="105" spans="1:14" ht="16" x14ac:dyDescent="0.35">
      <c r="A105" t="str">
        <f t="shared" si="2"/>
        <v>28</v>
      </c>
      <c r="B105">
        <f>_xlfn.SWITCH(Table4[[#This Row],[month]],"jan",1,"feb",2,"mar",3,"apr",4,"may",5,"jun",6,"jul",7,"aug",8,"sep",9,"oct",10,"nov",11,"dec",12,"no month")</f>
        <v>5</v>
      </c>
      <c r="C105" s="12" t="str">
        <f>LEFT('All Transactions'!$E105,3)</f>
        <v>May</v>
      </c>
      <c r="D105" s="12" t="str">
        <f t="shared" si="3"/>
        <v>2026</v>
      </c>
      <c r="E105" s="22" t="s">
        <v>387</v>
      </c>
      <c r="F105" s="23" t="s">
        <v>415</v>
      </c>
      <c r="G105" s="27" t="s">
        <v>54</v>
      </c>
      <c r="H105" s="24">
        <v>105</v>
      </c>
      <c r="I105" s="25" t="s">
        <v>416</v>
      </c>
      <c r="J105" s="25" t="s">
        <v>417</v>
      </c>
      <c r="K105" s="26" t="s">
        <v>418</v>
      </c>
      <c r="L105" s="25" t="s">
        <v>58</v>
      </c>
      <c r="M105" t="str">
        <f>TEXT(A105,"dddd")</f>
        <v>Saturday</v>
      </c>
      <c r="N105" s="35">
        <f>DATE(Table4[[#This Row],[year]],Table4[[#This Row],[month2]],Table4[[#This Row],[day]])</f>
        <v>46170</v>
      </c>
    </row>
    <row r="106" spans="1:14" ht="16" x14ac:dyDescent="0.35">
      <c r="A106" t="str">
        <f t="shared" si="2"/>
        <v>28</v>
      </c>
      <c r="B106">
        <f>_xlfn.SWITCH(Table4[[#This Row],[month]],"jan",1,"feb",2,"mar",3,"apr",4,"may",5,"jun",6,"jul",7,"aug",8,"sep",9,"oct",10,"nov",11,"dec",12,"no month")</f>
        <v>5</v>
      </c>
      <c r="C106" s="12" t="str">
        <f>LEFT('All Transactions'!$E106,3)</f>
        <v>May</v>
      </c>
      <c r="D106" s="12" t="str">
        <f t="shared" si="3"/>
        <v>2026</v>
      </c>
      <c r="E106" s="16" t="s">
        <v>387</v>
      </c>
      <c r="F106" s="17" t="s">
        <v>419</v>
      </c>
      <c r="G106" s="18" t="s">
        <v>28</v>
      </c>
      <c r="H106" s="19">
        <v>120</v>
      </c>
      <c r="I106" s="20" t="s">
        <v>420</v>
      </c>
      <c r="J106" s="20" t="s">
        <v>421</v>
      </c>
      <c r="K106" s="21" t="s">
        <v>422</v>
      </c>
      <c r="L106" s="20" t="s">
        <v>32</v>
      </c>
      <c r="M106" t="str">
        <f>TEXT(A106,"dddd")</f>
        <v>Saturday</v>
      </c>
      <c r="N106" s="35">
        <f>DATE(Table4[[#This Row],[year]],Table4[[#This Row],[month2]],Table4[[#This Row],[day]])</f>
        <v>46170</v>
      </c>
    </row>
    <row r="107" spans="1:14" ht="16" x14ac:dyDescent="0.35">
      <c r="A107" t="str">
        <f t="shared" si="2"/>
        <v>28</v>
      </c>
      <c r="B107">
        <f>_xlfn.SWITCH(Table4[[#This Row],[month]],"jan",1,"feb",2,"mar",3,"apr",4,"may",5,"jun",6,"jul",7,"aug",8,"sep",9,"oct",10,"nov",11,"dec",12,"no month")</f>
        <v>5</v>
      </c>
      <c r="C107" s="12" t="str">
        <f>LEFT('All Transactions'!$E107,3)</f>
        <v>May</v>
      </c>
      <c r="D107" s="12" t="str">
        <f t="shared" si="3"/>
        <v>2026</v>
      </c>
      <c r="E107" s="22" t="s">
        <v>387</v>
      </c>
      <c r="F107" s="23" t="s">
        <v>423</v>
      </c>
      <c r="G107" s="18" t="s">
        <v>28</v>
      </c>
      <c r="H107" s="24">
        <v>1337.1</v>
      </c>
      <c r="I107" s="25" t="s">
        <v>424</v>
      </c>
      <c r="J107" s="25" t="s">
        <v>425</v>
      </c>
      <c r="K107" s="26" t="s">
        <v>426</v>
      </c>
      <c r="L107" s="25" t="s">
        <v>32</v>
      </c>
      <c r="M107" t="str">
        <f>TEXT(A107,"dddd")</f>
        <v>Saturday</v>
      </c>
      <c r="N107" s="35">
        <f>DATE(Table4[[#This Row],[year]],Table4[[#This Row],[month2]],Table4[[#This Row],[day]])</f>
        <v>46170</v>
      </c>
    </row>
    <row r="108" spans="1:14" ht="16" x14ac:dyDescent="0.35">
      <c r="A108" t="str">
        <f t="shared" si="2"/>
        <v>28</v>
      </c>
      <c r="B108">
        <f>_xlfn.SWITCH(Table4[[#This Row],[month]],"jan",1,"feb",2,"mar",3,"apr",4,"may",5,"jun",6,"jul",7,"aug",8,"sep",9,"oct",10,"nov",11,"dec",12,"no month")</f>
        <v>5</v>
      </c>
      <c r="C108" s="12" t="str">
        <f>LEFT('All Transactions'!$E108,3)</f>
        <v>May</v>
      </c>
      <c r="D108" s="12" t="str">
        <f t="shared" si="3"/>
        <v>2026</v>
      </c>
      <c r="E108" s="16" t="s">
        <v>387</v>
      </c>
      <c r="F108" s="17" t="s">
        <v>427</v>
      </c>
      <c r="G108" s="27" t="s">
        <v>54</v>
      </c>
      <c r="H108" s="19">
        <v>1300</v>
      </c>
      <c r="I108" s="20" t="s">
        <v>156</v>
      </c>
      <c r="J108" s="20" t="s">
        <v>428</v>
      </c>
      <c r="K108" s="21" t="s">
        <v>429</v>
      </c>
      <c r="L108" s="20" t="s">
        <v>58</v>
      </c>
      <c r="M108" t="str">
        <f>TEXT(A108,"dddd")</f>
        <v>Saturday</v>
      </c>
      <c r="N108" s="35">
        <f>DATE(Table4[[#This Row],[year]],Table4[[#This Row],[month2]],Table4[[#This Row],[day]])</f>
        <v>46170</v>
      </c>
    </row>
    <row r="109" spans="1:14" ht="16" x14ac:dyDescent="0.35">
      <c r="A109" t="str">
        <f t="shared" si="2"/>
        <v>28</v>
      </c>
      <c r="B109">
        <f>_xlfn.SWITCH(Table4[[#This Row],[month]],"jan",1,"feb",2,"mar",3,"apr",4,"may",5,"jun",6,"jul",7,"aug",8,"sep",9,"oct",10,"nov",11,"dec",12,"no month")</f>
        <v>5</v>
      </c>
      <c r="C109" s="12" t="str">
        <f>LEFT('All Transactions'!$E109,3)</f>
        <v>May</v>
      </c>
      <c r="D109" s="12" t="str">
        <f t="shared" si="3"/>
        <v>2026</v>
      </c>
      <c r="E109" s="22" t="s">
        <v>387</v>
      </c>
      <c r="F109" s="23" t="s">
        <v>430</v>
      </c>
      <c r="G109" s="18" t="s">
        <v>28</v>
      </c>
      <c r="H109" s="24">
        <v>300</v>
      </c>
      <c r="I109" s="25" t="s">
        <v>431</v>
      </c>
      <c r="J109" s="25" t="s">
        <v>432</v>
      </c>
      <c r="K109" s="26" t="s">
        <v>433</v>
      </c>
      <c r="L109" s="25" t="s">
        <v>32</v>
      </c>
      <c r="M109" t="str">
        <f>TEXT(A109,"dddd")</f>
        <v>Saturday</v>
      </c>
      <c r="N109" s="35">
        <f>DATE(Table4[[#This Row],[year]],Table4[[#This Row],[month2]],Table4[[#This Row],[day]])</f>
        <v>46170</v>
      </c>
    </row>
    <row r="110" spans="1:14" ht="16" x14ac:dyDescent="0.35">
      <c r="A110" t="str">
        <f t="shared" si="2"/>
        <v>28</v>
      </c>
      <c r="B110">
        <f>_xlfn.SWITCH(Table4[[#This Row],[month]],"jan",1,"feb",2,"mar",3,"apr",4,"may",5,"jun",6,"jul",7,"aug",8,"sep",9,"oct",10,"nov",11,"dec",12,"no month")</f>
        <v>5</v>
      </c>
      <c r="C110" s="12" t="str">
        <f>LEFT('All Transactions'!$E110,3)</f>
        <v>May</v>
      </c>
      <c r="D110" s="12" t="str">
        <f t="shared" si="3"/>
        <v>2026</v>
      </c>
      <c r="E110" s="16" t="s">
        <v>387</v>
      </c>
      <c r="F110" s="17" t="s">
        <v>434</v>
      </c>
      <c r="G110" s="27" t="s">
        <v>54</v>
      </c>
      <c r="H110" s="19">
        <v>300</v>
      </c>
      <c r="I110" s="20" t="s">
        <v>156</v>
      </c>
      <c r="J110" s="20" t="s">
        <v>435</v>
      </c>
      <c r="K110" s="21" t="s">
        <v>436</v>
      </c>
      <c r="L110" s="20" t="s">
        <v>58</v>
      </c>
      <c r="M110" t="str">
        <f>TEXT(A110,"dddd")</f>
        <v>Saturday</v>
      </c>
      <c r="N110" s="35">
        <f>DATE(Table4[[#This Row],[year]],Table4[[#This Row],[month2]],Table4[[#This Row],[day]])</f>
        <v>46170</v>
      </c>
    </row>
    <row r="111" spans="1:14" ht="16" x14ac:dyDescent="0.35">
      <c r="A111" t="str">
        <f t="shared" si="2"/>
        <v>28</v>
      </c>
      <c r="B111">
        <f>_xlfn.SWITCH(Table4[[#This Row],[month]],"jan",1,"feb",2,"mar",3,"apr",4,"may",5,"jun",6,"jul",7,"aug",8,"sep",9,"oct",10,"nov",11,"dec",12,"no month")</f>
        <v>5</v>
      </c>
      <c r="C111" s="12" t="str">
        <f>LEFT('All Transactions'!$E111,3)</f>
        <v>May</v>
      </c>
      <c r="D111" s="12" t="str">
        <f t="shared" si="3"/>
        <v>2026</v>
      </c>
      <c r="E111" s="22" t="s">
        <v>387</v>
      </c>
      <c r="F111" s="23" t="s">
        <v>437</v>
      </c>
      <c r="G111" s="18" t="s">
        <v>28</v>
      </c>
      <c r="H111" s="24">
        <v>75</v>
      </c>
      <c r="I111" s="25" t="s">
        <v>438</v>
      </c>
      <c r="J111" s="25" t="s">
        <v>439</v>
      </c>
      <c r="K111" s="26" t="s">
        <v>440</v>
      </c>
      <c r="L111" s="25" t="s">
        <v>32</v>
      </c>
      <c r="M111" t="str">
        <f>TEXT(A111,"dddd")</f>
        <v>Saturday</v>
      </c>
      <c r="N111" s="35">
        <f>DATE(Table4[[#This Row],[year]],Table4[[#This Row],[month2]],Table4[[#This Row],[day]])</f>
        <v>46170</v>
      </c>
    </row>
    <row r="112" spans="1:14" ht="16" x14ac:dyDescent="0.35">
      <c r="A112" t="str">
        <f t="shared" si="2"/>
        <v>28</v>
      </c>
      <c r="B112">
        <f>_xlfn.SWITCH(Table4[[#This Row],[month]],"jan",1,"feb",2,"mar",3,"apr",4,"may",5,"jun",6,"jul",7,"aug",8,"sep",9,"oct",10,"nov",11,"dec",12,"no month")</f>
        <v>5</v>
      </c>
      <c r="C112" s="12" t="str">
        <f>LEFT('All Transactions'!$E112,3)</f>
        <v>May</v>
      </c>
      <c r="D112" s="12" t="str">
        <f t="shared" si="3"/>
        <v>2026</v>
      </c>
      <c r="E112" s="16" t="s">
        <v>387</v>
      </c>
      <c r="F112" s="17" t="s">
        <v>441</v>
      </c>
      <c r="G112" s="18" t="s">
        <v>28</v>
      </c>
      <c r="H112" s="19">
        <v>10</v>
      </c>
      <c r="I112" s="20" t="s">
        <v>442</v>
      </c>
      <c r="J112" s="20" t="s">
        <v>443</v>
      </c>
      <c r="K112" s="21" t="s">
        <v>444</v>
      </c>
      <c r="L112" s="20" t="s">
        <v>32</v>
      </c>
      <c r="M112" t="str">
        <f>TEXT(A112,"dddd")</f>
        <v>Saturday</v>
      </c>
      <c r="N112" s="35">
        <f>DATE(Table4[[#This Row],[year]],Table4[[#This Row],[month2]],Table4[[#This Row],[day]])</f>
        <v>46170</v>
      </c>
    </row>
    <row r="113" spans="1:14" ht="16" x14ac:dyDescent="0.35">
      <c r="A113" t="str">
        <f t="shared" si="2"/>
        <v>28</v>
      </c>
      <c r="B113">
        <f>_xlfn.SWITCH(Table4[[#This Row],[month]],"jan",1,"feb",2,"mar",3,"apr",4,"may",5,"jun",6,"jul",7,"aug",8,"sep",9,"oct",10,"nov",11,"dec",12,"no month")</f>
        <v>5</v>
      </c>
      <c r="C113" s="12" t="str">
        <f>LEFT('All Transactions'!$E113,3)</f>
        <v>May</v>
      </c>
      <c r="D113" s="12" t="str">
        <f t="shared" si="3"/>
        <v>2026</v>
      </c>
      <c r="E113" s="22" t="s">
        <v>387</v>
      </c>
      <c r="F113" s="23" t="s">
        <v>445</v>
      </c>
      <c r="G113" s="18" t="s">
        <v>28</v>
      </c>
      <c r="H113" s="24">
        <v>26.9</v>
      </c>
      <c r="I113" s="25" t="s">
        <v>359</v>
      </c>
      <c r="J113" s="25" t="s">
        <v>446</v>
      </c>
      <c r="K113" s="26" t="s">
        <v>447</v>
      </c>
      <c r="L113" s="25" t="s">
        <v>32</v>
      </c>
      <c r="M113" t="str">
        <f>TEXT(A113,"dddd")</f>
        <v>Saturday</v>
      </c>
      <c r="N113" s="35">
        <f>DATE(Table4[[#This Row],[year]],Table4[[#This Row],[month2]],Table4[[#This Row],[day]])</f>
        <v>46170</v>
      </c>
    </row>
    <row r="114" spans="1:14" ht="16" x14ac:dyDescent="0.35">
      <c r="A114" t="str">
        <f t="shared" si="2"/>
        <v>27</v>
      </c>
      <c r="B114">
        <f>_xlfn.SWITCH(Table4[[#This Row],[month]],"jan",1,"feb",2,"mar",3,"apr",4,"may",5,"jun",6,"jul",7,"aug",8,"sep",9,"oct",10,"nov",11,"dec",12,"no month")</f>
        <v>5</v>
      </c>
      <c r="C114" s="12" t="str">
        <f>LEFT('All Transactions'!$E114,3)</f>
        <v>May</v>
      </c>
      <c r="D114" s="12" t="str">
        <f t="shared" si="3"/>
        <v>2026</v>
      </c>
      <c r="E114" s="16" t="s">
        <v>448</v>
      </c>
      <c r="F114" s="17" t="s">
        <v>449</v>
      </c>
      <c r="G114" s="18" t="s">
        <v>28</v>
      </c>
      <c r="H114" s="19">
        <v>47</v>
      </c>
      <c r="I114" s="20" t="s">
        <v>450</v>
      </c>
      <c r="J114" s="20" t="s">
        <v>451</v>
      </c>
      <c r="K114" s="21" t="s">
        <v>452</v>
      </c>
      <c r="L114" s="20" t="s">
        <v>32</v>
      </c>
      <c r="M114" t="str">
        <f>TEXT(A114,"dddd")</f>
        <v>Friday</v>
      </c>
      <c r="N114" s="35">
        <f>DATE(Table4[[#This Row],[year]],Table4[[#This Row],[month2]],Table4[[#This Row],[day]])</f>
        <v>46169</v>
      </c>
    </row>
    <row r="115" spans="1:14" ht="16" x14ac:dyDescent="0.35">
      <c r="A115" t="str">
        <f t="shared" si="2"/>
        <v>27</v>
      </c>
      <c r="B115">
        <f>_xlfn.SWITCH(Table4[[#This Row],[month]],"jan",1,"feb",2,"mar",3,"apr",4,"may",5,"jun",6,"jul",7,"aug",8,"sep",9,"oct",10,"nov",11,"dec",12,"no month")</f>
        <v>5</v>
      </c>
      <c r="C115" s="12" t="str">
        <f>LEFT('All Transactions'!$E115,3)</f>
        <v>May</v>
      </c>
      <c r="D115" s="12" t="str">
        <f t="shared" si="3"/>
        <v>2026</v>
      </c>
      <c r="E115" s="22" t="s">
        <v>448</v>
      </c>
      <c r="F115" s="23" t="s">
        <v>63</v>
      </c>
      <c r="G115" s="18" t="s">
        <v>28</v>
      </c>
      <c r="H115" s="24">
        <v>19</v>
      </c>
      <c r="I115" s="25" t="s">
        <v>453</v>
      </c>
      <c r="J115" s="25" t="s">
        <v>454</v>
      </c>
      <c r="K115" s="26" t="s">
        <v>455</v>
      </c>
      <c r="L115" s="25" t="s">
        <v>32</v>
      </c>
      <c r="M115" t="str">
        <f>TEXT(A115,"dddd")</f>
        <v>Friday</v>
      </c>
      <c r="N115" s="35">
        <f>DATE(Table4[[#This Row],[year]],Table4[[#This Row],[month2]],Table4[[#This Row],[day]])</f>
        <v>46169</v>
      </c>
    </row>
    <row r="116" spans="1:14" ht="16" x14ac:dyDescent="0.35">
      <c r="A116" t="str">
        <f t="shared" si="2"/>
        <v>26</v>
      </c>
      <c r="B116">
        <f>_xlfn.SWITCH(Table4[[#This Row],[month]],"jan",1,"feb",2,"mar",3,"apr",4,"may",5,"jun",6,"jul",7,"aug",8,"sep",9,"oct",10,"nov",11,"dec",12,"no month")</f>
        <v>5</v>
      </c>
      <c r="C116" s="12" t="str">
        <f>LEFT('All Transactions'!$E116,3)</f>
        <v>May</v>
      </c>
      <c r="D116" s="12" t="str">
        <f t="shared" si="3"/>
        <v>2026</v>
      </c>
      <c r="E116" s="16" t="s">
        <v>456</v>
      </c>
      <c r="F116" s="17" t="s">
        <v>457</v>
      </c>
      <c r="G116" s="18" t="s">
        <v>28</v>
      </c>
      <c r="H116" s="19">
        <v>55</v>
      </c>
      <c r="I116" s="20" t="s">
        <v>458</v>
      </c>
      <c r="J116" s="20" t="s">
        <v>459</v>
      </c>
      <c r="K116" s="21" t="s">
        <v>460</v>
      </c>
      <c r="L116" s="20" t="s">
        <v>32</v>
      </c>
      <c r="M116" t="str">
        <f>TEXT(A116,"dddd")</f>
        <v>Thursday</v>
      </c>
      <c r="N116" s="35">
        <f>DATE(Table4[[#This Row],[year]],Table4[[#This Row],[month2]],Table4[[#This Row],[day]])</f>
        <v>46168</v>
      </c>
    </row>
    <row r="117" spans="1:14" ht="16" x14ac:dyDescent="0.35">
      <c r="A117" t="str">
        <f t="shared" si="2"/>
        <v>26</v>
      </c>
      <c r="B117">
        <f>_xlfn.SWITCH(Table4[[#This Row],[month]],"jan",1,"feb",2,"mar",3,"apr",4,"may",5,"jun",6,"jul",7,"aug",8,"sep",9,"oct",10,"nov",11,"dec",12,"no month")</f>
        <v>5</v>
      </c>
      <c r="C117" s="12" t="str">
        <f>LEFT('All Transactions'!$E117,3)</f>
        <v>May</v>
      </c>
      <c r="D117" s="12" t="str">
        <f t="shared" si="3"/>
        <v>2026</v>
      </c>
      <c r="E117" s="22" t="s">
        <v>456</v>
      </c>
      <c r="F117" s="23" t="s">
        <v>138</v>
      </c>
      <c r="G117" s="18" t="s">
        <v>28</v>
      </c>
      <c r="H117" s="24">
        <v>30</v>
      </c>
      <c r="I117" s="25" t="s">
        <v>461</v>
      </c>
      <c r="J117" s="25" t="s">
        <v>462</v>
      </c>
      <c r="K117" s="26" t="s">
        <v>463</v>
      </c>
      <c r="L117" s="25" t="s">
        <v>32</v>
      </c>
      <c r="M117" t="str">
        <f>TEXT(A117,"dddd")</f>
        <v>Thursday</v>
      </c>
      <c r="N117" s="35">
        <f>DATE(Table4[[#This Row],[year]],Table4[[#This Row],[month2]],Table4[[#This Row],[day]])</f>
        <v>46168</v>
      </c>
    </row>
    <row r="118" spans="1:14" ht="16" x14ac:dyDescent="0.35">
      <c r="A118" t="str">
        <f t="shared" si="2"/>
        <v>26</v>
      </c>
      <c r="B118">
        <f>_xlfn.SWITCH(Table4[[#This Row],[month]],"jan",1,"feb",2,"mar",3,"apr",4,"may",5,"jun",6,"jul",7,"aug",8,"sep",9,"oct",10,"nov",11,"dec",12,"no month")</f>
        <v>5</v>
      </c>
      <c r="C118" s="12" t="str">
        <f>LEFT('All Transactions'!$E118,3)</f>
        <v>May</v>
      </c>
      <c r="D118" s="12" t="str">
        <f t="shared" si="3"/>
        <v>2026</v>
      </c>
      <c r="E118" s="16" t="s">
        <v>456</v>
      </c>
      <c r="F118" s="17" t="s">
        <v>464</v>
      </c>
      <c r="G118" s="18" t="s">
        <v>28</v>
      </c>
      <c r="H118" s="19">
        <v>40</v>
      </c>
      <c r="I118" s="20" t="s">
        <v>461</v>
      </c>
      <c r="J118" s="20" t="s">
        <v>465</v>
      </c>
      <c r="K118" s="21" t="s">
        <v>466</v>
      </c>
      <c r="L118" s="20" t="s">
        <v>32</v>
      </c>
      <c r="M118" t="str">
        <f>TEXT(A118,"dddd")</f>
        <v>Thursday</v>
      </c>
      <c r="N118" s="35">
        <f>DATE(Table4[[#This Row],[year]],Table4[[#This Row],[month2]],Table4[[#This Row],[day]])</f>
        <v>46168</v>
      </c>
    </row>
    <row r="119" spans="1:14" ht="16" x14ac:dyDescent="0.35">
      <c r="A119" t="str">
        <f t="shared" si="2"/>
        <v>26</v>
      </c>
      <c r="B119">
        <f>_xlfn.SWITCH(Table4[[#This Row],[month]],"jan",1,"feb",2,"mar",3,"apr",4,"may",5,"jun",6,"jul",7,"aug",8,"sep",9,"oct",10,"nov",11,"dec",12,"no month")</f>
        <v>5</v>
      </c>
      <c r="C119" s="12" t="str">
        <f>LEFT('All Transactions'!$E119,3)</f>
        <v>May</v>
      </c>
      <c r="D119" s="12" t="str">
        <f t="shared" si="3"/>
        <v>2026</v>
      </c>
      <c r="E119" s="22" t="s">
        <v>456</v>
      </c>
      <c r="F119" s="23" t="s">
        <v>467</v>
      </c>
      <c r="G119" s="18" t="s">
        <v>28</v>
      </c>
      <c r="H119" s="24">
        <v>95</v>
      </c>
      <c r="I119" s="25" t="s">
        <v>458</v>
      </c>
      <c r="J119" s="25" t="s">
        <v>468</v>
      </c>
      <c r="K119" s="26" t="s">
        <v>469</v>
      </c>
      <c r="L119" s="25" t="s">
        <v>32</v>
      </c>
      <c r="M119" t="str">
        <f>TEXT(A119,"dddd")</f>
        <v>Thursday</v>
      </c>
      <c r="N119" s="35">
        <f>DATE(Table4[[#This Row],[year]],Table4[[#This Row],[month2]],Table4[[#This Row],[day]])</f>
        <v>46168</v>
      </c>
    </row>
    <row r="120" spans="1:14" ht="16" x14ac:dyDescent="0.35">
      <c r="A120" t="str">
        <f t="shared" si="2"/>
        <v>26</v>
      </c>
      <c r="B120">
        <f>_xlfn.SWITCH(Table4[[#This Row],[month]],"jan",1,"feb",2,"mar",3,"apr",4,"may",5,"jun",6,"jul",7,"aug",8,"sep",9,"oct",10,"nov",11,"dec",12,"no month")</f>
        <v>5</v>
      </c>
      <c r="C120" s="12" t="str">
        <f>LEFT('All Transactions'!$E120,3)</f>
        <v>May</v>
      </c>
      <c r="D120" s="12" t="str">
        <f t="shared" si="3"/>
        <v>2026</v>
      </c>
      <c r="E120" s="16" t="s">
        <v>456</v>
      </c>
      <c r="F120" s="17" t="s">
        <v>470</v>
      </c>
      <c r="G120" s="18" t="s">
        <v>28</v>
      </c>
      <c r="H120" s="19">
        <v>20</v>
      </c>
      <c r="I120" s="20" t="s">
        <v>471</v>
      </c>
      <c r="J120" s="20" t="s">
        <v>472</v>
      </c>
      <c r="K120" s="21" t="s">
        <v>473</v>
      </c>
      <c r="L120" s="20" t="s">
        <v>32</v>
      </c>
      <c r="M120" t="str">
        <f>TEXT(A120,"dddd")</f>
        <v>Thursday</v>
      </c>
      <c r="N120" s="35">
        <f>DATE(Table4[[#This Row],[year]],Table4[[#This Row],[month2]],Table4[[#This Row],[day]])</f>
        <v>46168</v>
      </c>
    </row>
    <row r="121" spans="1:14" ht="16" x14ac:dyDescent="0.35">
      <c r="A121" t="str">
        <f t="shared" si="2"/>
        <v>25</v>
      </c>
      <c r="B121">
        <f>_xlfn.SWITCH(Table4[[#This Row],[month]],"jan",1,"feb",2,"mar",3,"apr",4,"may",5,"jun",6,"jul",7,"aug",8,"sep",9,"oct",10,"nov",11,"dec",12,"no month")</f>
        <v>5</v>
      </c>
      <c r="C121" s="12" t="str">
        <f>LEFT('All Transactions'!$E121,3)</f>
        <v>May</v>
      </c>
      <c r="D121" s="12" t="str">
        <f t="shared" si="3"/>
        <v>2026</v>
      </c>
      <c r="E121" s="22" t="s">
        <v>474</v>
      </c>
      <c r="F121" s="23" t="s">
        <v>343</v>
      </c>
      <c r="G121" s="18" t="s">
        <v>28</v>
      </c>
      <c r="H121" s="24">
        <v>19</v>
      </c>
      <c r="I121" s="25" t="s">
        <v>475</v>
      </c>
      <c r="J121" s="25" t="s">
        <v>476</v>
      </c>
      <c r="K121" s="26" t="s">
        <v>477</v>
      </c>
      <c r="L121" s="25" t="s">
        <v>32</v>
      </c>
      <c r="M121" t="str">
        <f>TEXT(A121,"dddd")</f>
        <v>Wednesday</v>
      </c>
      <c r="N121" s="35">
        <f>DATE(Table4[[#This Row],[year]],Table4[[#This Row],[month2]],Table4[[#This Row],[day]])</f>
        <v>46167</v>
      </c>
    </row>
    <row r="122" spans="1:14" ht="16" x14ac:dyDescent="0.35">
      <c r="A122" t="str">
        <f t="shared" si="2"/>
        <v>25</v>
      </c>
      <c r="B122">
        <f>_xlfn.SWITCH(Table4[[#This Row],[month]],"jan",1,"feb",2,"mar",3,"apr",4,"may",5,"jun",6,"jul",7,"aug",8,"sep",9,"oct",10,"nov",11,"dec",12,"no month")</f>
        <v>5</v>
      </c>
      <c r="C122" s="12" t="str">
        <f>LEFT('All Transactions'!$E122,3)</f>
        <v>May</v>
      </c>
      <c r="D122" s="12" t="str">
        <f t="shared" si="3"/>
        <v>2026</v>
      </c>
      <c r="E122" s="16" t="s">
        <v>474</v>
      </c>
      <c r="F122" s="17" t="s">
        <v>478</v>
      </c>
      <c r="G122" s="18" t="s">
        <v>28</v>
      </c>
      <c r="H122" s="19">
        <v>50</v>
      </c>
      <c r="I122" s="20" t="s">
        <v>479</v>
      </c>
      <c r="J122" s="20" t="s">
        <v>480</v>
      </c>
      <c r="K122" s="21" t="s">
        <v>481</v>
      </c>
      <c r="L122" s="20" t="s">
        <v>32</v>
      </c>
      <c r="M122" t="str">
        <f>TEXT(A122,"dddd")</f>
        <v>Wednesday</v>
      </c>
      <c r="N122" s="35">
        <f>DATE(Table4[[#This Row],[year]],Table4[[#This Row],[month2]],Table4[[#This Row],[day]])</f>
        <v>46167</v>
      </c>
    </row>
    <row r="123" spans="1:14" ht="16" x14ac:dyDescent="0.35">
      <c r="A123" t="str">
        <f t="shared" si="2"/>
        <v>25</v>
      </c>
      <c r="B123">
        <f>_xlfn.SWITCH(Table4[[#This Row],[month]],"jan",1,"feb",2,"mar",3,"apr",4,"may",5,"jun",6,"jul",7,"aug",8,"sep",9,"oct",10,"nov",11,"dec",12,"no month")</f>
        <v>5</v>
      </c>
      <c r="C123" s="12" t="str">
        <f>LEFT('All Transactions'!$E123,3)</f>
        <v>May</v>
      </c>
      <c r="D123" s="12" t="str">
        <f t="shared" si="3"/>
        <v>2026</v>
      </c>
      <c r="E123" s="22" t="s">
        <v>474</v>
      </c>
      <c r="F123" s="23" t="s">
        <v>482</v>
      </c>
      <c r="G123" s="18" t="s">
        <v>28</v>
      </c>
      <c r="H123" s="24">
        <v>20</v>
      </c>
      <c r="I123" s="25" t="s">
        <v>483</v>
      </c>
      <c r="J123" s="25" t="s">
        <v>484</v>
      </c>
      <c r="K123" s="26" t="s">
        <v>485</v>
      </c>
      <c r="L123" s="25" t="s">
        <v>32</v>
      </c>
      <c r="M123" t="str">
        <f>TEXT(A123,"dddd")</f>
        <v>Wednesday</v>
      </c>
      <c r="N123" s="35">
        <f>DATE(Table4[[#This Row],[year]],Table4[[#This Row],[month2]],Table4[[#This Row],[day]])</f>
        <v>46167</v>
      </c>
    </row>
    <row r="124" spans="1:14" ht="16" x14ac:dyDescent="0.35">
      <c r="A124" t="str">
        <f t="shared" si="2"/>
        <v>25</v>
      </c>
      <c r="B124">
        <f>_xlfn.SWITCH(Table4[[#This Row],[month]],"jan",1,"feb",2,"mar",3,"apr",4,"may",5,"jun",6,"jul",7,"aug",8,"sep",9,"oct",10,"nov",11,"dec",12,"no month")</f>
        <v>5</v>
      </c>
      <c r="C124" s="12" t="str">
        <f>LEFT('All Transactions'!$E124,3)</f>
        <v>May</v>
      </c>
      <c r="D124" s="12" t="str">
        <f t="shared" si="3"/>
        <v>2026</v>
      </c>
      <c r="E124" s="16" t="s">
        <v>474</v>
      </c>
      <c r="F124" s="17" t="s">
        <v>486</v>
      </c>
      <c r="G124" s="18" t="s">
        <v>28</v>
      </c>
      <c r="H124" s="19">
        <v>500</v>
      </c>
      <c r="I124" s="20" t="s">
        <v>487</v>
      </c>
      <c r="J124" s="20" t="s">
        <v>488</v>
      </c>
      <c r="K124" s="21" t="s">
        <v>489</v>
      </c>
      <c r="L124" s="20" t="s">
        <v>32</v>
      </c>
      <c r="M124" t="str">
        <f>TEXT(A124,"dddd")</f>
        <v>Wednesday</v>
      </c>
      <c r="N124" s="35">
        <f>DATE(Table4[[#This Row],[year]],Table4[[#This Row],[month2]],Table4[[#This Row],[day]])</f>
        <v>46167</v>
      </c>
    </row>
    <row r="125" spans="1:14" ht="16" x14ac:dyDescent="0.35">
      <c r="A125" t="str">
        <f t="shared" si="2"/>
        <v>24</v>
      </c>
      <c r="B125">
        <f>_xlfn.SWITCH(Table4[[#This Row],[month]],"jan",1,"feb",2,"mar",3,"apr",4,"may",5,"jun",6,"jul",7,"aug",8,"sep",9,"oct",10,"nov",11,"dec",12,"no month")</f>
        <v>5</v>
      </c>
      <c r="C125" s="12" t="str">
        <f>LEFT('All Transactions'!$E125,3)</f>
        <v>May</v>
      </c>
      <c r="D125" s="12" t="str">
        <f t="shared" si="3"/>
        <v>2026</v>
      </c>
      <c r="E125" s="22" t="s">
        <v>490</v>
      </c>
      <c r="F125" s="23" t="s">
        <v>108</v>
      </c>
      <c r="G125" s="18" t="s">
        <v>28</v>
      </c>
      <c r="H125" s="24">
        <v>29</v>
      </c>
      <c r="I125" s="25" t="s">
        <v>491</v>
      </c>
      <c r="J125" s="25" t="s">
        <v>492</v>
      </c>
      <c r="K125" s="26" t="s">
        <v>493</v>
      </c>
      <c r="L125" s="25" t="s">
        <v>47</v>
      </c>
      <c r="M125" t="str">
        <f>TEXT(A125,"dddd")</f>
        <v>Tuesday</v>
      </c>
      <c r="N125" s="35">
        <f>DATE(Table4[[#This Row],[year]],Table4[[#This Row],[month2]],Table4[[#This Row],[day]])</f>
        <v>46166</v>
      </c>
    </row>
    <row r="126" spans="1:14" ht="16" x14ac:dyDescent="0.35">
      <c r="A126" t="str">
        <f t="shared" si="2"/>
        <v>24</v>
      </c>
      <c r="B126">
        <f>_xlfn.SWITCH(Table4[[#This Row],[month]],"jan",1,"feb",2,"mar",3,"apr",4,"may",5,"jun",6,"jul",7,"aug",8,"sep",9,"oct",10,"nov",11,"dec",12,"no month")</f>
        <v>5</v>
      </c>
      <c r="C126" s="12" t="str">
        <f>LEFT('All Transactions'!$E126,3)</f>
        <v>May</v>
      </c>
      <c r="D126" s="12" t="str">
        <f t="shared" si="3"/>
        <v>2026</v>
      </c>
      <c r="E126" s="16" t="s">
        <v>490</v>
      </c>
      <c r="F126" s="17" t="s">
        <v>494</v>
      </c>
      <c r="G126" s="18" t="s">
        <v>28</v>
      </c>
      <c r="H126" s="19">
        <v>100</v>
      </c>
      <c r="I126" s="20" t="s">
        <v>495</v>
      </c>
      <c r="J126" s="20" t="s">
        <v>496</v>
      </c>
      <c r="K126" s="21" t="s">
        <v>497</v>
      </c>
      <c r="L126" s="20" t="s">
        <v>32</v>
      </c>
      <c r="M126" t="str">
        <f>TEXT(A126,"dddd")</f>
        <v>Tuesday</v>
      </c>
      <c r="N126" s="35">
        <f>DATE(Table4[[#This Row],[year]],Table4[[#This Row],[month2]],Table4[[#This Row],[day]])</f>
        <v>46166</v>
      </c>
    </row>
    <row r="127" spans="1:14" ht="16" x14ac:dyDescent="0.35">
      <c r="A127" t="str">
        <f t="shared" si="2"/>
        <v>23</v>
      </c>
      <c r="B127">
        <f>_xlfn.SWITCH(Table4[[#This Row],[month]],"jan",1,"feb",2,"mar",3,"apr",4,"may",5,"jun",6,"jul",7,"aug",8,"sep",9,"oct",10,"nov",11,"dec",12,"no month")</f>
        <v>5</v>
      </c>
      <c r="C127" s="12" t="str">
        <f>LEFT('All Transactions'!$E127,3)</f>
        <v>May</v>
      </c>
      <c r="D127" s="12" t="str">
        <f t="shared" si="3"/>
        <v>2026</v>
      </c>
      <c r="E127" s="22" t="s">
        <v>498</v>
      </c>
      <c r="F127" s="23" t="s">
        <v>499</v>
      </c>
      <c r="G127" s="18" t="s">
        <v>28</v>
      </c>
      <c r="H127" s="24">
        <v>25</v>
      </c>
      <c r="I127" s="25" t="s">
        <v>500</v>
      </c>
      <c r="J127" s="25" t="s">
        <v>501</v>
      </c>
      <c r="K127" s="26" t="s">
        <v>502</v>
      </c>
      <c r="L127" s="25" t="s">
        <v>32</v>
      </c>
      <c r="M127" t="str">
        <f>TEXT(A127,"dddd")</f>
        <v>Monday</v>
      </c>
      <c r="N127" s="35">
        <f>DATE(Table4[[#This Row],[year]],Table4[[#This Row],[month2]],Table4[[#This Row],[day]])</f>
        <v>46165</v>
      </c>
    </row>
    <row r="128" spans="1:14" ht="16" x14ac:dyDescent="0.35">
      <c r="A128" t="str">
        <f t="shared" si="2"/>
        <v>23</v>
      </c>
      <c r="B128">
        <f>_xlfn.SWITCH(Table4[[#This Row],[month]],"jan",1,"feb",2,"mar",3,"apr",4,"may",5,"jun",6,"jul",7,"aug",8,"sep",9,"oct",10,"nov",11,"dec",12,"no month")</f>
        <v>5</v>
      </c>
      <c r="C128" s="12" t="str">
        <f>LEFT('All Transactions'!$E128,3)</f>
        <v>May</v>
      </c>
      <c r="D128" s="12" t="str">
        <f t="shared" si="3"/>
        <v>2026</v>
      </c>
      <c r="E128" s="16" t="s">
        <v>498</v>
      </c>
      <c r="F128" s="17" t="s">
        <v>100</v>
      </c>
      <c r="G128" s="18" t="s">
        <v>28</v>
      </c>
      <c r="H128" s="19">
        <v>90</v>
      </c>
      <c r="I128" s="20" t="s">
        <v>503</v>
      </c>
      <c r="J128" s="20" t="s">
        <v>504</v>
      </c>
      <c r="K128" s="21" t="s">
        <v>505</v>
      </c>
      <c r="L128" s="20" t="s">
        <v>32</v>
      </c>
      <c r="M128" t="str">
        <f>TEXT(A128,"dddd")</f>
        <v>Monday</v>
      </c>
      <c r="N128" s="35">
        <f>DATE(Table4[[#This Row],[year]],Table4[[#This Row],[month2]],Table4[[#This Row],[day]])</f>
        <v>46165</v>
      </c>
    </row>
    <row r="129" spans="1:14" ht="16" x14ac:dyDescent="0.35">
      <c r="A129" t="str">
        <f t="shared" si="2"/>
        <v>23</v>
      </c>
      <c r="B129">
        <f>_xlfn.SWITCH(Table4[[#This Row],[month]],"jan",1,"feb",2,"mar",3,"apr",4,"may",5,"jun",6,"jul",7,"aug",8,"sep",9,"oct",10,"nov",11,"dec",12,"no month")</f>
        <v>5</v>
      </c>
      <c r="C129" s="12" t="str">
        <f>LEFT('All Transactions'!$E129,3)</f>
        <v>May</v>
      </c>
      <c r="D129" s="12" t="str">
        <f t="shared" si="3"/>
        <v>2026</v>
      </c>
      <c r="E129" s="22" t="s">
        <v>498</v>
      </c>
      <c r="F129" s="23" t="s">
        <v>506</v>
      </c>
      <c r="G129" s="18" t="s">
        <v>28</v>
      </c>
      <c r="H129" s="24">
        <v>30</v>
      </c>
      <c r="I129" s="25" t="s">
        <v>471</v>
      </c>
      <c r="J129" s="25" t="s">
        <v>507</v>
      </c>
      <c r="K129" s="26" t="s">
        <v>508</v>
      </c>
      <c r="L129" s="25" t="s">
        <v>32</v>
      </c>
      <c r="M129" t="str">
        <f>TEXT(A129,"dddd")</f>
        <v>Monday</v>
      </c>
      <c r="N129" s="35">
        <f>DATE(Table4[[#This Row],[year]],Table4[[#This Row],[month2]],Table4[[#This Row],[day]])</f>
        <v>46165</v>
      </c>
    </row>
    <row r="130" spans="1:14" ht="16" x14ac:dyDescent="0.35">
      <c r="A130" t="str">
        <f t="shared" si="2"/>
        <v>23</v>
      </c>
      <c r="B130">
        <f>_xlfn.SWITCH(Table4[[#This Row],[month]],"jan",1,"feb",2,"mar",3,"apr",4,"may",5,"jun",6,"jul",7,"aug",8,"sep",9,"oct",10,"nov",11,"dec",12,"no month")</f>
        <v>5</v>
      </c>
      <c r="C130" s="12" t="str">
        <f>LEFT('All Transactions'!$E130,3)</f>
        <v>May</v>
      </c>
      <c r="D130" s="12" t="str">
        <f t="shared" si="3"/>
        <v>2026</v>
      </c>
      <c r="E130" s="16" t="s">
        <v>498</v>
      </c>
      <c r="F130" s="17" t="s">
        <v>509</v>
      </c>
      <c r="G130" s="18" t="s">
        <v>28</v>
      </c>
      <c r="H130" s="19">
        <v>20</v>
      </c>
      <c r="I130" s="20" t="s">
        <v>510</v>
      </c>
      <c r="J130" s="20" t="s">
        <v>511</v>
      </c>
      <c r="K130" s="21" t="s">
        <v>512</v>
      </c>
      <c r="L130" s="20" t="s">
        <v>32</v>
      </c>
      <c r="M130" t="str">
        <f>TEXT(A130,"dddd")</f>
        <v>Monday</v>
      </c>
      <c r="N130" s="35">
        <f>DATE(Table4[[#This Row],[year]],Table4[[#This Row],[month2]],Table4[[#This Row],[day]])</f>
        <v>46165</v>
      </c>
    </row>
    <row r="131" spans="1:14" ht="16" x14ac:dyDescent="0.35">
      <c r="A131" t="str">
        <f t="shared" ref="A131:A194" si="4">MID(E131,5,2)</f>
        <v>23</v>
      </c>
      <c r="B131">
        <f>_xlfn.SWITCH(Table4[[#This Row],[month]],"jan",1,"feb",2,"mar",3,"apr",4,"may",5,"jun",6,"jul",7,"aug",8,"sep",9,"oct",10,"nov",11,"dec",12,"no month")</f>
        <v>5</v>
      </c>
      <c r="C131" s="12" t="str">
        <f>LEFT('All Transactions'!$E131,3)</f>
        <v>May</v>
      </c>
      <c r="D131" s="12" t="str">
        <f t="shared" ref="D131:D194" si="5">RIGHT(E131,4)</f>
        <v>2026</v>
      </c>
      <c r="E131" s="22" t="s">
        <v>498</v>
      </c>
      <c r="F131" s="23" t="s">
        <v>513</v>
      </c>
      <c r="G131" s="18" t="s">
        <v>28</v>
      </c>
      <c r="H131" s="24">
        <v>45</v>
      </c>
      <c r="I131" s="25" t="s">
        <v>514</v>
      </c>
      <c r="J131" s="25" t="s">
        <v>515</v>
      </c>
      <c r="K131" s="26" t="s">
        <v>516</v>
      </c>
      <c r="L131" s="25" t="s">
        <v>32</v>
      </c>
      <c r="M131" t="str">
        <f>TEXT(A131,"dddd")</f>
        <v>Monday</v>
      </c>
      <c r="N131" s="35">
        <f>DATE(Table4[[#This Row],[year]],Table4[[#This Row],[month2]],Table4[[#This Row],[day]])</f>
        <v>46165</v>
      </c>
    </row>
    <row r="132" spans="1:14" ht="16" x14ac:dyDescent="0.35">
      <c r="A132" t="str">
        <f t="shared" si="4"/>
        <v>22</v>
      </c>
      <c r="B132">
        <f>_xlfn.SWITCH(Table4[[#This Row],[month]],"jan",1,"feb",2,"mar",3,"apr",4,"may",5,"jun",6,"jul",7,"aug",8,"sep",9,"oct",10,"nov",11,"dec",12,"no month")</f>
        <v>5</v>
      </c>
      <c r="C132" s="12" t="str">
        <f>LEFT('All Transactions'!$E132,3)</f>
        <v>May</v>
      </c>
      <c r="D132" s="12" t="str">
        <f t="shared" si="5"/>
        <v>2026</v>
      </c>
      <c r="E132" s="16" t="s">
        <v>517</v>
      </c>
      <c r="F132" s="17" t="s">
        <v>518</v>
      </c>
      <c r="G132" s="18" t="s">
        <v>28</v>
      </c>
      <c r="H132" s="19">
        <v>29</v>
      </c>
      <c r="I132" s="20" t="s">
        <v>519</v>
      </c>
      <c r="J132" s="20" t="s">
        <v>520</v>
      </c>
      <c r="K132" s="21" t="s">
        <v>521</v>
      </c>
      <c r="L132" s="20" t="s">
        <v>47</v>
      </c>
      <c r="M132" t="str">
        <f>TEXT(A132,"dddd")</f>
        <v>Sunday</v>
      </c>
      <c r="N132" s="35">
        <f>DATE(Table4[[#This Row],[year]],Table4[[#This Row],[month2]],Table4[[#This Row],[day]])</f>
        <v>46164</v>
      </c>
    </row>
    <row r="133" spans="1:14" ht="16" x14ac:dyDescent="0.35">
      <c r="A133" t="str">
        <f t="shared" si="4"/>
        <v>22</v>
      </c>
      <c r="B133">
        <f>_xlfn.SWITCH(Table4[[#This Row],[month]],"jan",1,"feb",2,"mar",3,"apr",4,"may",5,"jun",6,"jul",7,"aug",8,"sep",9,"oct",10,"nov",11,"dec",12,"no month")</f>
        <v>5</v>
      </c>
      <c r="C133" s="12" t="str">
        <f>LEFT('All Transactions'!$E133,3)</f>
        <v>May</v>
      </c>
      <c r="D133" s="12" t="str">
        <f t="shared" si="5"/>
        <v>2026</v>
      </c>
      <c r="E133" s="22" t="s">
        <v>517</v>
      </c>
      <c r="F133" s="23" t="s">
        <v>522</v>
      </c>
      <c r="G133" s="18" t="s">
        <v>28</v>
      </c>
      <c r="H133" s="24">
        <v>200</v>
      </c>
      <c r="I133" s="25" t="s">
        <v>167</v>
      </c>
      <c r="J133" s="25" t="s">
        <v>523</v>
      </c>
      <c r="K133" s="26" t="s">
        <v>524</v>
      </c>
      <c r="L133" s="25" t="s">
        <v>47</v>
      </c>
      <c r="M133" t="str">
        <f>TEXT(A133,"dddd")</f>
        <v>Sunday</v>
      </c>
      <c r="N133" s="35">
        <f>DATE(Table4[[#This Row],[year]],Table4[[#This Row],[month2]],Table4[[#This Row],[day]])</f>
        <v>46164</v>
      </c>
    </row>
    <row r="134" spans="1:14" ht="16" x14ac:dyDescent="0.35">
      <c r="A134" t="str">
        <f t="shared" si="4"/>
        <v>22</v>
      </c>
      <c r="B134">
        <f>_xlfn.SWITCH(Table4[[#This Row],[month]],"jan",1,"feb",2,"mar",3,"apr",4,"may",5,"jun",6,"jul",7,"aug",8,"sep",9,"oct",10,"nov",11,"dec",12,"no month")</f>
        <v>5</v>
      </c>
      <c r="C134" s="12" t="str">
        <f>LEFT('All Transactions'!$E134,3)</f>
        <v>May</v>
      </c>
      <c r="D134" s="12" t="str">
        <f t="shared" si="5"/>
        <v>2026</v>
      </c>
      <c r="E134" s="16" t="s">
        <v>517</v>
      </c>
      <c r="F134" s="17" t="s">
        <v>150</v>
      </c>
      <c r="G134" s="18" t="s">
        <v>28</v>
      </c>
      <c r="H134" s="19">
        <v>20</v>
      </c>
      <c r="I134" s="20" t="s">
        <v>525</v>
      </c>
      <c r="J134" s="20" t="s">
        <v>526</v>
      </c>
      <c r="K134" s="21" t="s">
        <v>527</v>
      </c>
      <c r="L134" s="20" t="s">
        <v>32</v>
      </c>
      <c r="M134" t="str">
        <f>TEXT(A134,"dddd")</f>
        <v>Sunday</v>
      </c>
      <c r="N134" s="35">
        <f>DATE(Table4[[#This Row],[year]],Table4[[#This Row],[month2]],Table4[[#This Row],[day]])</f>
        <v>46164</v>
      </c>
    </row>
    <row r="135" spans="1:14" ht="16" x14ac:dyDescent="0.35">
      <c r="A135" t="str">
        <f t="shared" si="4"/>
        <v>22</v>
      </c>
      <c r="B135">
        <f>_xlfn.SWITCH(Table4[[#This Row],[month]],"jan",1,"feb",2,"mar",3,"apr",4,"may",5,"jun",6,"jul",7,"aug",8,"sep",9,"oct",10,"nov",11,"dec",12,"no month")</f>
        <v>5</v>
      </c>
      <c r="C135" s="12" t="str">
        <f>LEFT('All Transactions'!$E135,3)</f>
        <v>May</v>
      </c>
      <c r="D135" s="12" t="str">
        <f t="shared" si="5"/>
        <v>2026</v>
      </c>
      <c r="E135" s="22" t="s">
        <v>517</v>
      </c>
      <c r="F135" s="23" t="s">
        <v>528</v>
      </c>
      <c r="G135" s="18" t="s">
        <v>28</v>
      </c>
      <c r="H135" s="24">
        <v>500</v>
      </c>
      <c r="I135" s="25" t="s">
        <v>167</v>
      </c>
      <c r="J135" s="25" t="s">
        <v>529</v>
      </c>
      <c r="K135" s="26" t="s">
        <v>530</v>
      </c>
      <c r="L135" s="25" t="s">
        <v>32</v>
      </c>
      <c r="M135" t="str">
        <f>TEXT(A135,"dddd")</f>
        <v>Sunday</v>
      </c>
      <c r="N135" s="35">
        <f>DATE(Table4[[#This Row],[year]],Table4[[#This Row],[month2]],Table4[[#This Row],[day]])</f>
        <v>46164</v>
      </c>
    </row>
    <row r="136" spans="1:14" ht="16" x14ac:dyDescent="0.35">
      <c r="A136" t="str">
        <f t="shared" si="4"/>
        <v>22</v>
      </c>
      <c r="B136">
        <f>_xlfn.SWITCH(Table4[[#This Row],[month]],"jan",1,"feb",2,"mar",3,"apr",4,"may",5,"jun",6,"jul",7,"aug",8,"sep",9,"oct",10,"nov",11,"dec",12,"no month")</f>
        <v>5</v>
      </c>
      <c r="C136" s="12" t="str">
        <f>LEFT('All Transactions'!$E136,3)</f>
        <v>May</v>
      </c>
      <c r="D136" s="12" t="str">
        <f t="shared" si="5"/>
        <v>2026</v>
      </c>
      <c r="E136" s="16" t="s">
        <v>517</v>
      </c>
      <c r="F136" s="17" t="s">
        <v>531</v>
      </c>
      <c r="G136" s="18" t="s">
        <v>28</v>
      </c>
      <c r="H136" s="19">
        <v>94</v>
      </c>
      <c r="I136" s="20" t="s">
        <v>532</v>
      </c>
      <c r="J136" s="20" t="s">
        <v>533</v>
      </c>
      <c r="K136" s="21" t="s">
        <v>534</v>
      </c>
      <c r="L136" s="20" t="s">
        <v>32</v>
      </c>
      <c r="M136" t="str">
        <f>TEXT(A136,"dddd")</f>
        <v>Sunday</v>
      </c>
      <c r="N136" s="35">
        <f>DATE(Table4[[#This Row],[year]],Table4[[#This Row],[month2]],Table4[[#This Row],[day]])</f>
        <v>46164</v>
      </c>
    </row>
    <row r="137" spans="1:14" ht="16" x14ac:dyDescent="0.35">
      <c r="A137" t="str">
        <f t="shared" si="4"/>
        <v>22</v>
      </c>
      <c r="B137">
        <f>_xlfn.SWITCH(Table4[[#This Row],[month]],"jan",1,"feb",2,"mar",3,"apr",4,"may",5,"jun",6,"jul",7,"aug",8,"sep",9,"oct",10,"nov",11,"dec",12,"no month")</f>
        <v>5</v>
      </c>
      <c r="C137" s="12" t="str">
        <f>LEFT('All Transactions'!$E137,3)</f>
        <v>May</v>
      </c>
      <c r="D137" s="12" t="str">
        <f t="shared" si="5"/>
        <v>2026</v>
      </c>
      <c r="E137" s="22" t="s">
        <v>517</v>
      </c>
      <c r="F137" s="23" t="s">
        <v>535</v>
      </c>
      <c r="G137" s="18" t="s">
        <v>28</v>
      </c>
      <c r="H137" s="24">
        <v>120.51</v>
      </c>
      <c r="I137" s="25" t="s">
        <v>536</v>
      </c>
      <c r="J137" s="25" t="s">
        <v>537</v>
      </c>
      <c r="K137" s="26" t="s">
        <v>538</v>
      </c>
      <c r="L137" s="25" t="s">
        <v>32</v>
      </c>
      <c r="M137" t="str">
        <f>TEXT(A137,"dddd")</f>
        <v>Sunday</v>
      </c>
      <c r="N137" s="35">
        <f>DATE(Table4[[#This Row],[year]],Table4[[#This Row],[month2]],Table4[[#This Row],[day]])</f>
        <v>46164</v>
      </c>
    </row>
    <row r="138" spans="1:14" ht="16" x14ac:dyDescent="0.35">
      <c r="A138" t="str">
        <f t="shared" si="4"/>
        <v>22</v>
      </c>
      <c r="B138">
        <f>_xlfn.SWITCH(Table4[[#This Row],[month]],"jan",1,"feb",2,"mar",3,"apr",4,"may",5,"jun",6,"jul",7,"aug",8,"sep",9,"oct",10,"nov",11,"dec",12,"no month")</f>
        <v>5</v>
      </c>
      <c r="C138" s="12" t="str">
        <f>LEFT('All Transactions'!$E138,3)</f>
        <v>May</v>
      </c>
      <c r="D138" s="12" t="str">
        <f t="shared" si="5"/>
        <v>2026</v>
      </c>
      <c r="E138" s="16" t="s">
        <v>517</v>
      </c>
      <c r="F138" s="17" t="s">
        <v>539</v>
      </c>
      <c r="G138" s="18" t="s">
        <v>28</v>
      </c>
      <c r="H138" s="19">
        <v>20</v>
      </c>
      <c r="I138" s="20" t="s">
        <v>540</v>
      </c>
      <c r="J138" s="20" t="s">
        <v>541</v>
      </c>
      <c r="K138" s="21" t="s">
        <v>542</v>
      </c>
      <c r="L138" s="20" t="s">
        <v>32</v>
      </c>
      <c r="M138" t="str">
        <f>TEXT(A138,"dddd")</f>
        <v>Sunday</v>
      </c>
      <c r="N138" s="35">
        <f>DATE(Table4[[#This Row],[year]],Table4[[#This Row],[month2]],Table4[[#This Row],[day]])</f>
        <v>46164</v>
      </c>
    </row>
    <row r="139" spans="1:14" ht="16" x14ac:dyDescent="0.35">
      <c r="A139" t="str">
        <f t="shared" si="4"/>
        <v>22</v>
      </c>
      <c r="B139">
        <f>_xlfn.SWITCH(Table4[[#This Row],[month]],"jan",1,"feb",2,"mar",3,"apr",4,"may",5,"jun",6,"jul",7,"aug",8,"sep",9,"oct",10,"nov",11,"dec",12,"no month")</f>
        <v>5</v>
      </c>
      <c r="C139" s="12" t="str">
        <f>LEFT('All Transactions'!$E139,3)</f>
        <v>May</v>
      </c>
      <c r="D139" s="12" t="str">
        <f t="shared" si="5"/>
        <v>2026</v>
      </c>
      <c r="E139" s="22" t="s">
        <v>517</v>
      </c>
      <c r="F139" s="23" t="s">
        <v>543</v>
      </c>
      <c r="G139" s="27" t="s">
        <v>54</v>
      </c>
      <c r="H139" s="24">
        <v>160</v>
      </c>
      <c r="I139" s="25" t="s">
        <v>544</v>
      </c>
      <c r="J139" s="25" t="s">
        <v>545</v>
      </c>
      <c r="K139" s="26" t="s">
        <v>546</v>
      </c>
      <c r="L139" s="25" t="s">
        <v>58</v>
      </c>
      <c r="M139" t="str">
        <f>TEXT(A139,"dddd")</f>
        <v>Sunday</v>
      </c>
      <c r="N139" s="35">
        <f>DATE(Table4[[#This Row],[year]],Table4[[#This Row],[month2]],Table4[[#This Row],[day]])</f>
        <v>46164</v>
      </c>
    </row>
    <row r="140" spans="1:14" ht="16" x14ac:dyDescent="0.35">
      <c r="A140" t="str">
        <f t="shared" si="4"/>
        <v>21</v>
      </c>
      <c r="B140">
        <f>_xlfn.SWITCH(Table4[[#This Row],[month]],"jan",1,"feb",2,"mar",3,"apr",4,"may",5,"jun",6,"jul",7,"aug",8,"sep",9,"oct",10,"nov",11,"dec",12,"no month")</f>
        <v>5</v>
      </c>
      <c r="C140" s="12" t="str">
        <f>LEFT('All Transactions'!$E140,3)</f>
        <v>May</v>
      </c>
      <c r="D140" s="12" t="str">
        <f t="shared" si="5"/>
        <v>2026</v>
      </c>
      <c r="E140" s="16" t="s">
        <v>547</v>
      </c>
      <c r="F140" s="17" t="s">
        <v>548</v>
      </c>
      <c r="G140" s="27" t="s">
        <v>54</v>
      </c>
      <c r="H140" s="19">
        <v>269</v>
      </c>
      <c r="I140" s="20" t="s">
        <v>549</v>
      </c>
      <c r="J140" s="20" t="s">
        <v>550</v>
      </c>
      <c r="K140" s="21" t="s">
        <v>551</v>
      </c>
      <c r="L140" s="20" t="s">
        <v>58</v>
      </c>
      <c r="M140" t="str">
        <f>TEXT(A140,"dddd")</f>
        <v>Saturday</v>
      </c>
      <c r="N140" s="35">
        <f>DATE(Table4[[#This Row],[year]],Table4[[#This Row],[month2]],Table4[[#This Row],[day]])</f>
        <v>46163</v>
      </c>
    </row>
    <row r="141" spans="1:14" ht="16" x14ac:dyDescent="0.35">
      <c r="A141" t="str">
        <f t="shared" si="4"/>
        <v>21</v>
      </c>
      <c r="B141">
        <f>_xlfn.SWITCH(Table4[[#This Row],[month]],"jan",1,"feb",2,"mar",3,"apr",4,"may",5,"jun",6,"jul",7,"aug",8,"sep",9,"oct",10,"nov",11,"dec",12,"no month")</f>
        <v>5</v>
      </c>
      <c r="C141" s="12" t="str">
        <f>LEFT('All Transactions'!$E141,3)</f>
        <v>May</v>
      </c>
      <c r="D141" s="12" t="str">
        <f t="shared" si="5"/>
        <v>2026</v>
      </c>
      <c r="E141" s="22" t="s">
        <v>547</v>
      </c>
      <c r="F141" s="23" t="s">
        <v>552</v>
      </c>
      <c r="G141" s="27" t="s">
        <v>54</v>
      </c>
      <c r="H141" s="24">
        <v>50</v>
      </c>
      <c r="I141" s="25" t="s">
        <v>553</v>
      </c>
      <c r="J141" s="25" t="s">
        <v>554</v>
      </c>
      <c r="K141" s="26" t="s">
        <v>555</v>
      </c>
      <c r="L141" s="25" t="s">
        <v>58</v>
      </c>
      <c r="M141" t="str">
        <f>TEXT(A141,"dddd")</f>
        <v>Saturday</v>
      </c>
      <c r="N141" s="35">
        <f>DATE(Table4[[#This Row],[year]],Table4[[#This Row],[month2]],Table4[[#This Row],[day]])</f>
        <v>46163</v>
      </c>
    </row>
    <row r="142" spans="1:14" ht="16" x14ac:dyDescent="0.35">
      <c r="A142" t="str">
        <f t="shared" si="4"/>
        <v>21</v>
      </c>
      <c r="B142">
        <f>_xlfn.SWITCH(Table4[[#This Row],[month]],"jan",1,"feb",2,"mar",3,"apr",4,"may",5,"jun",6,"jul",7,"aug",8,"sep",9,"oct",10,"nov",11,"dec",12,"no month")</f>
        <v>5</v>
      </c>
      <c r="C142" s="12" t="str">
        <f>LEFT('All Transactions'!$E142,3)</f>
        <v>May</v>
      </c>
      <c r="D142" s="12" t="str">
        <f t="shared" si="5"/>
        <v>2026</v>
      </c>
      <c r="E142" s="16" t="s">
        <v>547</v>
      </c>
      <c r="F142" s="17" t="s">
        <v>220</v>
      </c>
      <c r="G142" s="27" t="s">
        <v>54</v>
      </c>
      <c r="H142" s="19">
        <v>90</v>
      </c>
      <c r="I142" s="20" t="s">
        <v>89</v>
      </c>
      <c r="J142" s="20" t="s">
        <v>556</v>
      </c>
      <c r="K142" s="21" t="s">
        <v>557</v>
      </c>
      <c r="L142" s="20" t="s">
        <v>58</v>
      </c>
      <c r="M142" t="str">
        <f>TEXT(A142,"dddd")</f>
        <v>Saturday</v>
      </c>
      <c r="N142" s="35">
        <f>DATE(Table4[[#This Row],[year]],Table4[[#This Row],[month2]],Table4[[#This Row],[day]])</f>
        <v>46163</v>
      </c>
    </row>
    <row r="143" spans="1:14" ht="16" x14ac:dyDescent="0.35">
      <c r="A143" t="str">
        <f t="shared" si="4"/>
        <v>21</v>
      </c>
      <c r="B143">
        <f>_xlfn.SWITCH(Table4[[#This Row],[month]],"jan",1,"feb",2,"mar",3,"apr",4,"may",5,"jun",6,"jul",7,"aug",8,"sep",9,"oct",10,"nov",11,"dec",12,"no month")</f>
        <v>5</v>
      </c>
      <c r="C143" s="12" t="str">
        <f>LEFT('All Transactions'!$E143,3)</f>
        <v>May</v>
      </c>
      <c r="D143" s="12" t="str">
        <f t="shared" si="5"/>
        <v>2026</v>
      </c>
      <c r="E143" s="22" t="s">
        <v>547</v>
      </c>
      <c r="F143" s="23" t="s">
        <v>282</v>
      </c>
      <c r="G143" s="18" t="s">
        <v>28</v>
      </c>
      <c r="H143" s="24">
        <v>120</v>
      </c>
      <c r="I143" s="25" t="s">
        <v>558</v>
      </c>
      <c r="J143" s="25" t="s">
        <v>559</v>
      </c>
      <c r="K143" s="26" t="s">
        <v>560</v>
      </c>
      <c r="L143" s="25" t="s">
        <v>32</v>
      </c>
      <c r="M143" t="str">
        <f>TEXT(A143,"dddd")</f>
        <v>Saturday</v>
      </c>
      <c r="N143" s="35">
        <f>DATE(Table4[[#This Row],[year]],Table4[[#This Row],[month2]],Table4[[#This Row],[day]])</f>
        <v>46163</v>
      </c>
    </row>
    <row r="144" spans="1:14" ht="16" x14ac:dyDescent="0.35">
      <c r="A144" t="str">
        <f t="shared" si="4"/>
        <v>21</v>
      </c>
      <c r="B144">
        <f>_xlfn.SWITCH(Table4[[#This Row],[month]],"jan",1,"feb",2,"mar",3,"apr",4,"may",5,"jun",6,"jul",7,"aug",8,"sep",9,"oct",10,"nov",11,"dec",12,"no month")</f>
        <v>5</v>
      </c>
      <c r="C144" s="12" t="str">
        <f>LEFT('All Transactions'!$E144,3)</f>
        <v>May</v>
      </c>
      <c r="D144" s="12" t="str">
        <f t="shared" si="5"/>
        <v>2026</v>
      </c>
      <c r="E144" s="16" t="s">
        <v>547</v>
      </c>
      <c r="F144" s="17" t="s">
        <v>561</v>
      </c>
      <c r="G144" s="27" t="s">
        <v>54</v>
      </c>
      <c r="H144" s="19">
        <v>83</v>
      </c>
      <c r="I144" s="20" t="s">
        <v>562</v>
      </c>
      <c r="J144" s="20" t="s">
        <v>563</v>
      </c>
      <c r="K144" s="21" t="s">
        <v>564</v>
      </c>
      <c r="L144" s="20" t="s">
        <v>58</v>
      </c>
      <c r="M144" t="str">
        <f>TEXT(A144,"dddd")</f>
        <v>Saturday</v>
      </c>
      <c r="N144" s="35">
        <f>DATE(Table4[[#This Row],[year]],Table4[[#This Row],[month2]],Table4[[#This Row],[day]])</f>
        <v>46163</v>
      </c>
    </row>
    <row r="145" spans="1:14" ht="16" x14ac:dyDescent="0.35">
      <c r="A145" t="str">
        <f t="shared" si="4"/>
        <v>21</v>
      </c>
      <c r="B145">
        <f>_xlfn.SWITCH(Table4[[#This Row],[month]],"jan",1,"feb",2,"mar",3,"apr",4,"may",5,"jun",6,"jul",7,"aug",8,"sep",9,"oct",10,"nov",11,"dec",12,"no month")</f>
        <v>5</v>
      </c>
      <c r="C145" s="12" t="str">
        <f>LEFT('All Transactions'!$E145,3)</f>
        <v>May</v>
      </c>
      <c r="D145" s="12" t="str">
        <f t="shared" si="5"/>
        <v>2026</v>
      </c>
      <c r="E145" s="22" t="s">
        <v>547</v>
      </c>
      <c r="F145" s="23" t="s">
        <v>565</v>
      </c>
      <c r="G145" s="18" t="s">
        <v>28</v>
      </c>
      <c r="H145" s="24">
        <v>49.95</v>
      </c>
      <c r="I145" s="25" t="s">
        <v>566</v>
      </c>
      <c r="J145" s="25" t="s">
        <v>567</v>
      </c>
      <c r="K145" s="26" t="s">
        <v>568</v>
      </c>
      <c r="L145" s="25" t="s">
        <v>32</v>
      </c>
      <c r="M145" t="str">
        <f>TEXT(A145,"dddd")</f>
        <v>Saturday</v>
      </c>
      <c r="N145" s="35">
        <f>DATE(Table4[[#This Row],[year]],Table4[[#This Row],[month2]],Table4[[#This Row],[day]])</f>
        <v>46163</v>
      </c>
    </row>
    <row r="146" spans="1:14" ht="16" x14ac:dyDescent="0.35">
      <c r="A146" t="str">
        <f t="shared" si="4"/>
        <v>21</v>
      </c>
      <c r="B146">
        <f>_xlfn.SWITCH(Table4[[#This Row],[month]],"jan",1,"feb",2,"mar",3,"apr",4,"may",5,"jun",6,"jul",7,"aug",8,"sep",9,"oct",10,"nov",11,"dec",12,"no month")</f>
        <v>5</v>
      </c>
      <c r="C146" s="12" t="str">
        <f>LEFT('All Transactions'!$E146,3)</f>
        <v>May</v>
      </c>
      <c r="D146" s="12" t="str">
        <f t="shared" si="5"/>
        <v>2026</v>
      </c>
      <c r="E146" s="16" t="s">
        <v>547</v>
      </c>
      <c r="F146" s="17" t="s">
        <v>569</v>
      </c>
      <c r="G146" s="27" t="s">
        <v>54</v>
      </c>
      <c r="H146" s="19">
        <v>71</v>
      </c>
      <c r="I146" s="20" t="s">
        <v>570</v>
      </c>
      <c r="J146" s="20" t="s">
        <v>571</v>
      </c>
      <c r="K146" s="21" t="s">
        <v>572</v>
      </c>
      <c r="L146" s="20" t="s">
        <v>58</v>
      </c>
      <c r="M146" t="str">
        <f>TEXT(A146,"dddd")</f>
        <v>Saturday</v>
      </c>
      <c r="N146" s="35">
        <f>DATE(Table4[[#This Row],[year]],Table4[[#This Row],[month2]],Table4[[#This Row],[day]])</f>
        <v>46163</v>
      </c>
    </row>
    <row r="147" spans="1:14" ht="16" x14ac:dyDescent="0.35">
      <c r="A147" t="str">
        <f t="shared" si="4"/>
        <v>21</v>
      </c>
      <c r="B147">
        <f>_xlfn.SWITCH(Table4[[#This Row],[month]],"jan",1,"feb",2,"mar",3,"apr",4,"may",5,"jun",6,"jul",7,"aug",8,"sep",9,"oct",10,"nov",11,"dec",12,"no month")</f>
        <v>5</v>
      </c>
      <c r="C147" s="12" t="str">
        <f>LEFT('All Transactions'!$E147,3)</f>
        <v>May</v>
      </c>
      <c r="D147" s="12" t="str">
        <f t="shared" si="5"/>
        <v>2026</v>
      </c>
      <c r="E147" s="22" t="s">
        <v>547</v>
      </c>
      <c r="F147" s="23" t="s">
        <v>573</v>
      </c>
      <c r="G147" s="27" t="s">
        <v>54</v>
      </c>
      <c r="H147" s="24">
        <v>103</v>
      </c>
      <c r="I147" s="25" t="s">
        <v>574</v>
      </c>
      <c r="J147" s="25" t="s">
        <v>575</v>
      </c>
      <c r="K147" s="26" t="s">
        <v>576</v>
      </c>
      <c r="L147" s="25" t="s">
        <v>58</v>
      </c>
      <c r="M147" t="str">
        <f>TEXT(A147,"dddd")</f>
        <v>Saturday</v>
      </c>
      <c r="N147" s="35">
        <f>DATE(Table4[[#This Row],[year]],Table4[[#This Row],[month2]],Table4[[#This Row],[day]])</f>
        <v>46163</v>
      </c>
    </row>
    <row r="148" spans="1:14" ht="16" x14ac:dyDescent="0.35">
      <c r="A148" t="str">
        <f t="shared" si="4"/>
        <v>21</v>
      </c>
      <c r="B148">
        <f>_xlfn.SWITCH(Table4[[#This Row],[month]],"jan",1,"feb",2,"mar",3,"apr",4,"may",5,"jun",6,"jul",7,"aug",8,"sep",9,"oct",10,"nov",11,"dec",12,"no month")</f>
        <v>5</v>
      </c>
      <c r="C148" s="12" t="str">
        <f>LEFT('All Transactions'!$E148,3)</f>
        <v>May</v>
      </c>
      <c r="D148" s="12" t="str">
        <f t="shared" si="5"/>
        <v>2026</v>
      </c>
      <c r="E148" s="16" t="s">
        <v>547</v>
      </c>
      <c r="F148" s="17" t="s">
        <v>577</v>
      </c>
      <c r="G148" s="27" t="s">
        <v>54</v>
      </c>
      <c r="H148" s="19">
        <v>67</v>
      </c>
      <c r="I148" s="20" t="s">
        <v>578</v>
      </c>
      <c r="J148" s="20" t="s">
        <v>579</v>
      </c>
      <c r="K148" s="21" t="s">
        <v>580</v>
      </c>
      <c r="L148" s="20" t="s">
        <v>58</v>
      </c>
      <c r="M148" t="str">
        <f>TEXT(A148,"dddd")</f>
        <v>Saturday</v>
      </c>
      <c r="N148" s="35">
        <f>DATE(Table4[[#This Row],[year]],Table4[[#This Row],[month2]],Table4[[#This Row],[day]])</f>
        <v>46163</v>
      </c>
    </row>
    <row r="149" spans="1:14" ht="16" x14ac:dyDescent="0.35">
      <c r="A149" t="str">
        <f t="shared" si="4"/>
        <v>21</v>
      </c>
      <c r="B149">
        <f>_xlfn.SWITCH(Table4[[#This Row],[month]],"jan",1,"feb",2,"mar",3,"apr",4,"may",5,"jun",6,"jul",7,"aug",8,"sep",9,"oct",10,"nov",11,"dec",12,"no month")</f>
        <v>5</v>
      </c>
      <c r="C149" s="12" t="str">
        <f>LEFT('All Transactions'!$E149,3)</f>
        <v>May</v>
      </c>
      <c r="D149" s="12" t="str">
        <f t="shared" si="5"/>
        <v>2026</v>
      </c>
      <c r="E149" s="22" t="s">
        <v>547</v>
      </c>
      <c r="F149" s="23" t="s">
        <v>581</v>
      </c>
      <c r="G149" s="27" t="s">
        <v>54</v>
      </c>
      <c r="H149" s="24">
        <v>67</v>
      </c>
      <c r="I149" s="25" t="s">
        <v>582</v>
      </c>
      <c r="J149" s="25" t="s">
        <v>583</v>
      </c>
      <c r="K149" s="26" t="s">
        <v>584</v>
      </c>
      <c r="L149" s="25" t="s">
        <v>58</v>
      </c>
      <c r="M149" t="str">
        <f>TEXT(A149,"dddd")</f>
        <v>Saturday</v>
      </c>
      <c r="N149" s="35">
        <f>DATE(Table4[[#This Row],[year]],Table4[[#This Row],[month2]],Table4[[#This Row],[day]])</f>
        <v>46163</v>
      </c>
    </row>
    <row r="150" spans="1:14" ht="16" x14ac:dyDescent="0.35">
      <c r="A150" t="str">
        <f t="shared" si="4"/>
        <v>21</v>
      </c>
      <c r="B150">
        <f>_xlfn.SWITCH(Table4[[#This Row],[month]],"jan",1,"feb",2,"mar",3,"apr",4,"may",5,"jun",6,"jul",7,"aug",8,"sep",9,"oct",10,"nov",11,"dec",12,"no month")</f>
        <v>5</v>
      </c>
      <c r="C150" s="12" t="str">
        <f>LEFT('All Transactions'!$E150,3)</f>
        <v>May</v>
      </c>
      <c r="D150" s="12" t="str">
        <f t="shared" si="5"/>
        <v>2026</v>
      </c>
      <c r="E150" s="16" t="s">
        <v>547</v>
      </c>
      <c r="F150" s="17" t="s">
        <v>585</v>
      </c>
      <c r="G150" s="27" t="s">
        <v>54</v>
      </c>
      <c r="H150" s="19">
        <v>108</v>
      </c>
      <c r="I150" s="20" t="s">
        <v>586</v>
      </c>
      <c r="J150" s="20" t="s">
        <v>587</v>
      </c>
      <c r="K150" s="21" t="s">
        <v>588</v>
      </c>
      <c r="L150" s="20" t="s">
        <v>58</v>
      </c>
      <c r="M150" t="str">
        <f>TEXT(A150,"dddd")</f>
        <v>Saturday</v>
      </c>
      <c r="N150" s="35">
        <f>DATE(Table4[[#This Row],[year]],Table4[[#This Row],[month2]],Table4[[#This Row],[day]])</f>
        <v>46163</v>
      </c>
    </row>
    <row r="151" spans="1:14" ht="16" x14ac:dyDescent="0.35">
      <c r="A151" t="str">
        <f t="shared" si="4"/>
        <v>21</v>
      </c>
      <c r="B151">
        <f>_xlfn.SWITCH(Table4[[#This Row],[month]],"jan",1,"feb",2,"mar",3,"apr",4,"may",5,"jun",6,"jul",7,"aug",8,"sep",9,"oct",10,"nov",11,"dec",12,"no month")</f>
        <v>5</v>
      </c>
      <c r="C151" s="12" t="str">
        <f>LEFT('All Transactions'!$E151,3)</f>
        <v>May</v>
      </c>
      <c r="D151" s="12" t="str">
        <f t="shared" si="5"/>
        <v>2026</v>
      </c>
      <c r="E151" s="22" t="s">
        <v>547</v>
      </c>
      <c r="F151" s="23" t="s">
        <v>589</v>
      </c>
      <c r="G151" s="18" t="s">
        <v>28</v>
      </c>
      <c r="H151" s="24">
        <v>70</v>
      </c>
      <c r="I151" s="25" t="s">
        <v>590</v>
      </c>
      <c r="J151" s="25" t="s">
        <v>591</v>
      </c>
      <c r="K151" s="26" t="s">
        <v>592</v>
      </c>
      <c r="L151" s="25" t="s">
        <v>32</v>
      </c>
      <c r="M151" t="str">
        <f>TEXT(A151,"dddd")</f>
        <v>Saturday</v>
      </c>
      <c r="N151" s="35">
        <f>DATE(Table4[[#This Row],[year]],Table4[[#This Row],[month2]],Table4[[#This Row],[day]])</f>
        <v>46163</v>
      </c>
    </row>
    <row r="152" spans="1:14" ht="16" x14ac:dyDescent="0.35">
      <c r="A152" t="str">
        <f t="shared" si="4"/>
        <v>21</v>
      </c>
      <c r="B152">
        <f>_xlfn.SWITCH(Table4[[#This Row],[month]],"jan",1,"feb",2,"mar",3,"apr",4,"may",5,"jun",6,"jul",7,"aug",8,"sep",9,"oct",10,"nov",11,"dec",12,"no month")</f>
        <v>5</v>
      </c>
      <c r="C152" s="12" t="str">
        <f>LEFT('All Transactions'!$E152,3)</f>
        <v>May</v>
      </c>
      <c r="D152" s="12" t="str">
        <f t="shared" si="5"/>
        <v>2026</v>
      </c>
      <c r="E152" s="16" t="s">
        <v>547</v>
      </c>
      <c r="F152" s="17" t="s">
        <v>593</v>
      </c>
      <c r="G152" s="18" t="s">
        <v>28</v>
      </c>
      <c r="H152" s="19">
        <v>150</v>
      </c>
      <c r="I152" s="20" t="s">
        <v>594</v>
      </c>
      <c r="J152" s="20" t="s">
        <v>595</v>
      </c>
      <c r="K152" s="21" t="s">
        <v>596</v>
      </c>
      <c r="L152" s="20" t="s">
        <v>32</v>
      </c>
      <c r="M152" t="str">
        <f>TEXT(A152,"dddd")</f>
        <v>Saturday</v>
      </c>
      <c r="N152" s="35">
        <f>DATE(Table4[[#This Row],[year]],Table4[[#This Row],[month2]],Table4[[#This Row],[day]])</f>
        <v>46163</v>
      </c>
    </row>
    <row r="153" spans="1:14" ht="16" x14ac:dyDescent="0.35">
      <c r="A153" t="str">
        <f t="shared" si="4"/>
        <v>21</v>
      </c>
      <c r="B153">
        <f>_xlfn.SWITCH(Table4[[#This Row],[month]],"jan",1,"feb",2,"mar",3,"apr",4,"may",5,"jun",6,"jul",7,"aug",8,"sep",9,"oct",10,"nov",11,"dec",12,"no month")</f>
        <v>5</v>
      </c>
      <c r="C153" s="12" t="str">
        <f>LEFT('All Transactions'!$E153,3)</f>
        <v>May</v>
      </c>
      <c r="D153" s="12" t="str">
        <f t="shared" si="5"/>
        <v>2026</v>
      </c>
      <c r="E153" s="22" t="s">
        <v>547</v>
      </c>
      <c r="F153" s="23" t="s">
        <v>597</v>
      </c>
      <c r="G153" s="27" t="s">
        <v>54</v>
      </c>
      <c r="H153" s="24">
        <v>200</v>
      </c>
      <c r="I153" s="25" t="s">
        <v>156</v>
      </c>
      <c r="J153" s="25" t="s">
        <v>598</v>
      </c>
      <c r="K153" s="26" t="s">
        <v>599</v>
      </c>
      <c r="L153" s="25" t="s">
        <v>58</v>
      </c>
      <c r="M153" t="str">
        <f>TEXT(A153,"dddd")</f>
        <v>Saturday</v>
      </c>
      <c r="N153" s="35">
        <f>DATE(Table4[[#This Row],[year]],Table4[[#This Row],[month2]],Table4[[#This Row],[day]])</f>
        <v>46163</v>
      </c>
    </row>
    <row r="154" spans="1:14" ht="16" x14ac:dyDescent="0.35">
      <c r="A154" t="str">
        <f t="shared" si="4"/>
        <v>21</v>
      </c>
      <c r="B154">
        <f>_xlfn.SWITCH(Table4[[#This Row],[month]],"jan",1,"feb",2,"mar",3,"apr",4,"may",5,"jun",6,"jul",7,"aug",8,"sep",9,"oct",10,"nov",11,"dec",12,"no month")</f>
        <v>5</v>
      </c>
      <c r="C154" s="12" t="str">
        <f>LEFT('All Transactions'!$E154,3)</f>
        <v>May</v>
      </c>
      <c r="D154" s="12" t="str">
        <f t="shared" si="5"/>
        <v>2026</v>
      </c>
      <c r="E154" s="16" t="s">
        <v>547</v>
      </c>
      <c r="F154" s="17" t="s">
        <v>600</v>
      </c>
      <c r="G154" s="18" t="s">
        <v>28</v>
      </c>
      <c r="H154" s="19">
        <v>140</v>
      </c>
      <c r="I154" s="20" t="s">
        <v>20</v>
      </c>
      <c r="J154" s="20" t="s">
        <v>601</v>
      </c>
      <c r="K154" s="21" t="s">
        <v>602</v>
      </c>
      <c r="L154" s="20" t="s">
        <v>47</v>
      </c>
      <c r="M154" t="str">
        <f>TEXT(A154,"dddd")</f>
        <v>Saturday</v>
      </c>
      <c r="N154" s="35">
        <f>DATE(Table4[[#This Row],[year]],Table4[[#This Row],[month2]],Table4[[#This Row],[day]])</f>
        <v>46163</v>
      </c>
    </row>
    <row r="155" spans="1:14" ht="16" x14ac:dyDescent="0.35">
      <c r="A155" t="str">
        <f t="shared" si="4"/>
        <v>20</v>
      </c>
      <c r="B155">
        <f>_xlfn.SWITCH(Table4[[#This Row],[month]],"jan",1,"feb",2,"mar",3,"apr",4,"may",5,"jun",6,"jul",7,"aug",8,"sep",9,"oct",10,"nov",11,"dec",12,"no month")</f>
        <v>5</v>
      </c>
      <c r="C155" s="12" t="str">
        <f>LEFT('All Transactions'!$E155,3)</f>
        <v>May</v>
      </c>
      <c r="D155" s="12" t="str">
        <f t="shared" si="5"/>
        <v>2026</v>
      </c>
      <c r="E155" s="22" t="s">
        <v>603</v>
      </c>
      <c r="F155" s="23" t="s">
        <v>604</v>
      </c>
      <c r="G155" s="18" t="s">
        <v>28</v>
      </c>
      <c r="H155" s="24">
        <v>90</v>
      </c>
      <c r="I155" s="25" t="s">
        <v>167</v>
      </c>
      <c r="J155" s="25" t="s">
        <v>605</v>
      </c>
      <c r="K155" s="26" t="s">
        <v>606</v>
      </c>
      <c r="L155" s="25" t="s">
        <v>32</v>
      </c>
      <c r="M155" t="str">
        <f>TEXT(A155,"dddd")</f>
        <v>Friday</v>
      </c>
      <c r="N155" s="35">
        <f>DATE(Table4[[#This Row],[year]],Table4[[#This Row],[month2]],Table4[[#This Row],[day]])</f>
        <v>46162</v>
      </c>
    </row>
    <row r="156" spans="1:14" ht="16" x14ac:dyDescent="0.35">
      <c r="A156" t="str">
        <f t="shared" si="4"/>
        <v>20</v>
      </c>
      <c r="B156">
        <f>_xlfn.SWITCH(Table4[[#This Row],[month]],"jan",1,"feb",2,"mar",3,"apr",4,"may",5,"jun",6,"jul",7,"aug",8,"sep",9,"oct",10,"nov",11,"dec",12,"no month")</f>
        <v>5</v>
      </c>
      <c r="C156" s="12" t="str">
        <f>LEFT('All Transactions'!$E156,3)</f>
        <v>May</v>
      </c>
      <c r="D156" s="12" t="str">
        <f t="shared" si="5"/>
        <v>2026</v>
      </c>
      <c r="E156" s="16" t="s">
        <v>603</v>
      </c>
      <c r="F156" s="17" t="s">
        <v>607</v>
      </c>
      <c r="G156" s="18" t="s">
        <v>28</v>
      </c>
      <c r="H156" s="19">
        <v>120</v>
      </c>
      <c r="I156" s="20" t="s">
        <v>608</v>
      </c>
      <c r="J156" s="20" t="s">
        <v>609</v>
      </c>
      <c r="K156" s="21" t="s">
        <v>610</v>
      </c>
      <c r="L156" s="20" t="s">
        <v>47</v>
      </c>
      <c r="M156" t="str">
        <f>TEXT(A156,"dddd")</f>
        <v>Friday</v>
      </c>
      <c r="N156" s="35">
        <f>DATE(Table4[[#This Row],[year]],Table4[[#This Row],[month2]],Table4[[#This Row],[day]])</f>
        <v>46162</v>
      </c>
    </row>
    <row r="157" spans="1:14" ht="16" x14ac:dyDescent="0.35">
      <c r="A157" t="str">
        <f t="shared" si="4"/>
        <v>19</v>
      </c>
      <c r="B157">
        <f>_xlfn.SWITCH(Table4[[#This Row],[month]],"jan",1,"feb",2,"mar",3,"apr",4,"may",5,"jun",6,"jul",7,"aug",8,"sep",9,"oct",10,"nov",11,"dec",12,"no month")</f>
        <v>5</v>
      </c>
      <c r="C157" s="12" t="str">
        <f>LEFT('All Transactions'!$E157,3)</f>
        <v>May</v>
      </c>
      <c r="D157" s="12" t="str">
        <f t="shared" si="5"/>
        <v>2026</v>
      </c>
      <c r="E157" s="22" t="s">
        <v>611</v>
      </c>
      <c r="F157" s="23" t="s">
        <v>612</v>
      </c>
      <c r="G157" s="27" t="s">
        <v>54</v>
      </c>
      <c r="H157" s="24">
        <v>90</v>
      </c>
      <c r="I157" s="25" t="s">
        <v>613</v>
      </c>
      <c r="J157" s="25" t="s">
        <v>614</v>
      </c>
      <c r="K157" s="26" t="s">
        <v>615</v>
      </c>
      <c r="L157" s="25" t="s">
        <v>58</v>
      </c>
      <c r="M157" t="str">
        <f>TEXT(A157,"dddd")</f>
        <v>Thursday</v>
      </c>
      <c r="N157" s="35">
        <f>DATE(Table4[[#This Row],[year]],Table4[[#This Row],[month2]],Table4[[#This Row],[day]])</f>
        <v>46161</v>
      </c>
    </row>
    <row r="158" spans="1:14" ht="16" x14ac:dyDescent="0.35">
      <c r="A158" t="str">
        <f t="shared" si="4"/>
        <v>19</v>
      </c>
      <c r="B158">
        <f>_xlfn.SWITCH(Table4[[#This Row],[month]],"jan",1,"feb",2,"mar",3,"apr",4,"may",5,"jun",6,"jul",7,"aug",8,"sep",9,"oct",10,"nov",11,"dec",12,"no month")</f>
        <v>5</v>
      </c>
      <c r="C158" s="12" t="str">
        <f>LEFT('All Transactions'!$E158,3)</f>
        <v>May</v>
      </c>
      <c r="D158" s="12" t="str">
        <f t="shared" si="5"/>
        <v>2026</v>
      </c>
      <c r="E158" s="16" t="s">
        <v>611</v>
      </c>
      <c r="F158" s="17" t="s">
        <v>616</v>
      </c>
      <c r="G158" s="27" t="s">
        <v>54</v>
      </c>
      <c r="H158" s="19">
        <v>45</v>
      </c>
      <c r="I158" s="20" t="s">
        <v>617</v>
      </c>
      <c r="J158" s="20" t="s">
        <v>618</v>
      </c>
      <c r="K158" s="21" t="s">
        <v>619</v>
      </c>
      <c r="L158" s="20" t="s">
        <v>58</v>
      </c>
      <c r="M158" t="str">
        <f>TEXT(A158,"dddd")</f>
        <v>Thursday</v>
      </c>
      <c r="N158" s="35">
        <f>DATE(Table4[[#This Row],[year]],Table4[[#This Row],[month2]],Table4[[#This Row],[day]])</f>
        <v>46161</v>
      </c>
    </row>
    <row r="159" spans="1:14" ht="16" x14ac:dyDescent="0.35">
      <c r="A159" t="str">
        <f t="shared" si="4"/>
        <v>19</v>
      </c>
      <c r="B159">
        <f>_xlfn.SWITCH(Table4[[#This Row],[month]],"jan",1,"feb",2,"mar",3,"apr",4,"may",5,"jun",6,"jul",7,"aug",8,"sep",9,"oct",10,"nov",11,"dec",12,"no month")</f>
        <v>5</v>
      </c>
      <c r="C159" s="12" t="str">
        <f>LEFT('All Transactions'!$E159,3)</f>
        <v>May</v>
      </c>
      <c r="D159" s="12" t="str">
        <f t="shared" si="5"/>
        <v>2026</v>
      </c>
      <c r="E159" s="22" t="s">
        <v>611</v>
      </c>
      <c r="F159" s="23" t="s">
        <v>620</v>
      </c>
      <c r="G159" s="27" t="s">
        <v>54</v>
      </c>
      <c r="H159" s="24">
        <v>88</v>
      </c>
      <c r="I159" s="25" t="s">
        <v>621</v>
      </c>
      <c r="J159" s="25" t="s">
        <v>622</v>
      </c>
      <c r="K159" s="26" t="s">
        <v>623</v>
      </c>
      <c r="L159" s="25" t="s">
        <v>58</v>
      </c>
      <c r="M159" t="str">
        <f>TEXT(A159,"dddd")</f>
        <v>Thursday</v>
      </c>
      <c r="N159" s="35">
        <f>DATE(Table4[[#This Row],[year]],Table4[[#This Row],[month2]],Table4[[#This Row],[day]])</f>
        <v>46161</v>
      </c>
    </row>
    <row r="160" spans="1:14" ht="16" x14ac:dyDescent="0.35">
      <c r="A160" t="str">
        <f t="shared" si="4"/>
        <v>19</v>
      </c>
      <c r="B160">
        <f>_xlfn.SWITCH(Table4[[#This Row],[month]],"jan",1,"feb",2,"mar",3,"apr",4,"may",5,"jun",6,"jul",7,"aug",8,"sep",9,"oct",10,"nov",11,"dec",12,"no month")</f>
        <v>5</v>
      </c>
      <c r="C160" s="12" t="str">
        <f>LEFT('All Transactions'!$E160,3)</f>
        <v>May</v>
      </c>
      <c r="D160" s="12" t="str">
        <f t="shared" si="5"/>
        <v>2026</v>
      </c>
      <c r="E160" s="16" t="s">
        <v>611</v>
      </c>
      <c r="F160" s="17" t="s">
        <v>624</v>
      </c>
      <c r="G160" s="27" t="s">
        <v>54</v>
      </c>
      <c r="H160" s="19">
        <v>50</v>
      </c>
      <c r="I160" s="20" t="s">
        <v>89</v>
      </c>
      <c r="J160" s="20" t="s">
        <v>625</v>
      </c>
      <c r="K160" s="21" t="s">
        <v>626</v>
      </c>
      <c r="L160" s="20" t="s">
        <v>58</v>
      </c>
      <c r="M160" t="str">
        <f>TEXT(A160,"dddd")</f>
        <v>Thursday</v>
      </c>
      <c r="N160" s="35">
        <f>DATE(Table4[[#This Row],[year]],Table4[[#This Row],[month2]],Table4[[#This Row],[day]])</f>
        <v>46161</v>
      </c>
    </row>
    <row r="161" spans="1:14" ht="16" x14ac:dyDescent="0.35">
      <c r="A161" t="str">
        <f t="shared" si="4"/>
        <v>19</v>
      </c>
      <c r="B161">
        <f>_xlfn.SWITCH(Table4[[#This Row],[month]],"jan",1,"feb",2,"mar",3,"apr",4,"may",5,"jun",6,"jul",7,"aug",8,"sep",9,"oct",10,"nov",11,"dec",12,"no month")</f>
        <v>5</v>
      </c>
      <c r="C161" s="12" t="str">
        <f>LEFT('All Transactions'!$E161,3)</f>
        <v>May</v>
      </c>
      <c r="D161" s="12" t="str">
        <f t="shared" si="5"/>
        <v>2026</v>
      </c>
      <c r="E161" s="22" t="s">
        <v>611</v>
      </c>
      <c r="F161" s="23" t="s">
        <v>173</v>
      </c>
      <c r="G161" s="18" t="s">
        <v>28</v>
      </c>
      <c r="H161" s="24">
        <v>10</v>
      </c>
      <c r="I161" s="25" t="s">
        <v>627</v>
      </c>
      <c r="J161" s="25" t="s">
        <v>628</v>
      </c>
      <c r="K161" s="26" t="s">
        <v>629</v>
      </c>
      <c r="L161" s="25" t="s">
        <v>32</v>
      </c>
      <c r="M161" t="str">
        <f>TEXT(A161,"dddd")</f>
        <v>Thursday</v>
      </c>
      <c r="N161" s="35">
        <f>DATE(Table4[[#This Row],[year]],Table4[[#This Row],[month2]],Table4[[#This Row],[day]])</f>
        <v>46161</v>
      </c>
    </row>
    <row r="162" spans="1:14" ht="16" x14ac:dyDescent="0.35">
      <c r="A162" t="str">
        <f t="shared" si="4"/>
        <v>19</v>
      </c>
      <c r="B162">
        <f>_xlfn.SWITCH(Table4[[#This Row],[month]],"jan",1,"feb",2,"mar",3,"apr",4,"may",5,"jun",6,"jul",7,"aug",8,"sep",9,"oct",10,"nov",11,"dec",12,"no month")</f>
        <v>5</v>
      </c>
      <c r="C162" s="12" t="str">
        <f>LEFT('All Transactions'!$E162,3)</f>
        <v>May</v>
      </c>
      <c r="D162" s="12" t="str">
        <f t="shared" si="5"/>
        <v>2026</v>
      </c>
      <c r="E162" s="16" t="s">
        <v>611</v>
      </c>
      <c r="F162" s="17" t="s">
        <v>518</v>
      </c>
      <c r="G162" s="27" t="s">
        <v>54</v>
      </c>
      <c r="H162" s="19">
        <v>86</v>
      </c>
      <c r="I162" s="20" t="s">
        <v>630</v>
      </c>
      <c r="J162" s="20" t="s">
        <v>631</v>
      </c>
      <c r="K162" s="21" t="s">
        <v>632</v>
      </c>
      <c r="L162" s="20" t="s">
        <v>58</v>
      </c>
      <c r="M162" t="str">
        <f>TEXT(A162,"dddd")</f>
        <v>Thursday</v>
      </c>
      <c r="N162" s="35">
        <f>DATE(Table4[[#This Row],[year]],Table4[[#This Row],[month2]],Table4[[#This Row],[day]])</f>
        <v>46161</v>
      </c>
    </row>
    <row r="163" spans="1:14" ht="16" x14ac:dyDescent="0.35">
      <c r="A163" t="str">
        <f t="shared" si="4"/>
        <v>19</v>
      </c>
      <c r="B163">
        <f>_xlfn.SWITCH(Table4[[#This Row],[month]],"jan",1,"feb",2,"mar",3,"apr",4,"may",5,"jun",6,"jul",7,"aug",8,"sep",9,"oct",10,"nov",11,"dec",12,"no month")</f>
        <v>5</v>
      </c>
      <c r="C163" s="12" t="str">
        <f>LEFT('All Transactions'!$E163,3)</f>
        <v>May</v>
      </c>
      <c r="D163" s="12" t="str">
        <f t="shared" si="5"/>
        <v>2026</v>
      </c>
      <c r="E163" s="22" t="s">
        <v>611</v>
      </c>
      <c r="F163" s="23" t="s">
        <v>633</v>
      </c>
      <c r="G163" s="27" t="s">
        <v>54</v>
      </c>
      <c r="H163" s="24">
        <v>71</v>
      </c>
      <c r="I163" s="25" t="s">
        <v>634</v>
      </c>
      <c r="J163" s="25" t="s">
        <v>635</v>
      </c>
      <c r="K163" s="26" t="s">
        <v>636</v>
      </c>
      <c r="L163" s="25" t="s">
        <v>58</v>
      </c>
      <c r="M163" t="str">
        <f>TEXT(A163,"dddd")</f>
        <v>Thursday</v>
      </c>
      <c r="N163" s="35">
        <f>DATE(Table4[[#This Row],[year]],Table4[[#This Row],[month2]],Table4[[#This Row],[day]])</f>
        <v>46161</v>
      </c>
    </row>
    <row r="164" spans="1:14" ht="16" x14ac:dyDescent="0.35">
      <c r="A164" t="str">
        <f t="shared" si="4"/>
        <v>19</v>
      </c>
      <c r="B164">
        <f>_xlfn.SWITCH(Table4[[#This Row],[month]],"jan",1,"feb",2,"mar",3,"apr",4,"may",5,"jun",6,"jul",7,"aug",8,"sep",9,"oct",10,"nov",11,"dec",12,"no month")</f>
        <v>5</v>
      </c>
      <c r="C164" s="12" t="str">
        <f>LEFT('All Transactions'!$E164,3)</f>
        <v>May</v>
      </c>
      <c r="D164" s="12" t="str">
        <f t="shared" si="5"/>
        <v>2026</v>
      </c>
      <c r="E164" s="16" t="s">
        <v>611</v>
      </c>
      <c r="F164" s="17" t="s">
        <v>637</v>
      </c>
      <c r="G164" s="27" t="s">
        <v>54</v>
      </c>
      <c r="H164" s="19">
        <v>48</v>
      </c>
      <c r="I164" s="20" t="s">
        <v>638</v>
      </c>
      <c r="J164" s="20" t="s">
        <v>639</v>
      </c>
      <c r="K164" s="21" t="s">
        <v>640</v>
      </c>
      <c r="L164" s="20" t="s">
        <v>58</v>
      </c>
      <c r="M164" t="str">
        <f>TEXT(A164,"dddd")</f>
        <v>Thursday</v>
      </c>
      <c r="N164" s="35">
        <f>DATE(Table4[[#This Row],[year]],Table4[[#This Row],[month2]],Table4[[#This Row],[day]])</f>
        <v>46161</v>
      </c>
    </row>
    <row r="165" spans="1:14" ht="16" x14ac:dyDescent="0.35">
      <c r="A165" t="str">
        <f t="shared" si="4"/>
        <v>19</v>
      </c>
      <c r="B165">
        <f>_xlfn.SWITCH(Table4[[#This Row],[month]],"jan",1,"feb",2,"mar",3,"apr",4,"may",5,"jun",6,"jul",7,"aug",8,"sep",9,"oct",10,"nov",11,"dec",12,"no month")</f>
        <v>5</v>
      </c>
      <c r="C165" s="12" t="str">
        <f>LEFT('All Transactions'!$E165,3)</f>
        <v>May</v>
      </c>
      <c r="D165" s="12" t="str">
        <f t="shared" si="5"/>
        <v>2026</v>
      </c>
      <c r="E165" s="22" t="s">
        <v>611</v>
      </c>
      <c r="F165" s="23" t="s">
        <v>641</v>
      </c>
      <c r="G165" s="18" t="s">
        <v>28</v>
      </c>
      <c r="H165" s="24">
        <v>20</v>
      </c>
      <c r="I165" s="25" t="s">
        <v>267</v>
      </c>
      <c r="J165" s="25" t="s">
        <v>642</v>
      </c>
      <c r="K165" s="26" t="s">
        <v>643</v>
      </c>
      <c r="L165" s="25" t="s">
        <v>47</v>
      </c>
      <c r="M165" t="str">
        <f>TEXT(A165,"dddd")</f>
        <v>Thursday</v>
      </c>
      <c r="N165" s="35">
        <f>DATE(Table4[[#This Row],[year]],Table4[[#This Row],[month2]],Table4[[#This Row],[day]])</f>
        <v>46161</v>
      </c>
    </row>
    <row r="166" spans="1:14" ht="16" x14ac:dyDescent="0.35">
      <c r="A166" t="str">
        <f t="shared" si="4"/>
        <v>19</v>
      </c>
      <c r="B166">
        <f>_xlfn.SWITCH(Table4[[#This Row],[month]],"jan",1,"feb",2,"mar",3,"apr",4,"may",5,"jun",6,"jul",7,"aug",8,"sep",9,"oct",10,"nov",11,"dec",12,"no month")</f>
        <v>5</v>
      </c>
      <c r="C166" s="12" t="str">
        <f>LEFT('All Transactions'!$E166,3)</f>
        <v>May</v>
      </c>
      <c r="D166" s="12" t="str">
        <f t="shared" si="5"/>
        <v>2026</v>
      </c>
      <c r="E166" s="16" t="s">
        <v>611</v>
      </c>
      <c r="F166" s="17" t="s">
        <v>644</v>
      </c>
      <c r="G166" s="18" t="s">
        <v>28</v>
      </c>
      <c r="H166" s="19">
        <v>40</v>
      </c>
      <c r="I166" s="20" t="s">
        <v>384</v>
      </c>
      <c r="J166" s="20" t="s">
        <v>645</v>
      </c>
      <c r="K166" s="21" t="s">
        <v>646</v>
      </c>
      <c r="L166" s="20" t="s">
        <v>32</v>
      </c>
      <c r="M166" t="str">
        <f>TEXT(A166,"dddd")</f>
        <v>Thursday</v>
      </c>
      <c r="N166" s="35">
        <f>DATE(Table4[[#This Row],[year]],Table4[[#This Row],[month2]],Table4[[#This Row],[day]])</f>
        <v>46161</v>
      </c>
    </row>
    <row r="167" spans="1:14" ht="16" x14ac:dyDescent="0.35">
      <c r="A167" t="str">
        <f t="shared" si="4"/>
        <v>19</v>
      </c>
      <c r="B167">
        <f>_xlfn.SWITCH(Table4[[#This Row],[month]],"jan",1,"feb",2,"mar",3,"apr",4,"may",5,"jun",6,"jul",7,"aug",8,"sep",9,"oct",10,"nov",11,"dec",12,"no month")</f>
        <v>5</v>
      </c>
      <c r="C167" s="12" t="str">
        <f>LEFT('All Transactions'!$E167,3)</f>
        <v>May</v>
      </c>
      <c r="D167" s="12" t="str">
        <f t="shared" si="5"/>
        <v>2026</v>
      </c>
      <c r="E167" s="22" t="s">
        <v>611</v>
      </c>
      <c r="F167" s="23" t="s">
        <v>647</v>
      </c>
      <c r="G167" s="18" t="s">
        <v>28</v>
      </c>
      <c r="H167" s="24">
        <v>30</v>
      </c>
      <c r="I167" s="25" t="s">
        <v>608</v>
      </c>
      <c r="J167" s="25" t="s">
        <v>648</v>
      </c>
      <c r="K167" s="26" t="s">
        <v>649</v>
      </c>
      <c r="L167" s="25" t="s">
        <v>32</v>
      </c>
      <c r="M167" t="str">
        <f>TEXT(A167,"dddd")</f>
        <v>Thursday</v>
      </c>
      <c r="N167" s="35">
        <f>DATE(Table4[[#This Row],[year]],Table4[[#This Row],[month2]],Table4[[#This Row],[day]])</f>
        <v>46161</v>
      </c>
    </row>
    <row r="168" spans="1:14" ht="16" x14ac:dyDescent="0.35">
      <c r="A168" t="str">
        <f t="shared" si="4"/>
        <v>19</v>
      </c>
      <c r="B168">
        <f>_xlfn.SWITCH(Table4[[#This Row],[month]],"jan",1,"feb",2,"mar",3,"apr",4,"may",5,"jun",6,"jul",7,"aug",8,"sep",9,"oct",10,"nov",11,"dec",12,"no month")</f>
        <v>5</v>
      </c>
      <c r="C168" s="12" t="str">
        <f>LEFT('All Transactions'!$E168,3)</f>
        <v>May</v>
      </c>
      <c r="D168" s="12" t="str">
        <f t="shared" si="5"/>
        <v>2026</v>
      </c>
      <c r="E168" s="16" t="s">
        <v>611</v>
      </c>
      <c r="F168" s="17" t="s">
        <v>380</v>
      </c>
      <c r="G168" s="18" t="s">
        <v>28</v>
      </c>
      <c r="H168" s="19">
        <v>60</v>
      </c>
      <c r="I168" s="20" t="s">
        <v>608</v>
      </c>
      <c r="J168" s="20" t="s">
        <v>650</v>
      </c>
      <c r="K168" s="21" t="s">
        <v>651</v>
      </c>
      <c r="L168" s="20" t="s">
        <v>47</v>
      </c>
      <c r="M168" t="str">
        <f>TEXT(A168,"dddd")</f>
        <v>Thursday</v>
      </c>
      <c r="N168" s="35">
        <f>DATE(Table4[[#This Row],[year]],Table4[[#This Row],[month2]],Table4[[#This Row],[day]])</f>
        <v>46161</v>
      </c>
    </row>
    <row r="169" spans="1:14" ht="16" x14ac:dyDescent="0.35">
      <c r="A169" t="str">
        <f t="shared" si="4"/>
        <v>19</v>
      </c>
      <c r="B169">
        <f>_xlfn.SWITCH(Table4[[#This Row],[month]],"jan",1,"feb",2,"mar",3,"apr",4,"may",5,"jun",6,"jul",7,"aug",8,"sep",9,"oct",10,"nov",11,"dec",12,"no month")</f>
        <v>5</v>
      </c>
      <c r="C169" s="12" t="str">
        <f>LEFT('All Transactions'!$E169,3)</f>
        <v>May</v>
      </c>
      <c r="D169" s="12" t="str">
        <f t="shared" si="5"/>
        <v>2026</v>
      </c>
      <c r="E169" s="22" t="s">
        <v>611</v>
      </c>
      <c r="F169" s="23" t="s">
        <v>652</v>
      </c>
      <c r="G169" s="18" t="s">
        <v>28</v>
      </c>
      <c r="H169" s="24">
        <v>15</v>
      </c>
      <c r="I169" s="25" t="s">
        <v>191</v>
      </c>
      <c r="J169" s="25" t="s">
        <v>653</v>
      </c>
      <c r="K169" s="26" t="s">
        <v>654</v>
      </c>
      <c r="L169" s="25" t="s">
        <v>32</v>
      </c>
      <c r="M169" t="str">
        <f>TEXT(A169,"dddd")</f>
        <v>Thursday</v>
      </c>
      <c r="N169" s="35">
        <f>DATE(Table4[[#This Row],[year]],Table4[[#This Row],[month2]],Table4[[#This Row],[day]])</f>
        <v>46161</v>
      </c>
    </row>
    <row r="170" spans="1:14" ht="16" x14ac:dyDescent="0.35">
      <c r="A170" t="str">
        <f t="shared" si="4"/>
        <v>18</v>
      </c>
      <c r="B170">
        <f>_xlfn.SWITCH(Table4[[#This Row],[month]],"jan",1,"feb",2,"mar",3,"apr",4,"may",5,"jun",6,"jul",7,"aug",8,"sep",9,"oct",10,"nov",11,"dec",12,"no month")</f>
        <v>5</v>
      </c>
      <c r="C170" s="12" t="str">
        <f>LEFT('All Transactions'!$E170,3)</f>
        <v>May</v>
      </c>
      <c r="D170" s="12" t="str">
        <f t="shared" si="5"/>
        <v>2026</v>
      </c>
      <c r="E170" s="16" t="s">
        <v>655</v>
      </c>
      <c r="F170" s="17" t="s">
        <v>656</v>
      </c>
      <c r="G170" s="18" t="s">
        <v>28</v>
      </c>
      <c r="H170" s="19">
        <v>25</v>
      </c>
      <c r="I170" s="20" t="s">
        <v>201</v>
      </c>
      <c r="J170" s="20" t="s">
        <v>657</v>
      </c>
      <c r="K170" s="21" t="s">
        <v>658</v>
      </c>
      <c r="L170" s="20" t="s">
        <v>32</v>
      </c>
      <c r="M170" t="str">
        <f>TEXT(A170,"dddd")</f>
        <v>Wednesday</v>
      </c>
      <c r="N170" s="35">
        <f>DATE(Table4[[#This Row],[year]],Table4[[#This Row],[month2]],Table4[[#This Row],[day]])</f>
        <v>46160</v>
      </c>
    </row>
    <row r="171" spans="1:14" ht="16" x14ac:dyDescent="0.35">
      <c r="A171" t="str">
        <f t="shared" si="4"/>
        <v>18</v>
      </c>
      <c r="B171">
        <f>_xlfn.SWITCH(Table4[[#This Row],[month]],"jan",1,"feb",2,"mar",3,"apr",4,"may",5,"jun",6,"jul",7,"aug",8,"sep",9,"oct",10,"nov",11,"dec",12,"no month")</f>
        <v>5</v>
      </c>
      <c r="C171" s="12" t="str">
        <f>LEFT('All Transactions'!$E171,3)</f>
        <v>May</v>
      </c>
      <c r="D171" s="12" t="str">
        <f t="shared" si="5"/>
        <v>2026</v>
      </c>
      <c r="E171" s="22" t="s">
        <v>655</v>
      </c>
      <c r="F171" s="23" t="s">
        <v>656</v>
      </c>
      <c r="G171" s="18" t="s">
        <v>28</v>
      </c>
      <c r="H171" s="24">
        <v>10</v>
      </c>
      <c r="I171" s="25" t="s">
        <v>267</v>
      </c>
      <c r="J171" s="25" t="s">
        <v>659</v>
      </c>
      <c r="K171" s="26" t="s">
        <v>660</v>
      </c>
      <c r="L171" s="25" t="s">
        <v>32</v>
      </c>
      <c r="M171" t="str">
        <f>TEXT(A171,"dddd")</f>
        <v>Wednesday</v>
      </c>
      <c r="N171" s="35">
        <f>DATE(Table4[[#This Row],[year]],Table4[[#This Row],[month2]],Table4[[#This Row],[day]])</f>
        <v>46160</v>
      </c>
    </row>
    <row r="172" spans="1:14" ht="16" x14ac:dyDescent="0.35">
      <c r="A172" t="str">
        <f t="shared" si="4"/>
        <v>18</v>
      </c>
      <c r="B172">
        <f>_xlfn.SWITCH(Table4[[#This Row],[month]],"jan",1,"feb",2,"mar",3,"apr",4,"may",5,"jun",6,"jul",7,"aug",8,"sep",9,"oct",10,"nov",11,"dec",12,"no month")</f>
        <v>5</v>
      </c>
      <c r="C172" s="12" t="str">
        <f>LEFT('All Transactions'!$E172,3)</f>
        <v>May</v>
      </c>
      <c r="D172" s="12" t="str">
        <f t="shared" si="5"/>
        <v>2026</v>
      </c>
      <c r="E172" s="16" t="s">
        <v>655</v>
      </c>
      <c r="F172" s="17" t="s">
        <v>661</v>
      </c>
      <c r="G172" s="18" t="s">
        <v>28</v>
      </c>
      <c r="H172" s="19">
        <v>10</v>
      </c>
      <c r="I172" s="20" t="s">
        <v>662</v>
      </c>
      <c r="J172" s="20" t="s">
        <v>663</v>
      </c>
      <c r="K172" s="21" t="s">
        <v>664</v>
      </c>
      <c r="L172" s="20" t="s">
        <v>32</v>
      </c>
      <c r="M172" t="str">
        <f>TEXT(A172,"dddd")</f>
        <v>Wednesday</v>
      </c>
      <c r="N172" s="35">
        <f>DATE(Table4[[#This Row],[year]],Table4[[#This Row],[month2]],Table4[[#This Row],[day]])</f>
        <v>46160</v>
      </c>
    </row>
    <row r="173" spans="1:14" ht="16" x14ac:dyDescent="0.35">
      <c r="A173" t="str">
        <f t="shared" si="4"/>
        <v>18</v>
      </c>
      <c r="B173">
        <f>_xlfn.SWITCH(Table4[[#This Row],[month]],"jan",1,"feb",2,"mar",3,"apr",4,"may",5,"jun",6,"jul",7,"aug",8,"sep",9,"oct",10,"nov",11,"dec",12,"no month")</f>
        <v>5</v>
      </c>
      <c r="C173" s="12" t="str">
        <f>LEFT('All Transactions'!$E173,3)</f>
        <v>May</v>
      </c>
      <c r="D173" s="12" t="str">
        <f t="shared" si="5"/>
        <v>2026</v>
      </c>
      <c r="E173" s="22" t="s">
        <v>655</v>
      </c>
      <c r="F173" s="23" t="s">
        <v>665</v>
      </c>
      <c r="G173" s="27" t="s">
        <v>54</v>
      </c>
      <c r="H173" s="24">
        <v>51</v>
      </c>
      <c r="I173" s="25" t="s">
        <v>666</v>
      </c>
      <c r="J173" s="25" t="s">
        <v>667</v>
      </c>
      <c r="K173" s="26" t="s">
        <v>668</v>
      </c>
      <c r="L173" s="25" t="s">
        <v>58</v>
      </c>
      <c r="M173" t="str">
        <f>TEXT(A173,"dddd")</f>
        <v>Wednesday</v>
      </c>
      <c r="N173" s="35">
        <f>DATE(Table4[[#This Row],[year]],Table4[[#This Row],[month2]],Table4[[#This Row],[day]])</f>
        <v>46160</v>
      </c>
    </row>
    <row r="174" spans="1:14" ht="16" x14ac:dyDescent="0.35">
      <c r="A174" t="str">
        <f t="shared" si="4"/>
        <v>18</v>
      </c>
      <c r="B174">
        <f>_xlfn.SWITCH(Table4[[#This Row],[month]],"jan",1,"feb",2,"mar",3,"apr",4,"may",5,"jun",6,"jul",7,"aug",8,"sep",9,"oct",10,"nov",11,"dec",12,"no month")</f>
        <v>5</v>
      </c>
      <c r="C174" s="12" t="str">
        <f>LEFT('All Transactions'!$E174,3)</f>
        <v>May</v>
      </c>
      <c r="D174" s="12" t="str">
        <f t="shared" si="5"/>
        <v>2026</v>
      </c>
      <c r="E174" s="16" t="s">
        <v>655</v>
      </c>
      <c r="F174" s="17" t="s">
        <v>669</v>
      </c>
      <c r="G174" s="27" t="s">
        <v>54</v>
      </c>
      <c r="H174" s="19">
        <v>150</v>
      </c>
      <c r="I174" s="20" t="s">
        <v>156</v>
      </c>
      <c r="J174" s="20" t="s">
        <v>670</v>
      </c>
      <c r="K174" s="21" t="s">
        <v>671</v>
      </c>
      <c r="L174" s="20" t="s">
        <v>58</v>
      </c>
      <c r="M174" t="str">
        <f>TEXT(A174,"dddd")</f>
        <v>Wednesday</v>
      </c>
      <c r="N174" s="35">
        <f>DATE(Table4[[#This Row],[year]],Table4[[#This Row],[month2]],Table4[[#This Row],[day]])</f>
        <v>46160</v>
      </c>
    </row>
    <row r="175" spans="1:14" ht="16" x14ac:dyDescent="0.35">
      <c r="A175" t="str">
        <f t="shared" si="4"/>
        <v>18</v>
      </c>
      <c r="B175">
        <f>_xlfn.SWITCH(Table4[[#This Row],[month]],"jan",1,"feb",2,"mar",3,"apr",4,"may",5,"jun",6,"jul",7,"aug",8,"sep",9,"oct",10,"nov",11,"dec",12,"no month")</f>
        <v>5</v>
      </c>
      <c r="C175" s="12" t="str">
        <f>LEFT('All Transactions'!$E175,3)</f>
        <v>May</v>
      </c>
      <c r="D175" s="12" t="str">
        <f t="shared" si="5"/>
        <v>2026</v>
      </c>
      <c r="E175" s="22" t="s">
        <v>655</v>
      </c>
      <c r="F175" s="23" t="s">
        <v>672</v>
      </c>
      <c r="G175" s="18" t="s">
        <v>28</v>
      </c>
      <c r="H175" s="24">
        <v>150</v>
      </c>
      <c r="I175" s="25" t="s">
        <v>420</v>
      </c>
      <c r="J175" s="25" t="s">
        <v>673</v>
      </c>
      <c r="K175" s="26" t="s">
        <v>674</v>
      </c>
      <c r="L175" s="25" t="s">
        <v>32</v>
      </c>
      <c r="M175" t="str">
        <f>TEXT(A175,"dddd")</f>
        <v>Wednesday</v>
      </c>
      <c r="N175" s="35">
        <f>DATE(Table4[[#This Row],[year]],Table4[[#This Row],[month2]],Table4[[#This Row],[day]])</f>
        <v>46160</v>
      </c>
    </row>
    <row r="176" spans="1:14" ht="16" x14ac:dyDescent="0.35">
      <c r="A176" t="str">
        <f t="shared" si="4"/>
        <v>18</v>
      </c>
      <c r="B176">
        <f>_xlfn.SWITCH(Table4[[#This Row],[month]],"jan",1,"feb",2,"mar",3,"apr",4,"may",5,"jun",6,"jul",7,"aug",8,"sep",9,"oct",10,"nov",11,"dec",12,"no month")</f>
        <v>5</v>
      </c>
      <c r="C176" s="12" t="str">
        <f>LEFT('All Transactions'!$E176,3)</f>
        <v>May</v>
      </c>
      <c r="D176" s="12" t="str">
        <f t="shared" si="5"/>
        <v>2026</v>
      </c>
      <c r="E176" s="16" t="s">
        <v>655</v>
      </c>
      <c r="F176" s="17" t="s">
        <v>245</v>
      </c>
      <c r="G176" s="27" t="s">
        <v>54</v>
      </c>
      <c r="H176" s="19">
        <v>107</v>
      </c>
      <c r="I176" s="20" t="s">
        <v>675</v>
      </c>
      <c r="J176" s="20" t="s">
        <v>676</v>
      </c>
      <c r="K176" s="21" t="s">
        <v>677</v>
      </c>
      <c r="L176" s="20" t="s">
        <v>58</v>
      </c>
      <c r="M176" t="str">
        <f>TEXT(A176,"dddd")</f>
        <v>Wednesday</v>
      </c>
      <c r="N176" s="35">
        <f>DATE(Table4[[#This Row],[year]],Table4[[#This Row],[month2]],Table4[[#This Row],[day]])</f>
        <v>46160</v>
      </c>
    </row>
    <row r="177" spans="1:14" ht="16" x14ac:dyDescent="0.35">
      <c r="A177" t="str">
        <f t="shared" si="4"/>
        <v>18</v>
      </c>
      <c r="B177">
        <f>_xlfn.SWITCH(Table4[[#This Row],[month]],"jan",1,"feb",2,"mar",3,"apr",4,"may",5,"jun",6,"jul",7,"aug",8,"sep",9,"oct",10,"nov",11,"dec",12,"no month")</f>
        <v>5</v>
      </c>
      <c r="C177" s="12" t="str">
        <f>LEFT('All Transactions'!$E177,3)</f>
        <v>May</v>
      </c>
      <c r="D177" s="12" t="str">
        <f t="shared" si="5"/>
        <v>2026</v>
      </c>
      <c r="E177" s="22" t="s">
        <v>655</v>
      </c>
      <c r="F177" s="23" t="s">
        <v>678</v>
      </c>
      <c r="G177" s="27" t="s">
        <v>54</v>
      </c>
      <c r="H177" s="24">
        <v>97</v>
      </c>
      <c r="I177" s="25" t="s">
        <v>679</v>
      </c>
      <c r="J177" s="25" t="s">
        <v>680</v>
      </c>
      <c r="K177" s="26" t="s">
        <v>681</v>
      </c>
      <c r="L177" s="25" t="s">
        <v>58</v>
      </c>
      <c r="M177" t="str">
        <f>TEXT(A177,"dddd")</f>
        <v>Wednesday</v>
      </c>
      <c r="N177" s="35">
        <f>DATE(Table4[[#This Row],[year]],Table4[[#This Row],[month2]],Table4[[#This Row],[day]])</f>
        <v>46160</v>
      </c>
    </row>
    <row r="178" spans="1:14" ht="16" x14ac:dyDescent="0.35">
      <c r="A178" t="str">
        <f t="shared" si="4"/>
        <v>18</v>
      </c>
      <c r="B178">
        <f>_xlfn.SWITCH(Table4[[#This Row],[month]],"jan",1,"feb",2,"mar",3,"apr",4,"may",5,"jun",6,"jul",7,"aug",8,"sep",9,"oct",10,"nov",11,"dec",12,"no month")</f>
        <v>5</v>
      </c>
      <c r="C178" s="12" t="str">
        <f>LEFT('All Transactions'!$E178,3)</f>
        <v>May</v>
      </c>
      <c r="D178" s="12" t="str">
        <f t="shared" si="5"/>
        <v>2026</v>
      </c>
      <c r="E178" s="16" t="s">
        <v>655</v>
      </c>
      <c r="F178" s="17" t="s">
        <v>365</v>
      </c>
      <c r="G178" s="18" t="s">
        <v>28</v>
      </c>
      <c r="H178" s="19">
        <v>302</v>
      </c>
      <c r="I178" s="20" t="s">
        <v>682</v>
      </c>
      <c r="J178" s="20" t="s">
        <v>683</v>
      </c>
      <c r="K178" s="21" t="s">
        <v>684</v>
      </c>
      <c r="L178" s="20" t="s">
        <v>32</v>
      </c>
      <c r="M178" t="str">
        <f>TEXT(A178,"dddd")</f>
        <v>Wednesday</v>
      </c>
      <c r="N178" s="35">
        <f>DATE(Table4[[#This Row],[year]],Table4[[#This Row],[month2]],Table4[[#This Row],[day]])</f>
        <v>46160</v>
      </c>
    </row>
    <row r="179" spans="1:14" ht="16" x14ac:dyDescent="0.35">
      <c r="A179" t="str">
        <f t="shared" si="4"/>
        <v>18</v>
      </c>
      <c r="B179">
        <f>_xlfn.SWITCH(Table4[[#This Row],[month]],"jan",1,"feb",2,"mar",3,"apr",4,"may",5,"jun",6,"jul",7,"aug",8,"sep",9,"oct",10,"nov",11,"dec",12,"no month")</f>
        <v>5</v>
      </c>
      <c r="C179" s="12" t="str">
        <f>LEFT('All Transactions'!$E179,3)</f>
        <v>May</v>
      </c>
      <c r="D179" s="12" t="str">
        <f t="shared" si="5"/>
        <v>2026</v>
      </c>
      <c r="E179" s="22" t="s">
        <v>655</v>
      </c>
      <c r="F179" s="23" t="s">
        <v>685</v>
      </c>
      <c r="G179" s="18" t="s">
        <v>28</v>
      </c>
      <c r="H179" s="24">
        <v>20</v>
      </c>
      <c r="I179" s="25" t="s">
        <v>267</v>
      </c>
      <c r="J179" s="25" t="s">
        <v>686</v>
      </c>
      <c r="K179" s="26" t="s">
        <v>687</v>
      </c>
      <c r="L179" s="25" t="s">
        <v>32</v>
      </c>
      <c r="M179" t="str">
        <f>TEXT(A179,"dddd")</f>
        <v>Wednesday</v>
      </c>
      <c r="N179" s="35">
        <f>DATE(Table4[[#This Row],[year]],Table4[[#This Row],[month2]],Table4[[#This Row],[day]])</f>
        <v>46160</v>
      </c>
    </row>
    <row r="180" spans="1:14" ht="16" x14ac:dyDescent="0.35">
      <c r="A180" t="str">
        <f t="shared" si="4"/>
        <v>18</v>
      </c>
      <c r="B180">
        <f>_xlfn.SWITCH(Table4[[#This Row],[month]],"jan",1,"feb",2,"mar",3,"apr",4,"may",5,"jun",6,"jul",7,"aug",8,"sep",9,"oct",10,"nov",11,"dec",12,"no month")</f>
        <v>5</v>
      </c>
      <c r="C180" s="12" t="str">
        <f>LEFT('All Transactions'!$E180,3)</f>
        <v>May</v>
      </c>
      <c r="D180" s="12" t="str">
        <f t="shared" si="5"/>
        <v>2026</v>
      </c>
      <c r="E180" s="16" t="s">
        <v>655</v>
      </c>
      <c r="F180" s="17" t="s">
        <v>688</v>
      </c>
      <c r="G180" s="18" t="s">
        <v>28</v>
      </c>
      <c r="H180" s="19">
        <v>30</v>
      </c>
      <c r="I180" s="20" t="s">
        <v>191</v>
      </c>
      <c r="J180" s="20" t="s">
        <v>689</v>
      </c>
      <c r="K180" s="21" t="s">
        <v>690</v>
      </c>
      <c r="L180" s="20" t="s">
        <v>47</v>
      </c>
      <c r="M180" t="str">
        <f>TEXT(A180,"dddd")</f>
        <v>Wednesday</v>
      </c>
      <c r="N180" s="35">
        <f>DATE(Table4[[#This Row],[year]],Table4[[#This Row],[month2]],Table4[[#This Row],[day]])</f>
        <v>46160</v>
      </c>
    </row>
    <row r="181" spans="1:14" ht="16" x14ac:dyDescent="0.35">
      <c r="A181" t="str">
        <f t="shared" si="4"/>
        <v>18</v>
      </c>
      <c r="B181">
        <f>_xlfn.SWITCH(Table4[[#This Row],[month]],"jan",1,"feb",2,"mar",3,"apr",4,"may",5,"jun",6,"jul",7,"aug",8,"sep",9,"oct",10,"nov",11,"dec",12,"no month")</f>
        <v>5</v>
      </c>
      <c r="C181" s="12" t="str">
        <f>LEFT('All Transactions'!$E181,3)</f>
        <v>May</v>
      </c>
      <c r="D181" s="12" t="str">
        <f t="shared" si="5"/>
        <v>2026</v>
      </c>
      <c r="E181" s="22" t="s">
        <v>655</v>
      </c>
      <c r="F181" s="23" t="s">
        <v>691</v>
      </c>
      <c r="G181" s="18" t="s">
        <v>28</v>
      </c>
      <c r="H181" s="24">
        <v>1500</v>
      </c>
      <c r="I181" s="25" t="s">
        <v>12</v>
      </c>
      <c r="J181" s="25" t="s">
        <v>692</v>
      </c>
      <c r="K181" s="26" t="s">
        <v>693</v>
      </c>
      <c r="L181" s="25" t="s">
        <v>47</v>
      </c>
      <c r="M181" t="str">
        <f>TEXT(A181,"dddd")</f>
        <v>Wednesday</v>
      </c>
      <c r="N181" s="35">
        <f>DATE(Table4[[#This Row],[year]],Table4[[#This Row],[month2]],Table4[[#This Row],[day]])</f>
        <v>46160</v>
      </c>
    </row>
    <row r="182" spans="1:14" ht="16" x14ac:dyDescent="0.35">
      <c r="A182" t="str">
        <f t="shared" si="4"/>
        <v>18</v>
      </c>
      <c r="B182">
        <f>_xlfn.SWITCH(Table4[[#This Row],[month]],"jan",1,"feb",2,"mar",3,"apr",4,"may",5,"jun",6,"jul",7,"aug",8,"sep",9,"oct",10,"nov",11,"dec",12,"no month")</f>
        <v>5</v>
      </c>
      <c r="C182" s="12" t="str">
        <f>LEFT('All Transactions'!$E182,3)</f>
        <v>May</v>
      </c>
      <c r="D182" s="12" t="str">
        <f t="shared" si="5"/>
        <v>2026</v>
      </c>
      <c r="E182" s="16" t="s">
        <v>655</v>
      </c>
      <c r="F182" s="17" t="s">
        <v>373</v>
      </c>
      <c r="G182" s="18" t="s">
        <v>28</v>
      </c>
      <c r="H182" s="19">
        <v>35</v>
      </c>
      <c r="I182" s="20" t="s">
        <v>191</v>
      </c>
      <c r="J182" s="20" t="s">
        <v>694</v>
      </c>
      <c r="K182" s="21" t="s">
        <v>695</v>
      </c>
      <c r="L182" s="20" t="s">
        <v>47</v>
      </c>
      <c r="M182" t="str">
        <f>TEXT(A182,"dddd")</f>
        <v>Wednesday</v>
      </c>
      <c r="N182" s="35">
        <f>DATE(Table4[[#This Row],[year]],Table4[[#This Row],[month2]],Table4[[#This Row],[day]])</f>
        <v>46160</v>
      </c>
    </row>
    <row r="183" spans="1:14" ht="16" x14ac:dyDescent="0.35">
      <c r="A183" t="str">
        <f t="shared" si="4"/>
        <v>18</v>
      </c>
      <c r="B183">
        <f>_xlfn.SWITCH(Table4[[#This Row],[month]],"jan",1,"feb",2,"mar",3,"apr",4,"may",5,"jun",6,"jul",7,"aug",8,"sep",9,"oct",10,"nov",11,"dec",12,"no month")</f>
        <v>5</v>
      </c>
      <c r="C183" s="12" t="str">
        <f>LEFT('All Transactions'!$E183,3)</f>
        <v>May</v>
      </c>
      <c r="D183" s="12" t="str">
        <f t="shared" si="5"/>
        <v>2026</v>
      </c>
      <c r="E183" s="22" t="s">
        <v>655</v>
      </c>
      <c r="F183" s="23" t="s">
        <v>696</v>
      </c>
      <c r="G183" s="18" t="s">
        <v>28</v>
      </c>
      <c r="H183" s="24">
        <v>34</v>
      </c>
      <c r="I183" s="25" t="s">
        <v>450</v>
      </c>
      <c r="J183" s="25" t="s">
        <v>697</v>
      </c>
      <c r="K183" s="26" t="s">
        <v>698</v>
      </c>
      <c r="L183" s="25" t="s">
        <v>32</v>
      </c>
      <c r="M183" t="str">
        <f>TEXT(A183,"dddd")</f>
        <v>Wednesday</v>
      </c>
      <c r="N183" s="35">
        <f>DATE(Table4[[#This Row],[year]],Table4[[#This Row],[month2]],Table4[[#This Row],[day]])</f>
        <v>46160</v>
      </c>
    </row>
    <row r="184" spans="1:14" ht="16" x14ac:dyDescent="0.35">
      <c r="A184" t="str">
        <f t="shared" si="4"/>
        <v>18</v>
      </c>
      <c r="B184">
        <f>_xlfn.SWITCH(Table4[[#This Row],[month]],"jan",1,"feb",2,"mar",3,"apr",4,"may",5,"jun",6,"jul",7,"aug",8,"sep",9,"oct",10,"nov",11,"dec",12,"no month")</f>
        <v>5</v>
      </c>
      <c r="C184" s="12" t="str">
        <f>LEFT('All Transactions'!$E184,3)</f>
        <v>May</v>
      </c>
      <c r="D184" s="12" t="str">
        <f t="shared" si="5"/>
        <v>2026</v>
      </c>
      <c r="E184" s="16" t="s">
        <v>655</v>
      </c>
      <c r="F184" s="17" t="s">
        <v>699</v>
      </c>
      <c r="G184" s="18" t="s">
        <v>28</v>
      </c>
      <c r="H184" s="19">
        <v>150</v>
      </c>
      <c r="I184" s="20" t="s">
        <v>12</v>
      </c>
      <c r="J184" s="20" t="s">
        <v>700</v>
      </c>
      <c r="K184" s="21" t="s">
        <v>701</v>
      </c>
      <c r="L184" s="20" t="s">
        <v>32</v>
      </c>
      <c r="M184" t="str">
        <f>TEXT(A184,"dddd")</f>
        <v>Wednesday</v>
      </c>
      <c r="N184" s="35">
        <f>DATE(Table4[[#This Row],[year]],Table4[[#This Row],[month2]],Table4[[#This Row],[day]])</f>
        <v>46160</v>
      </c>
    </row>
    <row r="185" spans="1:14" ht="16" x14ac:dyDescent="0.35">
      <c r="A185" t="str">
        <f t="shared" si="4"/>
        <v>18</v>
      </c>
      <c r="B185">
        <f>_xlfn.SWITCH(Table4[[#This Row],[month]],"jan",1,"feb",2,"mar",3,"apr",4,"may",5,"jun",6,"jul",7,"aug",8,"sep",9,"oct",10,"nov",11,"dec",12,"no month")</f>
        <v>5</v>
      </c>
      <c r="C185" s="12" t="str">
        <f>LEFT('All Transactions'!$E185,3)</f>
        <v>May</v>
      </c>
      <c r="D185" s="12" t="str">
        <f t="shared" si="5"/>
        <v>2026</v>
      </c>
      <c r="E185" s="22" t="s">
        <v>655</v>
      </c>
      <c r="F185" s="23" t="s">
        <v>702</v>
      </c>
      <c r="G185" s="18" t="s">
        <v>28</v>
      </c>
      <c r="H185" s="24">
        <v>34</v>
      </c>
      <c r="I185" s="25" t="s">
        <v>450</v>
      </c>
      <c r="J185" s="25" t="s">
        <v>703</v>
      </c>
      <c r="K185" s="26" t="s">
        <v>704</v>
      </c>
      <c r="L185" s="25" t="s">
        <v>32</v>
      </c>
      <c r="M185" t="str">
        <f>TEXT(A185,"dddd")</f>
        <v>Wednesday</v>
      </c>
      <c r="N185" s="35">
        <f>DATE(Table4[[#This Row],[year]],Table4[[#This Row],[month2]],Table4[[#This Row],[day]])</f>
        <v>46160</v>
      </c>
    </row>
    <row r="186" spans="1:14" ht="16" x14ac:dyDescent="0.35">
      <c r="A186" t="str">
        <f t="shared" si="4"/>
        <v>17</v>
      </c>
      <c r="B186">
        <f>_xlfn.SWITCH(Table4[[#This Row],[month]],"jan",1,"feb",2,"mar",3,"apr",4,"may",5,"jun",6,"jul",7,"aug",8,"sep",9,"oct",10,"nov",11,"dec",12,"no month")</f>
        <v>5</v>
      </c>
      <c r="C186" s="12" t="str">
        <f>LEFT('All Transactions'!$E186,3)</f>
        <v>May</v>
      </c>
      <c r="D186" s="12" t="str">
        <f t="shared" si="5"/>
        <v>2026</v>
      </c>
      <c r="E186" s="16" t="s">
        <v>705</v>
      </c>
      <c r="F186" s="17" t="s">
        <v>706</v>
      </c>
      <c r="G186" s="27" t="s">
        <v>54</v>
      </c>
      <c r="H186" s="19">
        <v>72</v>
      </c>
      <c r="I186" s="20" t="s">
        <v>707</v>
      </c>
      <c r="J186" s="20" t="s">
        <v>708</v>
      </c>
      <c r="K186" s="21" t="s">
        <v>709</v>
      </c>
      <c r="L186" s="20" t="s">
        <v>58</v>
      </c>
      <c r="M186" t="str">
        <f>TEXT(A186,"dddd")</f>
        <v>Tuesday</v>
      </c>
      <c r="N186" s="35">
        <f>DATE(Table4[[#This Row],[year]],Table4[[#This Row],[month2]],Table4[[#This Row],[day]])</f>
        <v>46159</v>
      </c>
    </row>
    <row r="187" spans="1:14" ht="16" x14ac:dyDescent="0.35">
      <c r="A187" t="str">
        <f t="shared" si="4"/>
        <v>17</v>
      </c>
      <c r="B187">
        <f>_xlfn.SWITCH(Table4[[#This Row],[month]],"jan",1,"feb",2,"mar",3,"apr",4,"may",5,"jun",6,"jul",7,"aug",8,"sep",9,"oct",10,"nov",11,"dec",12,"no month")</f>
        <v>5</v>
      </c>
      <c r="C187" s="12" t="str">
        <f>LEFT('All Transactions'!$E187,3)</f>
        <v>May</v>
      </c>
      <c r="D187" s="12" t="str">
        <f t="shared" si="5"/>
        <v>2026</v>
      </c>
      <c r="E187" s="22" t="s">
        <v>705</v>
      </c>
      <c r="F187" s="23" t="s">
        <v>235</v>
      </c>
      <c r="G187" s="18" t="s">
        <v>28</v>
      </c>
      <c r="H187" s="24">
        <v>110</v>
      </c>
      <c r="I187" s="25" t="s">
        <v>710</v>
      </c>
      <c r="J187" s="25" t="s">
        <v>711</v>
      </c>
      <c r="K187" s="26" t="s">
        <v>712</v>
      </c>
      <c r="L187" s="25" t="s">
        <v>32</v>
      </c>
      <c r="M187" t="str">
        <f>TEXT(A187,"dddd")</f>
        <v>Tuesday</v>
      </c>
      <c r="N187" s="35">
        <f>DATE(Table4[[#This Row],[year]],Table4[[#This Row],[month2]],Table4[[#This Row],[day]])</f>
        <v>46159</v>
      </c>
    </row>
    <row r="188" spans="1:14" ht="16" x14ac:dyDescent="0.35">
      <c r="A188" t="str">
        <f t="shared" si="4"/>
        <v>17</v>
      </c>
      <c r="B188">
        <f>_xlfn.SWITCH(Table4[[#This Row],[month]],"jan",1,"feb",2,"mar",3,"apr",4,"may",5,"jun",6,"jul",7,"aug",8,"sep",9,"oct",10,"nov",11,"dec",12,"no month")</f>
        <v>5</v>
      </c>
      <c r="C188" s="12" t="str">
        <f>LEFT('All Transactions'!$E188,3)</f>
        <v>May</v>
      </c>
      <c r="D188" s="12" t="str">
        <f t="shared" si="5"/>
        <v>2026</v>
      </c>
      <c r="E188" s="16" t="s">
        <v>705</v>
      </c>
      <c r="F188" s="17" t="s">
        <v>656</v>
      </c>
      <c r="G188" s="27" t="s">
        <v>54</v>
      </c>
      <c r="H188" s="19">
        <v>71</v>
      </c>
      <c r="I188" s="20" t="s">
        <v>713</v>
      </c>
      <c r="J188" s="20" t="s">
        <v>714</v>
      </c>
      <c r="K188" s="21" t="s">
        <v>715</v>
      </c>
      <c r="L188" s="20" t="s">
        <v>58</v>
      </c>
      <c r="M188" t="str">
        <f>TEXT(A188,"dddd")</f>
        <v>Tuesday</v>
      </c>
      <c r="N188" s="35">
        <f>DATE(Table4[[#This Row],[year]],Table4[[#This Row],[month2]],Table4[[#This Row],[day]])</f>
        <v>46159</v>
      </c>
    </row>
    <row r="189" spans="1:14" ht="16" x14ac:dyDescent="0.35">
      <c r="A189" t="str">
        <f t="shared" si="4"/>
        <v>17</v>
      </c>
      <c r="B189">
        <f>_xlfn.SWITCH(Table4[[#This Row],[month]],"jan",1,"feb",2,"mar",3,"apr",4,"may",5,"jun",6,"jul",7,"aug",8,"sep",9,"oct",10,"nov",11,"dec",12,"no month")</f>
        <v>5</v>
      </c>
      <c r="C189" s="12" t="str">
        <f>LEFT('All Transactions'!$E189,3)</f>
        <v>May</v>
      </c>
      <c r="D189" s="12" t="str">
        <f t="shared" si="5"/>
        <v>2026</v>
      </c>
      <c r="E189" s="22" t="s">
        <v>705</v>
      </c>
      <c r="F189" s="23" t="s">
        <v>672</v>
      </c>
      <c r="G189" s="27" t="s">
        <v>54</v>
      </c>
      <c r="H189" s="24">
        <v>121</v>
      </c>
      <c r="I189" s="25" t="s">
        <v>716</v>
      </c>
      <c r="J189" s="25" t="s">
        <v>717</v>
      </c>
      <c r="K189" s="26" t="s">
        <v>718</v>
      </c>
      <c r="L189" s="25" t="s">
        <v>58</v>
      </c>
      <c r="M189" t="str">
        <f>TEXT(A189,"dddd")</f>
        <v>Tuesday</v>
      </c>
      <c r="N189" s="35">
        <f>DATE(Table4[[#This Row],[year]],Table4[[#This Row],[month2]],Table4[[#This Row],[day]])</f>
        <v>46159</v>
      </c>
    </row>
    <row r="190" spans="1:14" ht="16" x14ac:dyDescent="0.35">
      <c r="A190" t="str">
        <f t="shared" si="4"/>
        <v>17</v>
      </c>
      <c r="B190">
        <f>_xlfn.SWITCH(Table4[[#This Row],[month]],"jan",1,"feb",2,"mar",3,"apr",4,"may",5,"jun",6,"jul",7,"aug",8,"sep",9,"oct",10,"nov",11,"dec",12,"no month")</f>
        <v>5</v>
      </c>
      <c r="C190" s="12" t="str">
        <f>LEFT('All Transactions'!$E190,3)</f>
        <v>May</v>
      </c>
      <c r="D190" s="12" t="str">
        <f t="shared" si="5"/>
        <v>2026</v>
      </c>
      <c r="E190" s="16" t="s">
        <v>705</v>
      </c>
      <c r="F190" s="17" t="s">
        <v>719</v>
      </c>
      <c r="G190" s="27" t="s">
        <v>54</v>
      </c>
      <c r="H190" s="19">
        <v>33</v>
      </c>
      <c r="I190" s="20" t="s">
        <v>720</v>
      </c>
      <c r="J190" s="20" t="s">
        <v>721</v>
      </c>
      <c r="K190" s="21" t="s">
        <v>722</v>
      </c>
      <c r="L190" s="20" t="s">
        <v>58</v>
      </c>
      <c r="M190" t="str">
        <f>TEXT(A190,"dddd")</f>
        <v>Tuesday</v>
      </c>
      <c r="N190" s="35">
        <f>DATE(Table4[[#This Row],[year]],Table4[[#This Row],[month2]],Table4[[#This Row],[day]])</f>
        <v>46159</v>
      </c>
    </row>
    <row r="191" spans="1:14" ht="16" x14ac:dyDescent="0.35">
      <c r="A191" t="str">
        <f t="shared" si="4"/>
        <v>17</v>
      </c>
      <c r="B191">
        <f>_xlfn.SWITCH(Table4[[#This Row],[month]],"jan",1,"feb",2,"mar",3,"apr",4,"may",5,"jun",6,"jul",7,"aug",8,"sep",9,"oct",10,"nov",11,"dec",12,"no month")</f>
        <v>5</v>
      </c>
      <c r="C191" s="12" t="str">
        <f>LEFT('All Transactions'!$E191,3)</f>
        <v>May</v>
      </c>
      <c r="D191" s="12" t="str">
        <f t="shared" si="5"/>
        <v>2026</v>
      </c>
      <c r="E191" s="22" t="s">
        <v>705</v>
      </c>
      <c r="F191" s="23" t="s">
        <v>723</v>
      </c>
      <c r="G191" s="27" t="s">
        <v>54</v>
      </c>
      <c r="H191" s="24">
        <v>108</v>
      </c>
      <c r="I191" s="25" t="s">
        <v>724</v>
      </c>
      <c r="J191" s="25" t="s">
        <v>725</v>
      </c>
      <c r="K191" s="26" t="s">
        <v>726</v>
      </c>
      <c r="L191" s="25" t="s">
        <v>58</v>
      </c>
      <c r="M191" t="str">
        <f>TEXT(A191,"dddd")</f>
        <v>Tuesday</v>
      </c>
      <c r="N191" s="35">
        <f>DATE(Table4[[#This Row],[year]],Table4[[#This Row],[month2]],Table4[[#This Row],[day]])</f>
        <v>46159</v>
      </c>
    </row>
    <row r="192" spans="1:14" ht="16" x14ac:dyDescent="0.35">
      <c r="A192" t="str">
        <f t="shared" si="4"/>
        <v>17</v>
      </c>
      <c r="B192">
        <f>_xlfn.SWITCH(Table4[[#This Row],[month]],"jan",1,"feb",2,"mar",3,"apr",4,"may",5,"jun",6,"jul",7,"aug",8,"sep",9,"oct",10,"nov",11,"dec",12,"no month")</f>
        <v>5</v>
      </c>
      <c r="C192" s="12" t="str">
        <f>LEFT('All Transactions'!$E192,3)</f>
        <v>May</v>
      </c>
      <c r="D192" s="12" t="str">
        <f t="shared" si="5"/>
        <v>2026</v>
      </c>
      <c r="E192" s="16" t="s">
        <v>705</v>
      </c>
      <c r="F192" s="17" t="s">
        <v>727</v>
      </c>
      <c r="G192" s="18" t="s">
        <v>28</v>
      </c>
      <c r="H192" s="19">
        <v>150</v>
      </c>
      <c r="I192" s="20" t="s">
        <v>12</v>
      </c>
      <c r="J192" s="20" t="s">
        <v>728</v>
      </c>
      <c r="K192" s="21" t="s">
        <v>729</v>
      </c>
      <c r="L192" s="20" t="s">
        <v>47</v>
      </c>
      <c r="M192" t="str">
        <f>TEXT(A192,"dddd")</f>
        <v>Tuesday</v>
      </c>
      <c r="N192" s="35">
        <f>DATE(Table4[[#This Row],[year]],Table4[[#This Row],[month2]],Table4[[#This Row],[day]])</f>
        <v>46159</v>
      </c>
    </row>
    <row r="193" spans="1:14" ht="16" x14ac:dyDescent="0.35">
      <c r="A193" t="str">
        <f t="shared" si="4"/>
        <v>17</v>
      </c>
      <c r="B193">
        <f>_xlfn.SWITCH(Table4[[#This Row],[month]],"jan",1,"feb",2,"mar",3,"apr",4,"may",5,"jun",6,"jul",7,"aug",8,"sep",9,"oct",10,"nov",11,"dec",12,"no month")</f>
        <v>5</v>
      </c>
      <c r="C193" s="12" t="str">
        <f>LEFT('All Transactions'!$E193,3)</f>
        <v>May</v>
      </c>
      <c r="D193" s="12" t="str">
        <f t="shared" si="5"/>
        <v>2026</v>
      </c>
      <c r="E193" s="22" t="s">
        <v>705</v>
      </c>
      <c r="F193" s="23" t="s">
        <v>730</v>
      </c>
      <c r="G193" s="18" t="s">
        <v>28</v>
      </c>
      <c r="H193" s="24">
        <v>10</v>
      </c>
      <c r="I193" s="25" t="s">
        <v>731</v>
      </c>
      <c r="J193" s="25" t="s">
        <v>732</v>
      </c>
      <c r="K193" s="26" t="s">
        <v>733</v>
      </c>
      <c r="L193" s="25" t="s">
        <v>32</v>
      </c>
      <c r="M193" t="str">
        <f>TEXT(A193,"dddd")</f>
        <v>Tuesday</v>
      </c>
      <c r="N193" s="35">
        <f>DATE(Table4[[#This Row],[year]],Table4[[#This Row],[month2]],Table4[[#This Row],[day]])</f>
        <v>46159</v>
      </c>
    </row>
    <row r="194" spans="1:14" ht="16" x14ac:dyDescent="0.35">
      <c r="A194" t="str">
        <f t="shared" si="4"/>
        <v>17</v>
      </c>
      <c r="B194">
        <f>_xlfn.SWITCH(Table4[[#This Row],[month]],"jan",1,"feb",2,"mar",3,"apr",4,"may",5,"jun",6,"jul",7,"aug",8,"sep",9,"oct",10,"nov",11,"dec",12,"no month")</f>
        <v>5</v>
      </c>
      <c r="C194" s="12" t="str">
        <f>LEFT('All Transactions'!$E194,3)</f>
        <v>May</v>
      </c>
      <c r="D194" s="12" t="str">
        <f t="shared" si="5"/>
        <v>2026</v>
      </c>
      <c r="E194" s="16" t="s">
        <v>705</v>
      </c>
      <c r="F194" s="17" t="s">
        <v>543</v>
      </c>
      <c r="G194" s="27" t="s">
        <v>54</v>
      </c>
      <c r="H194" s="19">
        <v>80</v>
      </c>
      <c r="I194" s="20" t="s">
        <v>734</v>
      </c>
      <c r="J194" s="20" t="s">
        <v>735</v>
      </c>
      <c r="K194" s="21" t="s">
        <v>736</v>
      </c>
      <c r="L194" s="20" t="s">
        <v>58</v>
      </c>
      <c r="M194" t="str">
        <f>TEXT(A194,"dddd")</f>
        <v>Tuesday</v>
      </c>
      <c r="N194" s="35">
        <f>DATE(Table4[[#This Row],[year]],Table4[[#This Row],[month2]],Table4[[#This Row],[day]])</f>
        <v>46159</v>
      </c>
    </row>
    <row r="195" spans="1:14" ht="16" x14ac:dyDescent="0.35">
      <c r="A195" t="str">
        <f t="shared" ref="A195:A258" si="6">MID(E195,5,2)</f>
        <v>17</v>
      </c>
      <c r="B195">
        <f>_xlfn.SWITCH(Table4[[#This Row],[month]],"jan",1,"feb",2,"mar",3,"apr",4,"may",5,"jun",6,"jul",7,"aug",8,"sep",9,"oct",10,"nov",11,"dec",12,"no month")</f>
        <v>5</v>
      </c>
      <c r="C195" s="12" t="str">
        <f>LEFT('All Transactions'!$E195,3)</f>
        <v>May</v>
      </c>
      <c r="D195" s="12" t="str">
        <f t="shared" ref="D195:D258" si="7">RIGHT(E195,4)</f>
        <v>2026</v>
      </c>
      <c r="E195" s="22" t="s">
        <v>705</v>
      </c>
      <c r="F195" s="23" t="s">
        <v>737</v>
      </c>
      <c r="G195" s="18" t="s">
        <v>28</v>
      </c>
      <c r="H195" s="24">
        <v>110</v>
      </c>
      <c r="I195" s="25" t="s">
        <v>738</v>
      </c>
      <c r="J195" s="25" t="s">
        <v>739</v>
      </c>
      <c r="K195" s="26" t="s">
        <v>740</v>
      </c>
      <c r="L195" s="25" t="s">
        <v>32</v>
      </c>
      <c r="M195" t="str">
        <f>TEXT(A195,"dddd")</f>
        <v>Tuesday</v>
      </c>
      <c r="N195" s="35">
        <f>DATE(Table4[[#This Row],[year]],Table4[[#This Row],[month2]],Table4[[#This Row],[day]])</f>
        <v>46159</v>
      </c>
    </row>
    <row r="196" spans="1:14" ht="16" x14ac:dyDescent="0.35">
      <c r="A196" t="str">
        <f t="shared" si="6"/>
        <v>16</v>
      </c>
      <c r="B196">
        <f>_xlfn.SWITCH(Table4[[#This Row],[month]],"jan",1,"feb",2,"mar",3,"apr",4,"may",5,"jun",6,"jul",7,"aug",8,"sep",9,"oct",10,"nov",11,"dec",12,"no month")</f>
        <v>5</v>
      </c>
      <c r="C196" s="12" t="str">
        <f>LEFT('All Transactions'!$E196,3)</f>
        <v>May</v>
      </c>
      <c r="D196" s="12" t="str">
        <f t="shared" si="7"/>
        <v>2026</v>
      </c>
      <c r="E196" s="16" t="s">
        <v>741</v>
      </c>
      <c r="F196" s="17" t="s">
        <v>742</v>
      </c>
      <c r="G196" s="27" t="s">
        <v>54</v>
      </c>
      <c r="H196" s="19">
        <v>162</v>
      </c>
      <c r="I196" s="20" t="s">
        <v>89</v>
      </c>
      <c r="J196" s="20" t="s">
        <v>743</v>
      </c>
      <c r="K196" s="21" t="s">
        <v>744</v>
      </c>
      <c r="L196" s="20" t="s">
        <v>58</v>
      </c>
      <c r="M196" t="str">
        <f>TEXT(A196,"dddd")</f>
        <v>Monday</v>
      </c>
      <c r="N196" s="35">
        <f>DATE(Table4[[#This Row],[year]],Table4[[#This Row],[month2]],Table4[[#This Row],[day]])</f>
        <v>46158</v>
      </c>
    </row>
    <row r="197" spans="1:14" ht="16" x14ac:dyDescent="0.35">
      <c r="A197" t="str">
        <f t="shared" si="6"/>
        <v>16</v>
      </c>
      <c r="B197">
        <f>_xlfn.SWITCH(Table4[[#This Row],[month]],"jan",1,"feb",2,"mar",3,"apr",4,"may",5,"jun",6,"jul",7,"aug",8,"sep",9,"oct",10,"nov",11,"dec",12,"no month")</f>
        <v>5</v>
      </c>
      <c r="C197" s="12" t="str">
        <f>LEFT('All Transactions'!$E197,3)</f>
        <v>May</v>
      </c>
      <c r="D197" s="12" t="str">
        <f t="shared" si="7"/>
        <v>2026</v>
      </c>
      <c r="E197" s="22" t="s">
        <v>741</v>
      </c>
      <c r="F197" s="23" t="s">
        <v>745</v>
      </c>
      <c r="G197" s="27" t="s">
        <v>54</v>
      </c>
      <c r="H197" s="24">
        <v>72</v>
      </c>
      <c r="I197" s="25" t="s">
        <v>746</v>
      </c>
      <c r="J197" s="25" t="s">
        <v>747</v>
      </c>
      <c r="K197" s="26" t="s">
        <v>748</v>
      </c>
      <c r="L197" s="25" t="s">
        <v>58</v>
      </c>
      <c r="M197" t="str">
        <f>TEXT(A197,"dddd")</f>
        <v>Monday</v>
      </c>
      <c r="N197" s="35">
        <f>DATE(Table4[[#This Row],[year]],Table4[[#This Row],[month2]],Table4[[#This Row],[day]])</f>
        <v>46158</v>
      </c>
    </row>
    <row r="198" spans="1:14" ht="16" x14ac:dyDescent="0.35">
      <c r="A198" t="str">
        <f t="shared" si="6"/>
        <v>16</v>
      </c>
      <c r="B198">
        <f>_xlfn.SWITCH(Table4[[#This Row],[month]],"jan",1,"feb",2,"mar",3,"apr",4,"may",5,"jun",6,"jul",7,"aug",8,"sep",9,"oct",10,"nov",11,"dec",12,"no month")</f>
        <v>5</v>
      </c>
      <c r="C198" s="12" t="str">
        <f>LEFT('All Transactions'!$E198,3)</f>
        <v>May</v>
      </c>
      <c r="D198" s="12" t="str">
        <f t="shared" si="7"/>
        <v>2026</v>
      </c>
      <c r="E198" s="16" t="s">
        <v>741</v>
      </c>
      <c r="F198" s="17" t="s">
        <v>155</v>
      </c>
      <c r="G198" s="27" t="s">
        <v>54</v>
      </c>
      <c r="H198" s="19">
        <v>65</v>
      </c>
      <c r="I198" s="20" t="s">
        <v>749</v>
      </c>
      <c r="J198" s="20" t="s">
        <v>750</v>
      </c>
      <c r="K198" s="21" t="s">
        <v>751</v>
      </c>
      <c r="L198" s="20" t="s">
        <v>58</v>
      </c>
      <c r="M198" t="str">
        <f>TEXT(A198,"dddd")</f>
        <v>Monday</v>
      </c>
      <c r="N198" s="35">
        <f>DATE(Table4[[#This Row],[year]],Table4[[#This Row],[month2]],Table4[[#This Row],[day]])</f>
        <v>46158</v>
      </c>
    </row>
    <row r="199" spans="1:14" ht="16" x14ac:dyDescent="0.35">
      <c r="A199" t="str">
        <f t="shared" si="6"/>
        <v>16</v>
      </c>
      <c r="B199">
        <f>_xlfn.SWITCH(Table4[[#This Row],[month]],"jan",1,"feb",2,"mar",3,"apr",4,"may",5,"jun",6,"jul",7,"aug",8,"sep",9,"oct",10,"nov",11,"dec",12,"no month")</f>
        <v>5</v>
      </c>
      <c r="C199" s="12" t="str">
        <f>LEFT('All Transactions'!$E199,3)</f>
        <v>May</v>
      </c>
      <c r="D199" s="12" t="str">
        <f t="shared" si="7"/>
        <v>2026</v>
      </c>
      <c r="E199" s="22" t="s">
        <v>741</v>
      </c>
      <c r="F199" s="23" t="s">
        <v>752</v>
      </c>
      <c r="G199" s="18" t="s">
        <v>28</v>
      </c>
      <c r="H199" s="24">
        <v>20</v>
      </c>
      <c r="I199" s="25" t="s">
        <v>753</v>
      </c>
      <c r="J199" s="25" t="s">
        <v>754</v>
      </c>
      <c r="K199" s="26" t="s">
        <v>755</v>
      </c>
      <c r="L199" s="25" t="s">
        <v>32</v>
      </c>
      <c r="M199" t="str">
        <f>TEXT(A199,"dddd")</f>
        <v>Monday</v>
      </c>
      <c r="N199" s="35">
        <f>DATE(Table4[[#This Row],[year]],Table4[[#This Row],[month2]],Table4[[#This Row],[day]])</f>
        <v>46158</v>
      </c>
    </row>
    <row r="200" spans="1:14" ht="16" x14ac:dyDescent="0.35">
      <c r="A200" t="str">
        <f t="shared" si="6"/>
        <v>16</v>
      </c>
      <c r="B200">
        <f>_xlfn.SWITCH(Table4[[#This Row],[month]],"jan",1,"feb",2,"mar",3,"apr",4,"may",5,"jun",6,"jul",7,"aug",8,"sep",9,"oct",10,"nov",11,"dec",12,"no month")</f>
        <v>5</v>
      </c>
      <c r="C200" s="12" t="str">
        <f>LEFT('All Transactions'!$E200,3)</f>
        <v>May</v>
      </c>
      <c r="D200" s="12" t="str">
        <f t="shared" si="7"/>
        <v>2026</v>
      </c>
      <c r="E200" s="16" t="s">
        <v>741</v>
      </c>
      <c r="F200" s="17" t="s">
        <v>162</v>
      </c>
      <c r="G200" s="27" t="s">
        <v>54</v>
      </c>
      <c r="H200" s="19">
        <v>120</v>
      </c>
      <c r="I200" s="20" t="s">
        <v>756</v>
      </c>
      <c r="J200" s="20" t="s">
        <v>757</v>
      </c>
      <c r="K200" s="21" t="s">
        <v>758</v>
      </c>
      <c r="L200" s="20" t="s">
        <v>58</v>
      </c>
      <c r="M200" t="str">
        <f>TEXT(A200,"dddd")</f>
        <v>Monday</v>
      </c>
      <c r="N200" s="35">
        <f>DATE(Table4[[#This Row],[year]],Table4[[#This Row],[month2]],Table4[[#This Row],[day]])</f>
        <v>46158</v>
      </c>
    </row>
    <row r="201" spans="1:14" ht="16" x14ac:dyDescent="0.35">
      <c r="A201" t="str">
        <f t="shared" si="6"/>
        <v>16</v>
      </c>
      <c r="B201">
        <f>_xlfn.SWITCH(Table4[[#This Row],[month]],"jan",1,"feb",2,"mar",3,"apr",4,"may",5,"jun",6,"jul",7,"aug",8,"sep",9,"oct",10,"nov",11,"dec",12,"no month")</f>
        <v>5</v>
      </c>
      <c r="C201" s="12" t="str">
        <f>LEFT('All Transactions'!$E201,3)</f>
        <v>May</v>
      </c>
      <c r="D201" s="12" t="str">
        <f t="shared" si="7"/>
        <v>2026</v>
      </c>
      <c r="E201" s="22" t="s">
        <v>741</v>
      </c>
      <c r="F201" s="23" t="s">
        <v>96</v>
      </c>
      <c r="G201" s="27" t="s">
        <v>54</v>
      </c>
      <c r="H201" s="24">
        <v>100</v>
      </c>
      <c r="I201" s="25" t="s">
        <v>759</v>
      </c>
      <c r="J201" s="25" t="s">
        <v>760</v>
      </c>
      <c r="K201" s="26" t="s">
        <v>761</v>
      </c>
      <c r="L201" s="25" t="s">
        <v>58</v>
      </c>
      <c r="M201" t="str">
        <f>TEXT(A201,"dddd")</f>
        <v>Monday</v>
      </c>
      <c r="N201" s="35">
        <f>DATE(Table4[[#This Row],[year]],Table4[[#This Row],[month2]],Table4[[#This Row],[day]])</f>
        <v>46158</v>
      </c>
    </row>
    <row r="202" spans="1:14" ht="16" x14ac:dyDescent="0.35">
      <c r="A202" t="str">
        <f t="shared" si="6"/>
        <v>16</v>
      </c>
      <c r="B202">
        <f>_xlfn.SWITCH(Table4[[#This Row],[month]],"jan",1,"feb",2,"mar",3,"apr",4,"may",5,"jun",6,"jul",7,"aug",8,"sep",9,"oct",10,"nov",11,"dec",12,"no month")</f>
        <v>5</v>
      </c>
      <c r="C202" s="12" t="str">
        <f>LEFT('All Transactions'!$E202,3)</f>
        <v>May</v>
      </c>
      <c r="D202" s="12" t="str">
        <f t="shared" si="7"/>
        <v>2026</v>
      </c>
      <c r="E202" s="16" t="s">
        <v>741</v>
      </c>
      <c r="F202" s="17" t="s">
        <v>297</v>
      </c>
      <c r="G202" s="18" t="s">
        <v>28</v>
      </c>
      <c r="H202" s="19">
        <v>60</v>
      </c>
      <c r="I202" s="20" t="s">
        <v>167</v>
      </c>
      <c r="J202" s="20" t="s">
        <v>762</v>
      </c>
      <c r="K202" s="21" t="s">
        <v>763</v>
      </c>
      <c r="L202" s="20" t="s">
        <v>47</v>
      </c>
      <c r="M202" t="str">
        <f>TEXT(A202,"dddd")</f>
        <v>Monday</v>
      </c>
      <c r="N202" s="35">
        <f>DATE(Table4[[#This Row],[year]],Table4[[#This Row],[month2]],Table4[[#This Row],[day]])</f>
        <v>46158</v>
      </c>
    </row>
    <row r="203" spans="1:14" ht="16" x14ac:dyDescent="0.35">
      <c r="A203" t="str">
        <f t="shared" si="6"/>
        <v>16</v>
      </c>
      <c r="B203">
        <f>_xlfn.SWITCH(Table4[[#This Row],[month]],"jan",1,"feb",2,"mar",3,"apr",4,"may",5,"jun",6,"jul",7,"aug",8,"sep",9,"oct",10,"nov",11,"dec",12,"no month")</f>
        <v>5</v>
      </c>
      <c r="C203" s="12" t="str">
        <f>LEFT('All Transactions'!$E203,3)</f>
        <v>May</v>
      </c>
      <c r="D203" s="12" t="str">
        <f t="shared" si="7"/>
        <v>2026</v>
      </c>
      <c r="E203" s="22" t="s">
        <v>741</v>
      </c>
      <c r="F203" s="23" t="s">
        <v>764</v>
      </c>
      <c r="G203" s="18" t="s">
        <v>28</v>
      </c>
      <c r="H203" s="24">
        <v>70</v>
      </c>
      <c r="I203" s="25" t="s">
        <v>765</v>
      </c>
      <c r="J203" s="25" t="s">
        <v>766</v>
      </c>
      <c r="K203" s="26" t="s">
        <v>767</v>
      </c>
      <c r="L203" s="25" t="s">
        <v>32</v>
      </c>
      <c r="M203" t="str">
        <f>TEXT(A203,"dddd")</f>
        <v>Monday</v>
      </c>
      <c r="N203" s="35">
        <f>DATE(Table4[[#This Row],[year]],Table4[[#This Row],[month2]],Table4[[#This Row],[day]])</f>
        <v>46158</v>
      </c>
    </row>
    <row r="204" spans="1:14" ht="16" x14ac:dyDescent="0.35">
      <c r="A204" t="str">
        <f t="shared" si="6"/>
        <v>16</v>
      </c>
      <c r="B204">
        <f>_xlfn.SWITCH(Table4[[#This Row],[month]],"jan",1,"feb",2,"mar",3,"apr",4,"may",5,"jun",6,"jul",7,"aug",8,"sep",9,"oct",10,"nov",11,"dec",12,"no month")</f>
        <v>5</v>
      </c>
      <c r="C204" s="12" t="str">
        <f>LEFT('All Transactions'!$E204,3)</f>
        <v>May</v>
      </c>
      <c r="D204" s="12" t="str">
        <f t="shared" si="7"/>
        <v>2026</v>
      </c>
      <c r="E204" s="16" t="s">
        <v>741</v>
      </c>
      <c r="F204" s="17" t="s">
        <v>768</v>
      </c>
      <c r="G204" s="18" t="s">
        <v>28</v>
      </c>
      <c r="H204" s="19">
        <v>20</v>
      </c>
      <c r="I204" s="20" t="s">
        <v>662</v>
      </c>
      <c r="J204" s="20" t="s">
        <v>769</v>
      </c>
      <c r="K204" s="21" t="s">
        <v>770</v>
      </c>
      <c r="L204" s="20" t="s">
        <v>32</v>
      </c>
      <c r="M204" t="str">
        <f>TEXT(A204,"dddd")</f>
        <v>Monday</v>
      </c>
      <c r="N204" s="35">
        <f>DATE(Table4[[#This Row],[year]],Table4[[#This Row],[month2]],Table4[[#This Row],[day]])</f>
        <v>46158</v>
      </c>
    </row>
    <row r="205" spans="1:14" ht="16" x14ac:dyDescent="0.35">
      <c r="A205" t="str">
        <f t="shared" si="6"/>
        <v>16</v>
      </c>
      <c r="B205">
        <f>_xlfn.SWITCH(Table4[[#This Row],[month]],"jan",1,"feb",2,"mar",3,"apr",4,"may",5,"jun",6,"jul",7,"aug",8,"sep",9,"oct",10,"nov",11,"dec",12,"no month")</f>
        <v>5</v>
      </c>
      <c r="C205" s="12" t="str">
        <f>LEFT('All Transactions'!$E205,3)</f>
        <v>May</v>
      </c>
      <c r="D205" s="12" t="str">
        <f t="shared" si="7"/>
        <v>2026</v>
      </c>
      <c r="E205" s="22" t="s">
        <v>741</v>
      </c>
      <c r="F205" s="23" t="s">
        <v>377</v>
      </c>
      <c r="G205" s="18" t="s">
        <v>28</v>
      </c>
      <c r="H205" s="24">
        <v>10</v>
      </c>
      <c r="I205" s="25" t="s">
        <v>201</v>
      </c>
      <c r="J205" s="25" t="s">
        <v>771</v>
      </c>
      <c r="K205" s="26" t="s">
        <v>772</v>
      </c>
      <c r="L205" s="25" t="s">
        <v>32</v>
      </c>
      <c r="M205" t="str">
        <f>TEXT(A205,"dddd")</f>
        <v>Monday</v>
      </c>
      <c r="N205" s="35">
        <f>DATE(Table4[[#This Row],[year]],Table4[[#This Row],[month2]],Table4[[#This Row],[day]])</f>
        <v>46158</v>
      </c>
    </row>
    <row r="206" spans="1:14" ht="16" x14ac:dyDescent="0.35">
      <c r="A206" t="str">
        <f t="shared" si="6"/>
        <v>16</v>
      </c>
      <c r="B206">
        <f>_xlfn.SWITCH(Table4[[#This Row],[month]],"jan",1,"feb",2,"mar",3,"apr",4,"may",5,"jun",6,"jul",7,"aug",8,"sep",9,"oct",10,"nov",11,"dec",12,"no month")</f>
        <v>5</v>
      </c>
      <c r="C206" s="12" t="str">
        <f>LEFT('All Transactions'!$E206,3)</f>
        <v>May</v>
      </c>
      <c r="D206" s="12" t="str">
        <f t="shared" si="7"/>
        <v>2026</v>
      </c>
      <c r="E206" s="16" t="s">
        <v>741</v>
      </c>
      <c r="F206" s="17" t="s">
        <v>773</v>
      </c>
      <c r="G206" s="18" t="s">
        <v>28</v>
      </c>
      <c r="H206" s="19">
        <v>116</v>
      </c>
      <c r="I206" s="20" t="s">
        <v>774</v>
      </c>
      <c r="J206" s="20" t="s">
        <v>775</v>
      </c>
      <c r="K206" s="21" t="s">
        <v>776</v>
      </c>
      <c r="L206" s="20" t="s">
        <v>32</v>
      </c>
      <c r="M206" t="str">
        <f>TEXT(A206,"dddd")</f>
        <v>Monday</v>
      </c>
      <c r="N206" s="35">
        <f>DATE(Table4[[#This Row],[year]],Table4[[#This Row],[month2]],Table4[[#This Row],[day]])</f>
        <v>46158</v>
      </c>
    </row>
    <row r="207" spans="1:14" ht="16" x14ac:dyDescent="0.35">
      <c r="A207" t="str">
        <f t="shared" si="6"/>
        <v>16</v>
      </c>
      <c r="B207">
        <f>_xlfn.SWITCH(Table4[[#This Row],[month]],"jan",1,"feb",2,"mar",3,"apr",4,"may",5,"jun",6,"jul",7,"aug",8,"sep",9,"oct",10,"nov",11,"dec",12,"no month")</f>
        <v>5</v>
      </c>
      <c r="C207" s="12" t="str">
        <f>LEFT('All Transactions'!$E207,3)</f>
        <v>May</v>
      </c>
      <c r="D207" s="12" t="str">
        <f t="shared" si="7"/>
        <v>2026</v>
      </c>
      <c r="E207" s="22" t="s">
        <v>741</v>
      </c>
      <c r="F207" s="23" t="s">
        <v>73</v>
      </c>
      <c r="G207" s="18" t="s">
        <v>28</v>
      </c>
      <c r="H207" s="24">
        <v>300</v>
      </c>
      <c r="I207" s="25" t="s">
        <v>37</v>
      </c>
      <c r="J207" s="25" t="s">
        <v>777</v>
      </c>
      <c r="K207" s="26" t="s">
        <v>778</v>
      </c>
      <c r="L207" s="25" t="s">
        <v>32</v>
      </c>
      <c r="M207" t="str">
        <f>TEXT(A207,"dddd")</f>
        <v>Monday</v>
      </c>
      <c r="N207" s="35">
        <f>DATE(Table4[[#This Row],[year]],Table4[[#This Row],[month2]],Table4[[#This Row],[day]])</f>
        <v>46158</v>
      </c>
    </row>
    <row r="208" spans="1:14" ht="16" x14ac:dyDescent="0.35">
      <c r="A208" t="str">
        <f t="shared" si="6"/>
        <v>16</v>
      </c>
      <c r="B208">
        <f>_xlfn.SWITCH(Table4[[#This Row],[month]],"jan",1,"feb",2,"mar",3,"apr",4,"may",5,"jun",6,"jul",7,"aug",8,"sep",9,"oct",10,"nov",11,"dec",12,"no month")</f>
        <v>5</v>
      </c>
      <c r="C208" s="12" t="str">
        <f>LEFT('All Transactions'!$E208,3)</f>
        <v>May</v>
      </c>
      <c r="D208" s="12" t="str">
        <f t="shared" si="7"/>
        <v>2026</v>
      </c>
      <c r="E208" s="16" t="s">
        <v>741</v>
      </c>
      <c r="F208" s="17" t="s">
        <v>76</v>
      </c>
      <c r="G208" s="27" t="s">
        <v>54</v>
      </c>
      <c r="H208" s="19">
        <v>400</v>
      </c>
      <c r="I208" s="20" t="s">
        <v>156</v>
      </c>
      <c r="J208" s="20" t="s">
        <v>779</v>
      </c>
      <c r="K208" s="21" t="s">
        <v>780</v>
      </c>
      <c r="L208" s="20" t="s">
        <v>58</v>
      </c>
      <c r="M208" t="str">
        <f>TEXT(A208,"dddd")</f>
        <v>Monday</v>
      </c>
      <c r="N208" s="35">
        <f>DATE(Table4[[#This Row],[year]],Table4[[#This Row],[month2]],Table4[[#This Row],[day]])</f>
        <v>46158</v>
      </c>
    </row>
    <row r="209" spans="1:14" ht="16" x14ac:dyDescent="0.35">
      <c r="A209" t="str">
        <f t="shared" si="6"/>
        <v>16</v>
      </c>
      <c r="B209">
        <f>_xlfn.SWITCH(Table4[[#This Row],[month]],"jan",1,"feb",2,"mar",3,"apr",4,"may",5,"jun",6,"jul",7,"aug",8,"sep",9,"oct",10,"nov",11,"dec",12,"no month")</f>
        <v>5</v>
      </c>
      <c r="C209" s="12" t="str">
        <f>LEFT('All Transactions'!$E209,3)</f>
        <v>May</v>
      </c>
      <c r="D209" s="12" t="str">
        <f t="shared" si="7"/>
        <v>2026</v>
      </c>
      <c r="E209" s="22" t="s">
        <v>741</v>
      </c>
      <c r="F209" s="23" t="s">
        <v>441</v>
      </c>
      <c r="G209" s="18" t="s">
        <v>28</v>
      </c>
      <c r="H209" s="24">
        <v>60</v>
      </c>
      <c r="I209" s="25" t="s">
        <v>781</v>
      </c>
      <c r="J209" s="25" t="s">
        <v>782</v>
      </c>
      <c r="K209" s="26" t="s">
        <v>783</v>
      </c>
      <c r="L209" s="25" t="s">
        <v>32</v>
      </c>
      <c r="M209" t="str">
        <f>TEXT(A209,"dddd")</f>
        <v>Monday</v>
      </c>
      <c r="N209" s="35">
        <f>DATE(Table4[[#This Row],[year]],Table4[[#This Row],[month2]],Table4[[#This Row],[day]])</f>
        <v>46158</v>
      </c>
    </row>
    <row r="210" spans="1:14" ht="16" x14ac:dyDescent="0.35">
      <c r="A210" t="str">
        <f t="shared" si="6"/>
        <v>16</v>
      </c>
      <c r="B210">
        <f>_xlfn.SWITCH(Table4[[#This Row],[month]],"jan",1,"feb",2,"mar",3,"apr",4,"may",5,"jun",6,"jul",7,"aug",8,"sep",9,"oct",10,"nov",11,"dec",12,"no month")</f>
        <v>5</v>
      </c>
      <c r="C210" s="12" t="str">
        <f>LEFT('All Transactions'!$E210,3)</f>
        <v>May</v>
      </c>
      <c r="D210" s="12" t="str">
        <f t="shared" si="7"/>
        <v>2026</v>
      </c>
      <c r="E210" s="16" t="s">
        <v>741</v>
      </c>
      <c r="F210" s="17" t="s">
        <v>441</v>
      </c>
      <c r="G210" s="18" t="s">
        <v>28</v>
      </c>
      <c r="H210" s="19">
        <v>540</v>
      </c>
      <c r="I210" s="20" t="s">
        <v>784</v>
      </c>
      <c r="J210" s="20" t="s">
        <v>785</v>
      </c>
      <c r="K210" s="21" t="s">
        <v>786</v>
      </c>
      <c r="L210" s="20" t="s">
        <v>32</v>
      </c>
      <c r="M210" t="str">
        <f>TEXT(A210,"dddd")</f>
        <v>Monday</v>
      </c>
      <c r="N210" s="35">
        <f>DATE(Table4[[#This Row],[year]],Table4[[#This Row],[month2]],Table4[[#This Row],[day]])</f>
        <v>46158</v>
      </c>
    </row>
    <row r="211" spans="1:14" ht="16" x14ac:dyDescent="0.35">
      <c r="A211" t="str">
        <f t="shared" si="6"/>
        <v>16</v>
      </c>
      <c r="B211">
        <f>_xlfn.SWITCH(Table4[[#This Row],[month]],"jan",1,"feb",2,"mar",3,"apr",4,"may",5,"jun",6,"jul",7,"aug",8,"sep",9,"oct",10,"nov",11,"dec",12,"no month")</f>
        <v>5</v>
      </c>
      <c r="C211" s="12" t="str">
        <f>LEFT('All Transactions'!$E211,3)</f>
        <v>May</v>
      </c>
      <c r="D211" s="12" t="str">
        <f t="shared" si="7"/>
        <v>2026</v>
      </c>
      <c r="E211" s="22" t="s">
        <v>741</v>
      </c>
      <c r="F211" s="23" t="s">
        <v>787</v>
      </c>
      <c r="G211" s="27" t="s">
        <v>54</v>
      </c>
      <c r="H211" s="24">
        <v>600</v>
      </c>
      <c r="I211" s="25" t="s">
        <v>156</v>
      </c>
      <c r="J211" s="25" t="s">
        <v>788</v>
      </c>
      <c r="K211" s="26" t="s">
        <v>789</v>
      </c>
      <c r="L211" s="25" t="s">
        <v>58</v>
      </c>
      <c r="M211" t="str">
        <f>TEXT(A211,"dddd")</f>
        <v>Monday</v>
      </c>
      <c r="N211" s="35">
        <f>DATE(Table4[[#This Row],[year]],Table4[[#This Row],[month2]],Table4[[#This Row],[day]])</f>
        <v>46158</v>
      </c>
    </row>
    <row r="212" spans="1:14" ht="16" x14ac:dyDescent="0.35">
      <c r="A212" t="str">
        <f t="shared" si="6"/>
        <v>15</v>
      </c>
      <c r="B212">
        <f>_xlfn.SWITCH(Table4[[#This Row],[month]],"jan",1,"feb",2,"mar",3,"apr",4,"may",5,"jun",6,"jul",7,"aug",8,"sep",9,"oct",10,"nov",11,"dec",12,"no month")</f>
        <v>5</v>
      </c>
      <c r="C212" s="12" t="str">
        <f>LEFT('All Transactions'!$E212,3)</f>
        <v>May</v>
      </c>
      <c r="D212" s="12" t="str">
        <f t="shared" si="7"/>
        <v>2026</v>
      </c>
      <c r="E212" s="16" t="s">
        <v>790</v>
      </c>
      <c r="F212" s="17" t="s">
        <v>791</v>
      </c>
      <c r="G212" s="27" t="s">
        <v>54</v>
      </c>
      <c r="H212" s="19">
        <v>50</v>
      </c>
      <c r="I212" s="20" t="s">
        <v>792</v>
      </c>
      <c r="J212" s="20" t="s">
        <v>793</v>
      </c>
      <c r="K212" s="21" t="s">
        <v>794</v>
      </c>
      <c r="L212" s="20" t="s">
        <v>58</v>
      </c>
      <c r="M212" t="str">
        <f>TEXT(A212,"dddd")</f>
        <v>Sunday</v>
      </c>
      <c r="N212" s="35">
        <f>DATE(Table4[[#This Row],[year]],Table4[[#This Row],[month2]],Table4[[#This Row],[day]])</f>
        <v>46157</v>
      </c>
    </row>
    <row r="213" spans="1:14" ht="16" x14ac:dyDescent="0.35">
      <c r="A213" t="str">
        <f t="shared" si="6"/>
        <v>15</v>
      </c>
      <c r="B213">
        <f>_xlfn.SWITCH(Table4[[#This Row],[month]],"jan",1,"feb",2,"mar",3,"apr",4,"may",5,"jun",6,"jul",7,"aug",8,"sep",9,"oct",10,"nov",11,"dec",12,"no month")</f>
        <v>5</v>
      </c>
      <c r="C213" s="12" t="str">
        <f>LEFT('All Transactions'!$E213,3)</f>
        <v>May</v>
      </c>
      <c r="D213" s="12" t="str">
        <f t="shared" si="7"/>
        <v>2026</v>
      </c>
      <c r="E213" s="22" t="s">
        <v>790</v>
      </c>
      <c r="F213" s="23" t="s">
        <v>795</v>
      </c>
      <c r="G213" s="27" t="s">
        <v>54</v>
      </c>
      <c r="H213" s="24">
        <v>86</v>
      </c>
      <c r="I213" s="25" t="s">
        <v>796</v>
      </c>
      <c r="J213" s="25" t="s">
        <v>797</v>
      </c>
      <c r="K213" s="26" t="s">
        <v>798</v>
      </c>
      <c r="L213" s="25" t="s">
        <v>58</v>
      </c>
      <c r="M213" t="str">
        <f>TEXT(A213,"dddd")</f>
        <v>Sunday</v>
      </c>
      <c r="N213" s="35">
        <f>DATE(Table4[[#This Row],[year]],Table4[[#This Row],[month2]],Table4[[#This Row],[day]])</f>
        <v>46157</v>
      </c>
    </row>
    <row r="214" spans="1:14" ht="16" x14ac:dyDescent="0.35">
      <c r="A214" t="str">
        <f t="shared" si="6"/>
        <v>15</v>
      </c>
      <c r="B214">
        <f>_xlfn.SWITCH(Table4[[#This Row],[month]],"jan",1,"feb",2,"mar",3,"apr",4,"may",5,"jun",6,"jul",7,"aug",8,"sep",9,"oct",10,"nov",11,"dec",12,"no month")</f>
        <v>5</v>
      </c>
      <c r="C214" s="12" t="str">
        <f>LEFT('All Transactions'!$E214,3)</f>
        <v>May</v>
      </c>
      <c r="D214" s="12" t="str">
        <f t="shared" si="7"/>
        <v>2026</v>
      </c>
      <c r="E214" s="16" t="s">
        <v>790</v>
      </c>
      <c r="F214" s="17" t="s">
        <v>799</v>
      </c>
      <c r="G214" s="18" t="s">
        <v>28</v>
      </c>
      <c r="H214" s="19">
        <v>30</v>
      </c>
      <c r="I214" s="20" t="s">
        <v>800</v>
      </c>
      <c r="J214" s="20" t="s">
        <v>801</v>
      </c>
      <c r="K214" s="21" t="s">
        <v>802</v>
      </c>
      <c r="L214" s="20" t="s">
        <v>47</v>
      </c>
      <c r="M214" t="str">
        <f>TEXT(A214,"dddd")</f>
        <v>Sunday</v>
      </c>
      <c r="N214" s="35">
        <f>DATE(Table4[[#This Row],[year]],Table4[[#This Row],[month2]],Table4[[#This Row],[day]])</f>
        <v>46157</v>
      </c>
    </row>
    <row r="215" spans="1:14" ht="16" x14ac:dyDescent="0.35">
      <c r="A215" t="str">
        <f t="shared" si="6"/>
        <v>15</v>
      </c>
      <c r="B215">
        <f>_xlfn.SWITCH(Table4[[#This Row],[month]],"jan",1,"feb",2,"mar",3,"apr",4,"may",5,"jun",6,"jul",7,"aug",8,"sep",9,"oct",10,"nov",11,"dec",12,"no month")</f>
        <v>5</v>
      </c>
      <c r="C215" s="12" t="str">
        <f>LEFT('All Transactions'!$E215,3)</f>
        <v>May</v>
      </c>
      <c r="D215" s="12" t="str">
        <f t="shared" si="7"/>
        <v>2026</v>
      </c>
      <c r="E215" s="22" t="s">
        <v>790</v>
      </c>
      <c r="F215" s="23" t="s">
        <v>803</v>
      </c>
      <c r="G215" s="27" t="s">
        <v>54</v>
      </c>
      <c r="H215" s="24">
        <v>51</v>
      </c>
      <c r="I215" s="25" t="s">
        <v>804</v>
      </c>
      <c r="J215" s="25" t="s">
        <v>805</v>
      </c>
      <c r="K215" s="26" t="s">
        <v>806</v>
      </c>
      <c r="L215" s="25" t="s">
        <v>58</v>
      </c>
      <c r="M215" t="str">
        <f>TEXT(A215,"dddd")</f>
        <v>Sunday</v>
      </c>
      <c r="N215" s="35">
        <f>DATE(Table4[[#This Row],[year]],Table4[[#This Row],[month2]],Table4[[#This Row],[day]])</f>
        <v>46157</v>
      </c>
    </row>
    <row r="216" spans="1:14" ht="16" x14ac:dyDescent="0.35">
      <c r="A216" t="str">
        <f t="shared" si="6"/>
        <v>15</v>
      </c>
      <c r="B216">
        <f>_xlfn.SWITCH(Table4[[#This Row],[month]],"jan",1,"feb",2,"mar",3,"apr",4,"may",5,"jun",6,"jul",7,"aug",8,"sep",9,"oct",10,"nov",11,"dec",12,"no month")</f>
        <v>5</v>
      </c>
      <c r="C216" s="12" t="str">
        <f>LEFT('All Transactions'!$E216,3)</f>
        <v>May</v>
      </c>
      <c r="D216" s="12" t="str">
        <f t="shared" si="7"/>
        <v>2026</v>
      </c>
      <c r="E216" s="16" t="s">
        <v>790</v>
      </c>
      <c r="F216" s="17" t="s">
        <v>561</v>
      </c>
      <c r="G216" s="27" t="s">
        <v>54</v>
      </c>
      <c r="H216" s="19">
        <v>119</v>
      </c>
      <c r="I216" s="20" t="s">
        <v>807</v>
      </c>
      <c r="J216" s="20" t="s">
        <v>808</v>
      </c>
      <c r="K216" s="21" t="s">
        <v>809</v>
      </c>
      <c r="L216" s="20" t="s">
        <v>58</v>
      </c>
      <c r="M216" t="str">
        <f>TEXT(A216,"dddd")</f>
        <v>Sunday</v>
      </c>
      <c r="N216" s="35">
        <f>DATE(Table4[[#This Row],[year]],Table4[[#This Row],[month2]],Table4[[#This Row],[day]])</f>
        <v>46157</v>
      </c>
    </row>
    <row r="217" spans="1:14" ht="16" x14ac:dyDescent="0.35">
      <c r="A217" t="str">
        <f t="shared" si="6"/>
        <v>15</v>
      </c>
      <c r="B217">
        <f>_xlfn.SWITCH(Table4[[#This Row],[month]],"jan",1,"feb",2,"mar",3,"apr",4,"may",5,"jun",6,"jul",7,"aug",8,"sep",9,"oct",10,"nov",11,"dec",12,"no month")</f>
        <v>5</v>
      </c>
      <c r="C217" s="12" t="str">
        <f>LEFT('All Transactions'!$E217,3)</f>
        <v>May</v>
      </c>
      <c r="D217" s="12" t="str">
        <f t="shared" si="7"/>
        <v>2026</v>
      </c>
      <c r="E217" s="22" t="s">
        <v>790</v>
      </c>
      <c r="F217" s="23" t="s">
        <v>518</v>
      </c>
      <c r="G217" s="27" t="s">
        <v>54</v>
      </c>
      <c r="H217" s="24">
        <v>74</v>
      </c>
      <c r="I217" s="25" t="s">
        <v>89</v>
      </c>
      <c r="J217" s="25" t="s">
        <v>810</v>
      </c>
      <c r="K217" s="26" t="s">
        <v>811</v>
      </c>
      <c r="L217" s="25" t="s">
        <v>58</v>
      </c>
      <c r="M217" t="str">
        <f>TEXT(A217,"dddd")</f>
        <v>Sunday</v>
      </c>
      <c r="N217" s="35">
        <f>DATE(Table4[[#This Row],[year]],Table4[[#This Row],[month2]],Table4[[#This Row],[day]])</f>
        <v>46157</v>
      </c>
    </row>
    <row r="218" spans="1:14" ht="16" x14ac:dyDescent="0.35">
      <c r="A218" t="str">
        <f t="shared" si="6"/>
        <v>15</v>
      </c>
      <c r="B218">
        <f>_xlfn.SWITCH(Table4[[#This Row],[month]],"jan",1,"feb",2,"mar",3,"apr",4,"may",5,"jun",6,"jul",7,"aug",8,"sep",9,"oct",10,"nov",11,"dec",12,"no month")</f>
        <v>5</v>
      </c>
      <c r="C218" s="12" t="str">
        <f>LEFT('All Transactions'!$E218,3)</f>
        <v>May</v>
      </c>
      <c r="D218" s="12" t="str">
        <f t="shared" si="7"/>
        <v>2026</v>
      </c>
      <c r="E218" s="16" t="s">
        <v>790</v>
      </c>
      <c r="F218" s="17" t="s">
        <v>358</v>
      </c>
      <c r="G218" s="27" t="s">
        <v>54</v>
      </c>
      <c r="H218" s="19">
        <v>160</v>
      </c>
      <c r="I218" s="20" t="s">
        <v>812</v>
      </c>
      <c r="J218" s="20" t="s">
        <v>813</v>
      </c>
      <c r="K218" s="21" t="s">
        <v>814</v>
      </c>
      <c r="L218" s="20" t="s">
        <v>58</v>
      </c>
      <c r="M218" t="str">
        <f>TEXT(A218,"dddd")</f>
        <v>Sunday</v>
      </c>
      <c r="N218" s="35">
        <f>DATE(Table4[[#This Row],[year]],Table4[[#This Row],[month2]],Table4[[#This Row],[day]])</f>
        <v>46157</v>
      </c>
    </row>
    <row r="219" spans="1:14" ht="16" x14ac:dyDescent="0.35">
      <c r="A219" t="str">
        <f t="shared" si="6"/>
        <v>15</v>
      </c>
      <c r="B219">
        <f>_xlfn.SWITCH(Table4[[#This Row],[month]],"jan",1,"feb",2,"mar",3,"apr",4,"may",5,"jun",6,"jul",7,"aug",8,"sep",9,"oct",10,"nov",11,"dec",12,"no month")</f>
        <v>5</v>
      </c>
      <c r="C219" s="12" t="str">
        <f>LEFT('All Transactions'!$E219,3)</f>
        <v>May</v>
      </c>
      <c r="D219" s="12" t="str">
        <f t="shared" si="7"/>
        <v>2026</v>
      </c>
      <c r="E219" s="22" t="s">
        <v>790</v>
      </c>
      <c r="F219" s="23" t="s">
        <v>787</v>
      </c>
      <c r="G219" s="18" t="s">
        <v>28</v>
      </c>
      <c r="H219" s="24">
        <v>100</v>
      </c>
      <c r="I219" s="25" t="s">
        <v>815</v>
      </c>
      <c r="J219" s="25" t="s">
        <v>816</v>
      </c>
      <c r="K219" s="26" t="s">
        <v>817</v>
      </c>
      <c r="L219" s="25" t="s">
        <v>32</v>
      </c>
      <c r="M219" t="str">
        <f>TEXT(A219,"dddd")</f>
        <v>Sunday</v>
      </c>
      <c r="N219" s="35">
        <f>DATE(Table4[[#This Row],[year]],Table4[[#This Row],[month2]],Table4[[#This Row],[day]])</f>
        <v>46157</v>
      </c>
    </row>
    <row r="220" spans="1:14" ht="16" x14ac:dyDescent="0.35">
      <c r="A220" t="str">
        <f t="shared" si="6"/>
        <v>15</v>
      </c>
      <c r="B220">
        <f>_xlfn.SWITCH(Table4[[#This Row],[month]],"jan",1,"feb",2,"mar",3,"apr",4,"may",5,"jun",6,"jul",7,"aug",8,"sep",9,"oct",10,"nov",11,"dec",12,"no month")</f>
        <v>5</v>
      </c>
      <c r="C220" s="12" t="str">
        <f>LEFT('All Transactions'!$E220,3)</f>
        <v>May</v>
      </c>
      <c r="D220" s="12" t="str">
        <f t="shared" si="7"/>
        <v>2026</v>
      </c>
      <c r="E220" s="16" t="s">
        <v>790</v>
      </c>
      <c r="F220" s="17" t="s">
        <v>818</v>
      </c>
      <c r="G220" s="18" t="s">
        <v>28</v>
      </c>
      <c r="H220" s="19">
        <v>320</v>
      </c>
      <c r="I220" s="20" t="s">
        <v>12</v>
      </c>
      <c r="J220" s="20" t="s">
        <v>819</v>
      </c>
      <c r="K220" s="21" t="s">
        <v>820</v>
      </c>
      <c r="L220" s="20" t="s">
        <v>47</v>
      </c>
      <c r="M220" t="str">
        <f>TEXT(A220,"dddd")</f>
        <v>Sunday</v>
      </c>
      <c r="N220" s="35">
        <f>DATE(Table4[[#This Row],[year]],Table4[[#This Row],[month2]],Table4[[#This Row],[day]])</f>
        <v>46157</v>
      </c>
    </row>
    <row r="221" spans="1:14" ht="16" x14ac:dyDescent="0.35">
      <c r="A221" t="str">
        <f t="shared" si="6"/>
        <v>14</v>
      </c>
      <c r="B221">
        <f>_xlfn.SWITCH(Table4[[#This Row],[month]],"jan",1,"feb",2,"mar",3,"apr",4,"may",5,"jun",6,"jul",7,"aug",8,"sep",9,"oct",10,"nov",11,"dec",12,"no month")</f>
        <v>5</v>
      </c>
      <c r="C221" s="12" t="str">
        <f>LEFT('All Transactions'!$E221,3)</f>
        <v>May</v>
      </c>
      <c r="D221" s="12" t="str">
        <f t="shared" si="7"/>
        <v>2026</v>
      </c>
      <c r="E221" s="22" t="s">
        <v>821</v>
      </c>
      <c r="F221" s="23" t="s">
        <v>822</v>
      </c>
      <c r="G221" s="27" t="s">
        <v>54</v>
      </c>
      <c r="H221" s="24">
        <v>66</v>
      </c>
      <c r="I221" s="25" t="s">
        <v>823</v>
      </c>
      <c r="J221" s="25" t="s">
        <v>824</v>
      </c>
      <c r="K221" s="26" t="s">
        <v>825</v>
      </c>
      <c r="L221" s="25" t="s">
        <v>58</v>
      </c>
      <c r="M221" t="str">
        <f>TEXT(A221,"dddd")</f>
        <v>Saturday</v>
      </c>
      <c r="N221" s="35">
        <f>DATE(Table4[[#This Row],[year]],Table4[[#This Row],[month2]],Table4[[#This Row],[day]])</f>
        <v>46156</v>
      </c>
    </row>
    <row r="222" spans="1:14" ht="16" x14ac:dyDescent="0.35">
      <c r="A222" t="str">
        <f t="shared" si="6"/>
        <v>14</v>
      </c>
      <c r="B222">
        <f>_xlfn.SWITCH(Table4[[#This Row],[month]],"jan",1,"feb",2,"mar",3,"apr",4,"may",5,"jun",6,"jul",7,"aug",8,"sep",9,"oct",10,"nov",11,"dec",12,"no month")</f>
        <v>5</v>
      </c>
      <c r="C222" s="12" t="str">
        <f>LEFT('All Transactions'!$E222,3)</f>
        <v>May</v>
      </c>
      <c r="D222" s="12" t="str">
        <f t="shared" si="7"/>
        <v>2026</v>
      </c>
      <c r="E222" s="16" t="s">
        <v>821</v>
      </c>
      <c r="F222" s="17" t="s">
        <v>826</v>
      </c>
      <c r="G222" s="27" t="s">
        <v>54</v>
      </c>
      <c r="H222" s="19">
        <v>100</v>
      </c>
      <c r="I222" s="20" t="s">
        <v>827</v>
      </c>
      <c r="J222" s="20" t="s">
        <v>828</v>
      </c>
      <c r="K222" s="21" t="s">
        <v>829</v>
      </c>
      <c r="L222" s="20" t="s">
        <v>58</v>
      </c>
      <c r="M222" t="str">
        <f>TEXT(A222,"dddd")</f>
        <v>Saturday</v>
      </c>
      <c r="N222" s="35">
        <f>DATE(Table4[[#This Row],[year]],Table4[[#This Row],[month2]],Table4[[#This Row],[day]])</f>
        <v>46156</v>
      </c>
    </row>
    <row r="223" spans="1:14" ht="16" x14ac:dyDescent="0.35">
      <c r="A223" t="str">
        <f t="shared" si="6"/>
        <v>14</v>
      </c>
      <c r="B223">
        <f>_xlfn.SWITCH(Table4[[#This Row],[month]],"jan",1,"feb",2,"mar",3,"apr",4,"may",5,"jun",6,"jul",7,"aug",8,"sep",9,"oct",10,"nov",11,"dec",12,"no month")</f>
        <v>5</v>
      </c>
      <c r="C223" s="12" t="str">
        <f>LEFT('All Transactions'!$E223,3)</f>
        <v>May</v>
      </c>
      <c r="D223" s="12" t="str">
        <f t="shared" si="7"/>
        <v>2026</v>
      </c>
      <c r="E223" s="22" t="s">
        <v>821</v>
      </c>
      <c r="F223" s="23" t="s">
        <v>350</v>
      </c>
      <c r="G223" s="27" t="s">
        <v>54</v>
      </c>
      <c r="H223" s="24">
        <v>58</v>
      </c>
      <c r="I223" s="25" t="s">
        <v>830</v>
      </c>
      <c r="J223" s="25" t="s">
        <v>831</v>
      </c>
      <c r="K223" s="26" t="s">
        <v>832</v>
      </c>
      <c r="L223" s="25" t="s">
        <v>58</v>
      </c>
      <c r="M223" t="str">
        <f>TEXT(A223,"dddd")</f>
        <v>Saturday</v>
      </c>
      <c r="N223" s="35">
        <f>DATE(Table4[[#This Row],[year]],Table4[[#This Row],[month2]],Table4[[#This Row],[day]])</f>
        <v>46156</v>
      </c>
    </row>
    <row r="224" spans="1:14" ht="16" x14ac:dyDescent="0.35">
      <c r="A224" t="str">
        <f t="shared" si="6"/>
        <v>14</v>
      </c>
      <c r="B224">
        <f>_xlfn.SWITCH(Table4[[#This Row],[month]],"jan",1,"feb",2,"mar",3,"apr",4,"may",5,"jun",6,"jul",7,"aug",8,"sep",9,"oct",10,"nov",11,"dec",12,"no month")</f>
        <v>5</v>
      </c>
      <c r="C224" s="12" t="str">
        <f>LEFT('All Transactions'!$E224,3)</f>
        <v>May</v>
      </c>
      <c r="D224" s="12" t="str">
        <f t="shared" si="7"/>
        <v>2026</v>
      </c>
      <c r="E224" s="16" t="s">
        <v>821</v>
      </c>
      <c r="F224" s="17" t="s">
        <v>833</v>
      </c>
      <c r="G224" s="27" t="s">
        <v>54</v>
      </c>
      <c r="H224" s="19">
        <v>97</v>
      </c>
      <c r="I224" s="20" t="s">
        <v>834</v>
      </c>
      <c r="J224" s="20" t="s">
        <v>835</v>
      </c>
      <c r="K224" s="21" t="s">
        <v>836</v>
      </c>
      <c r="L224" s="20" t="s">
        <v>58</v>
      </c>
      <c r="M224" t="str">
        <f>TEXT(A224,"dddd")</f>
        <v>Saturday</v>
      </c>
      <c r="N224" s="35">
        <f>DATE(Table4[[#This Row],[year]],Table4[[#This Row],[month2]],Table4[[#This Row],[day]])</f>
        <v>46156</v>
      </c>
    </row>
    <row r="225" spans="1:14" ht="16" x14ac:dyDescent="0.35">
      <c r="A225" t="str">
        <f t="shared" si="6"/>
        <v>14</v>
      </c>
      <c r="B225">
        <f>_xlfn.SWITCH(Table4[[#This Row],[month]],"jan",1,"feb",2,"mar",3,"apr",4,"may",5,"jun",6,"jul",7,"aug",8,"sep",9,"oct",10,"nov",11,"dec",12,"no month")</f>
        <v>5</v>
      </c>
      <c r="C225" s="12" t="str">
        <f>LEFT('All Transactions'!$E225,3)</f>
        <v>May</v>
      </c>
      <c r="D225" s="12" t="str">
        <f t="shared" si="7"/>
        <v>2026</v>
      </c>
      <c r="E225" s="22" t="s">
        <v>821</v>
      </c>
      <c r="F225" s="23" t="s">
        <v>449</v>
      </c>
      <c r="G225" s="18" t="s">
        <v>28</v>
      </c>
      <c r="H225" s="24">
        <v>110</v>
      </c>
      <c r="I225" s="25" t="s">
        <v>837</v>
      </c>
      <c r="J225" s="25" t="s">
        <v>838</v>
      </c>
      <c r="K225" s="26" t="s">
        <v>839</v>
      </c>
      <c r="L225" s="25" t="s">
        <v>32</v>
      </c>
      <c r="M225" t="str">
        <f>TEXT(A225,"dddd")</f>
        <v>Saturday</v>
      </c>
      <c r="N225" s="35">
        <f>DATE(Table4[[#This Row],[year]],Table4[[#This Row],[month2]],Table4[[#This Row],[day]])</f>
        <v>46156</v>
      </c>
    </row>
    <row r="226" spans="1:14" ht="16" x14ac:dyDescent="0.35">
      <c r="A226" t="str">
        <f t="shared" si="6"/>
        <v>14</v>
      </c>
      <c r="B226">
        <f>_xlfn.SWITCH(Table4[[#This Row],[month]],"jan",1,"feb",2,"mar",3,"apr",4,"may",5,"jun",6,"jul",7,"aug",8,"sep",9,"oct",10,"nov",11,"dec",12,"no month")</f>
        <v>5</v>
      </c>
      <c r="C226" s="12" t="str">
        <f>LEFT('All Transactions'!$E226,3)</f>
        <v>May</v>
      </c>
      <c r="D226" s="12" t="str">
        <f t="shared" si="7"/>
        <v>2026</v>
      </c>
      <c r="E226" s="16" t="s">
        <v>821</v>
      </c>
      <c r="F226" s="17" t="s">
        <v>840</v>
      </c>
      <c r="G226" s="18" t="s">
        <v>28</v>
      </c>
      <c r="H226" s="19">
        <v>20</v>
      </c>
      <c r="I226" s="20" t="s">
        <v>662</v>
      </c>
      <c r="J226" s="20" t="s">
        <v>841</v>
      </c>
      <c r="K226" s="21" t="s">
        <v>842</v>
      </c>
      <c r="L226" s="20" t="s">
        <v>32</v>
      </c>
      <c r="M226" t="str">
        <f>TEXT(A226,"dddd")</f>
        <v>Saturday</v>
      </c>
      <c r="N226" s="35">
        <f>DATE(Table4[[#This Row],[year]],Table4[[#This Row],[month2]],Table4[[#This Row],[day]])</f>
        <v>46156</v>
      </c>
    </row>
    <row r="227" spans="1:14" ht="16" x14ac:dyDescent="0.35">
      <c r="A227" t="str">
        <f t="shared" si="6"/>
        <v>14</v>
      </c>
      <c r="B227">
        <f>_xlfn.SWITCH(Table4[[#This Row],[month]],"jan",1,"feb",2,"mar",3,"apr",4,"may",5,"jun",6,"jul",7,"aug",8,"sep",9,"oct",10,"nov",11,"dec",12,"no month")</f>
        <v>5</v>
      </c>
      <c r="C227" s="12" t="str">
        <f>LEFT('All Transactions'!$E227,3)</f>
        <v>May</v>
      </c>
      <c r="D227" s="12" t="str">
        <f t="shared" si="7"/>
        <v>2026</v>
      </c>
      <c r="E227" s="22" t="s">
        <v>821</v>
      </c>
      <c r="F227" s="23" t="s">
        <v>843</v>
      </c>
      <c r="G227" s="27" t="s">
        <v>54</v>
      </c>
      <c r="H227" s="24">
        <v>60</v>
      </c>
      <c r="I227" s="25" t="s">
        <v>844</v>
      </c>
      <c r="J227" s="25" t="s">
        <v>845</v>
      </c>
      <c r="K227" s="26" t="s">
        <v>846</v>
      </c>
      <c r="L227" s="25" t="s">
        <v>58</v>
      </c>
      <c r="M227" t="str">
        <f>TEXT(A227,"dddd")</f>
        <v>Saturday</v>
      </c>
      <c r="N227" s="35">
        <f>DATE(Table4[[#This Row],[year]],Table4[[#This Row],[month2]],Table4[[#This Row],[day]])</f>
        <v>46156</v>
      </c>
    </row>
    <row r="228" spans="1:14" ht="16" x14ac:dyDescent="0.35">
      <c r="A228" t="str">
        <f t="shared" si="6"/>
        <v>14</v>
      </c>
      <c r="B228">
        <f>_xlfn.SWITCH(Table4[[#This Row],[month]],"jan",1,"feb",2,"mar",3,"apr",4,"may",5,"jun",6,"jul",7,"aug",8,"sep",9,"oct",10,"nov",11,"dec",12,"no month")</f>
        <v>5</v>
      </c>
      <c r="C228" s="12" t="str">
        <f>LEFT('All Transactions'!$E228,3)</f>
        <v>May</v>
      </c>
      <c r="D228" s="12" t="str">
        <f t="shared" si="7"/>
        <v>2026</v>
      </c>
      <c r="E228" s="16" t="s">
        <v>821</v>
      </c>
      <c r="F228" s="17" t="s">
        <v>69</v>
      </c>
      <c r="G228" s="18" t="s">
        <v>28</v>
      </c>
      <c r="H228" s="19">
        <v>25</v>
      </c>
      <c r="I228" s="20" t="s">
        <v>20</v>
      </c>
      <c r="J228" s="20" t="s">
        <v>847</v>
      </c>
      <c r="K228" s="21" t="s">
        <v>848</v>
      </c>
      <c r="L228" s="20" t="s">
        <v>47</v>
      </c>
      <c r="M228" t="str">
        <f>TEXT(A228,"dddd")</f>
        <v>Saturday</v>
      </c>
      <c r="N228" s="35">
        <f>DATE(Table4[[#This Row],[year]],Table4[[#This Row],[month2]],Table4[[#This Row],[day]])</f>
        <v>46156</v>
      </c>
    </row>
    <row r="229" spans="1:14" ht="16" x14ac:dyDescent="0.35">
      <c r="A229" t="str">
        <f t="shared" si="6"/>
        <v>14</v>
      </c>
      <c r="B229">
        <f>_xlfn.SWITCH(Table4[[#This Row],[month]],"jan",1,"feb",2,"mar",3,"apr",4,"may",5,"jun",6,"jul",7,"aug",8,"sep",9,"oct",10,"nov",11,"dec",12,"no month")</f>
        <v>5</v>
      </c>
      <c r="C229" s="12" t="str">
        <f>LEFT('All Transactions'!$E229,3)</f>
        <v>May</v>
      </c>
      <c r="D229" s="12" t="str">
        <f t="shared" si="7"/>
        <v>2026</v>
      </c>
      <c r="E229" s="22" t="s">
        <v>821</v>
      </c>
      <c r="F229" s="23" t="s">
        <v>373</v>
      </c>
      <c r="G229" s="18" t="s">
        <v>28</v>
      </c>
      <c r="H229" s="24">
        <v>25</v>
      </c>
      <c r="I229" s="25" t="s">
        <v>201</v>
      </c>
      <c r="J229" s="25" t="s">
        <v>849</v>
      </c>
      <c r="K229" s="26" t="s">
        <v>850</v>
      </c>
      <c r="L229" s="25" t="s">
        <v>32</v>
      </c>
      <c r="M229" t="str">
        <f>TEXT(A229,"dddd")</f>
        <v>Saturday</v>
      </c>
      <c r="N229" s="35">
        <f>DATE(Table4[[#This Row],[year]],Table4[[#This Row],[month2]],Table4[[#This Row],[day]])</f>
        <v>46156</v>
      </c>
    </row>
    <row r="230" spans="1:14" ht="16" x14ac:dyDescent="0.35">
      <c r="A230" t="str">
        <f t="shared" si="6"/>
        <v>14</v>
      </c>
      <c r="B230">
        <f>_xlfn.SWITCH(Table4[[#This Row],[month]],"jan",1,"feb",2,"mar",3,"apr",4,"may",5,"jun",6,"jul",7,"aug",8,"sep",9,"oct",10,"nov",11,"dec",12,"no month")</f>
        <v>5</v>
      </c>
      <c r="C230" s="12" t="str">
        <f>LEFT('All Transactions'!$E230,3)</f>
        <v>May</v>
      </c>
      <c r="D230" s="12" t="str">
        <f t="shared" si="7"/>
        <v>2026</v>
      </c>
      <c r="E230" s="16" t="s">
        <v>821</v>
      </c>
      <c r="F230" s="17" t="s">
        <v>851</v>
      </c>
      <c r="G230" s="18" t="s">
        <v>28</v>
      </c>
      <c r="H230" s="19">
        <v>65</v>
      </c>
      <c r="I230" s="20" t="s">
        <v>852</v>
      </c>
      <c r="J230" s="20" t="s">
        <v>853</v>
      </c>
      <c r="K230" s="21" t="s">
        <v>854</v>
      </c>
      <c r="L230" s="20" t="s">
        <v>47</v>
      </c>
      <c r="M230" t="str">
        <f>TEXT(A230,"dddd")</f>
        <v>Saturday</v>
      </c>
      <c r="N230" s="35">
        <f>DATE(Table4[[#This Row],[year]],Table4[[#This Row],[month2]],Table4[[#This Row],[day]])</f>
        <v>46156</v>
      </c>
    </row>
    <row r="231" spans="1:14" ht="16" x14ac:dyDescent="0.35">
      <c r="A231" t="str">
        <f t="shared" si="6"/>
        <v>14</v>
      </c>
      <c r="B231">
        <f>_xlfn.SWITCH(Table4[[#This Row],[month]],"jan",1,"feb",2,"mar",3,"apr",4,"may",5,"jun",6,"jul",7,"aug",8,"sep",9,"oct",10,"nov",11,"dec",12,"no month")</f>
        <v>5</v>
      </c>
      <c r="C231" s="12" t="str">
        <f>LEFT('All Transactions'!$E231,3)</f>
        <v>May</v>
      </c>
      <c r="D231" s="12" t="str">
        <f t="shared" si="7"/>
        <v>2026</v>
      </c>
      <c r="E231" s="22" t="s">
        <v>821</v>
      </c>
      <c r="F231" s="23" t="s">
        <v>73</v>
      </c>
      <c r="G231" s="18" t="s">
        <v>28</v>
      </c>
      <c r="H231" s="24">
        <v>36</v>
      </c>
      <c r="I231" s="25" t="s">
        <v>191</v>
      </c>
      <c r="J231" s="25" t="s">
        <v>855</v>
      </c>
      <c r="K231" s="26" t="s">
        <v>856</v>
      </c>
      <c r="L231" s="25" t="s">
        <v>47</v>
      </c>
      <c r="M231" t="str">
        <f>TEXT(A231,"dddd")</f>
        <v>Saturday</v>
      </c>
      <c r="N231" s="35">
        <f>DATE(Table4[[#This Row],[year]],Table4[[#This Row],[month2]],Table4[[#This Row],[day]])</f>
        <v>46156</v>
      </c>
    </row>
    <row r="232" spans="1:14" ht="16" x14ac:dyDescent="0.35">
      <c r="A232" t="str">
        <f t="shared" si="6"/>
        <v>14</v>
      </c>
      <c r="B232">
        <f>_xlfn.SWITCH(Table4[[#This Row],[month]],"jan",1,"feb",2,"mar",3,"apr",4,"may",5,"jun",6,"jul",7,"aug",8,"sep",9,"oct",10,"nov",11,"dec",12,"no month")</f>
        <v>5</v>
      </c>
      <c r="C232" s="12" t="str">
        <f>LEFT('All Transactions'!$E232,3)</f>
        <v>May</v>
      </c>
      <c r="D232" s="12" t="str">
        <f t="shared" si="7"/>
        <v>2026</v>
      </c>
      <c r="E232" s="16" t="s">
        <v>821</v>
      </c>
      <c r="F232" s="17" t="s">
        <v>857</v>
      </c>
      <c r="G232" s="18" t="s">
        <v>28</v>
      </c>
      <c r="H232" s="19">
        <v>32</v>
      </c>
      <c r="I232" s="20" t="s">
        <v>191</v>
      </c>
      <c r="J232" s="20" t="s">
        <v>858</v>
      </c>
      <c r="K232" s="21" t="s">
        <v>859</v>
      </c>
      <c r="L232" s="20" t="s">
        <v>32</v>
      </c>
      <c r="M232" t="str">
        <f>TEXT(A232,"dddd")</f>
        <v>Saturday</v>
      </c>
      <c r="N232" s="35">
        <f>DATE(Table4[[#This Row],[year]],Table4[[#This Row],[month2]],Table4[[#This Row],[day]])</f>
        <v>46156</v>
      </c>
    </row>
    <row r="233" spans="1:14" ht="16" x14ac:dyDescent="0.35">
      <c r="A233" t="str">
        <f t="shared" si="6"/>
        <v>14</v>
      </c>
      <c r="B233">
        <f>_xlfn.SWITCH(Table4[[#This Row],[month]],"jan",1,"feb",2,"mar",3,"apr",4,"may",5,"jun",6,"jul",7,"aug",8,"sep",9,"oct",10,"nov",11,"dec",12,"no month")</f>
        <v>5</v>
      </c>
      <c r="C233" s="12" t="str">
        <f>LEFT('All Transactions'!$E233,3)</f>
        <v>May</v>
      </c>
      <c r="D233" s="12" t="str">
        <f t="shared" si="7"/>
        <v>2026</v>
      </c>
      <c r="E233" s="22" t="s">
        <v>821</v>
      </c>
      <c r="F233" s="23" t="s">
        <v>860</v>
      </c>
      <c r="G233" s="18" t="s">
        <v>28</v>
      </c>
      <c r="H233" s="24">
        <v>10</v>
      </c>
      <c r="I233" s="25" t="s">
        <v>861</v>
      </c>
      <c r="J233" s="25" t="s">
        <v>862</v>
      </c>
      <c r="K233" s="26" t="s">
        <v>863</v>
      </c>
      <c r="L233" s="25" t="s">
        <v>32</v>
      </c>
      <c r="M233" t="str">
        <f>TEXT(A233,"dddd")</f>
        <v>Saturday</v>
      </c>
      <c r="N233" s="35">
        <f>DATE(Table4[[#This Row],[year]],Table4[[#This Row],[month2]],Table4[[#This Row],[day]])</f>
        <v>46156</v>
      </c>
    </row>
    <row r="234" spans="1:14" ht="16" x14ac:dyDescent="0.35">
      <c r="A234" t="str">
        <f t="shared" si="6"/>
        <v>13</v>
      </c>
      <c r="B234">
        <f>_xlfn.SWITCH(Table4[[#This Row],[month]],"jan",1,"feb",2,"mar",3,"apr",4,"may",5,"jun",6,"jul",7,"aug",8,"sep",9,"oct",10,"nov",11,"dec",12,"no month")</f>
        <v>5</v>
      </c>
      <c r="C234" s="12" t="str">
        <f>LEFT('All Transactions'!$E234,3)</f>
        <v>May</v>
      </c>
      <c r="D234" s="12" t="str">
        <f t="shared" si="7"/>
        <v>2026</v>
      </c>
      <c r="E234" s="16" t="s">
        <v>864</v>
      </c>
      <c r="F234" s="17" t="s">
        <v>865</v>
      </c>
      <c r="G234" s="18" t="s">
        <v>28</v>
      </c>
      <c r="H234" s="19">
        <v>150</v>
      </c>
      <c r="I234" s="20" t="s">
        <v>866</v>
      </c>
      <c r="J234" s="20" t="s">
        <v>867</v>
      </c>
      <c r="K234" s="21" t="s">
        <v>868</v>
      </c>
      <c r="L234" s="20" t="s">
        <v>32</v>
      </c>
      <c r="M234" t="str">
        <f>TEXT(A234,"dddd")</f>
        <v>Friday</v>
      </c>
      <c r="N234" s="35">
        <f>DATE(Table4[[#This Row],[year]],Table4[[#This Row],[month2]],Table4[[#This Row],[day]])</f>
        <v>46155</v>
      </c>
    </row>
    <row r="235" spans="1:14" ht="16" x14ac:dyDescent="0.35">
      <c r="A235" t="str">
        <f t="shared" si="6"/>
        <v>13</v>
      </c>
      <c r="B235">
        <f>_xlfn.SWITCH(Table4[[#This Row],[month]],"jan",1,"feb",2,"mar",3,"apr",4,"may",5,"jun",6,"jul",7,"aug",8,"sep",9,"oct",10,"nov",11,"dec",12,"no month")</f>
        <v>5</v>
      </c>
      <c r="C235" s="12" t="str">
        <f>LEFT('All Transactions'!$E235,3)</f>
        <v>May</v>
      </c>
      <c r="D235" s="12" t="str">
        <f t="shared" si="7"/>
        <v>2026</v>
      </c>
      <c r="E235" s="22" t="s">
        <v>864</v>
      </c>
      <c r="F235" s="23" t="s">
        <v>869</v>
      </c>
      <c r="G235" s="27" t="s">
        <v>54</v>
      </c>
      <c r="H235" s="24">
        <v>90</v>
      </c>
      <c r="I235" s="25" t="s">
        <v>870</v>
      </c>
      <c r="J235" s="25" t="s">
        <v>871</v>
      </c>
      <c r="K235" s="26" t="s">
        <v>872</v>
      </c>
      <c r="L235" s="25" t="s">
        <v>58</v>
      </c>
      <c r="M235" t="str">
        <f>TEXT(A235,"dddd")</f>
        <v>Friday</v>
      </c>
      <c r="N235" s="35">
        <f>DATE(Table4[[#This Row],[year]],Table4[[#This Row],[month2]],Table4[[#This Row],[day]])</f>
        <v>46155</v>
      </c>
    </row>
    <row r="236" spans="1:14" ht="16" x14ac:dyDescent="0.35">
      <c r="A236" t="str">
        <f t="shared" si="6"/>
        <v>13</v>
      </c>
      <c r="B236">
        <f>_xlfn.SWITCH(Table4[[#This Row],[month]],"jan",1,"feb",2,"mar",3,"apr",4,"may",5,"jun",6,"jul",7,"aug",8,"sep",9,"oct",10,"nov",11,"dec",12,"no month")</f>
        <v>5</v>
      </c>
      <c r="C236" s="12" t="str">
        <f>LEFT('All Transactions'!$E236,3)</f>
        <v>May</v>
      </c>
      <c r="D236" s="12" t="str">
        <f t="shared" si="7"/>
        <v>2026</v>
      </c>
      <c r="E236" s="16" t="s">
        <v>864</v>
      </c>
      <c r="F236" s="17" t="s">
        <v>873</v>
      </c>
      <c r="G236" s="27" t="s">
        <v>54</v>
      </c>
      <c r="H236" s="19">
        <v>50</v>
      </c>
      <c r="I236" s="20" t="s">
        <v>874</v>
      </c>
      <c r="J236" s="20" t="s">
        <v>875</v>
      </c>
      <c r="K236" s="21" t="s">
        <v>876</v>
      </c>
      <c r="L236" s="20" t="s">
        <v>58</v>
      </c>
      <c r="M236" t="str">
        <f>TEXT(A236,"dddd")</f>
        <v>Friday</v>
      </c>
      <c r="N236" s="35">
        <f>DATE(Table4[[#This Row],[year]],Table4[[#This Row],[month2]],Table4[[#This Row],[day]])</f>
        <v>46155</v>
      </c>
    </row>
    <row r="237" spans="1:14" ht="16" x14ac:dyDescent="0.35">
      <c r="A237" t="str">
        <f t="shared" si="6"/>
        <v>13</v>
      </c>
      <c r="B237">
        <f>_xlfn.SWITCH(Table4[[#This Row],[month]],"jan",1,"feb",2,"mar",3,"apr",4,"may",5,"jun",6,"jul",7,"aug",8,"sep",9,"oct",10,"nov",11,"dec",12,"no month")</f>
        <v>5</v>
      </c>
      <c r="C237" s="12" t="str">
        <f>LEFT('All Transactions'!$E237,3)</f>
        <v>May</v>
      </c>
      <c r="D237" s="12" t="str">
        <f t="shared" si="7"/>
        <v>2026</v>
      </c>
      <c r="E237" s="22" t="s">
        <v>864</v>
      </c>
      <c r="F237" s="23" t="s">
        <v>403</v>
      </c>
      <c r="G237" s="27" t="s">
        <v>54</v>
      </c>
      <c r="H237" s="24">
        <v>120</v>
      </c>
      <c r="I237" s="25" t="s">
        <v>877</v>
      </c>
      <c r="J237" s="25" t="s">
        <v>878</v>
      </c>
      <c r="K237" s="26" t="s">
        <v>879</v>
      </c>
      <c r="L237" s="25" t="s">
        <v>58</v>
      </c>
      <c r="M237" t="str">
        <f>TEXT(A237,"dddd")</f>
        <v>Friday</v>
      </c>
      <c r="N237" s="35">
        <f>DATE(Table4[[#This Row],[year]],Table4[[#This Row],[month2]],Table4[[#This Row],[day]])</f>
        <v>46155</v>
      </c>
    </row>
    <row r="238" spans="1:14" ht="16" x14ac:dyDescent="0.35">
      <c r="A238" t="str">
        <f t="shared" si="6"/>
        <v>13</v>
      </c>
      <c r="B238">
        <f>_xlfn.SWITCH(Table4[[#This Row],[month]],"jan",1,"feb",2,"mar",3,"apr",4,"may",5,"jun",6,"jul",7,"aug",8,"sep",9,"oct",10,"nov",11,"dec",12,"no month")</f>
        <v>5</v>
      </c>
      <c r="C238" s="12" t="str">
        <f>LEFT('All Transactions'!$E238,3)</f>
        <v>May</v>
      </c>
      <c r="D238" s="12" t="str">
        <f t="shared" si="7"/>
        <v>2026</v>
      </c>
      <c r="E238" s="16" t="s">
        <v>864</v>
      </c>
      <c r="F238" s="17" t="s">
        <v>880</v>
      </c>
      <c r="G238" s="27" t="s">
        <v>54</v>
      </c>
      <c r="H238" s="19">
        <v>61</v>
      </c>
      <c r="I238" s="20" t="s">
        <v>881</v>
      </c>
      <c r="J238" s="20" t="s">
        <v>882</v>
      </c>
      <c r="K238" s="21" t="s">
        <v>883</v>
      </c>
      <c r="L238" s="20" t="s">
        <v>58</v>
      </c>
      <c r="M238" t="str">
        <f>TEXT(A238,"dddd")</f>
        <v>Friday</v>
      </c>
      <c r="N238" s="35">
        <f>DATE(Table4[[#This Row],[year]],Table4[[#This Row],[month2]],Table4[[#This Row],[day]])</f>
        <v>46155</v>
      </c>
    </row>
    <row r="239" spans="1:14" ht="16" x14ac:dyDescent="0.35">
      <c r="A239" t="str">
        <f t="shared" si="6"/>
        <v>13</v>
      </c>
      <c r="B239">
        <f>_xlfn.SWITCH(Table4[[#This Row],[month]],"jan",1,"feb",2,"mar",3,"apr",4,"may",5,"jun",6,"jul",7,"aug",8,"sep",9,"oct",10,"nov",11,"dec",12,"no month")</f>
        <v>5</v>
      </c>
      <c r="C239" s="12" t="str">
        <f>LEFT('All Transactions'!$E239,3)</f>
        <v>May</v>
      </c>
      <c r="D239" s="12" t="str">
        <f t="shared" si="7"/>
        <v>2026</v>
      </c>
      <c r="E239" s="22" t="s">
        <v>864</v>
      </c>
      <c r="F239" s="23" t="s">
        <v>678</v>
      </c>
      <c r="G239" s="18" t="s">
        <v>28</v>
      </c>
      <c r="H239" s="24">
        <v>156.03</v>
      </c>
      <c r="I239" s="25" t="s">
        <v>566</v>
      </c>
      <c r="J239" s="25" t="s">
        <v>884</v>
      </c>
      <c r="K239" s="26" t="s">
        <v>885</v>
      </c>
      <c r="L239" s="25" t="s">
        <v>32</v>
      </c>
      <c r="M239" t="str">
        <f>TEXT(A239,"dddd")</f>
        <v>Friday</v>
      </c>
      <c r="N239" s="35">
        <f>DATE(Table4[[#This Row],[year]],Table4[[#This Row],[month2]],Table4[[#This Row],[day]])</f>
        <v>46155</v>
      </c>
    </row>
    <row r="240" spans="1:14" ht="16" x14ac:dyDescent="0.35">
      <c r="A240" t="str">
        <f t="shared" si="6"/>
        <v>13</v>
      </c>
      <c r="B240">
        <f>_xlfn.SWITCH(Table4[[#This Row],[month]],"jan",1,"feb",2,"mar",3,"apr",4,"may",5,"jun",6,"jul",7,"aug",8,"sep",9,"oct",10,"nov",11,"dec",12,"no month")</f>
        <v>5</v>
      </c>
      <c r="C240" s="12" t="str">
        <f>LEFT('All Transactions'!$E240,3)</f>
        <v>May</v>
      </c>
      <c r="D240" s="12" t="str">
        <f t="shared" si="7"/>
        <v>2026</v>
      </c>
      <c r="E240" s="16" t="s">
        <v>864</v>
      </c>
      <c r="F240" s="17" t="s">
        <v>886</v>
      </c>
      <c r="G240" s="18" t="s">
        <v>28</v>
      </c>
      <c r="H240" s="19">
        <v>130</v>
      </c>
      <c r="I240" s="20" t="s">
        <v>887</v>
      </c>
      <c r="J240" s="20" t="s">
        <v>888</v>
      </c>
      <c r="K240" s="21" t="s">
        <v>889</v>
      </c>
      <c r="L240" s="20" t="s">
        <v>32</v>
      </c>
      <c r="M240" t="str">
        <f>TEXT(A240,"dddd")</f>
        <v>Friday</v>
      </c>
      <c r="N240" s="35">
        <f>DATE(Table4[[#This Row],[year]],Table4[[#This Row],[month2]],Table4[[#This Row],[day]])</f>
        <v>46155</v>
      </c>
    </row>
    <row r="241" spans="1:14" ht="16" x14ac:dyDescent="0.35">
      <c r="A241" t="str">
        <f t="shared" si="6"/>
        <v>12</v>
      </c>
      <c r="B241">
        <f>_xlfn.SWITCH(Table4[[#This Row],[month]],"jan",1,"feb",2,"mar",3,"apr",4,"may",5,"jun",6,"jul",7,"aug",8,"sep",9,"oct",10,"nov",11,"dec",12,"no month")</f>
        <v>5</v>
      </c>
      <c r="C241" s="12" t="str">
        <f>LEFT('All Transactions'!$E241,3)</f>
        <v>May</v>
      </c>
      <c r="D241" s="12" t="str">
        <f t="shared" si="7"/>
        <v>2026</v>
      </c>
      <c r="E241" s="22" t="s">
        <v>890</v>
      </c>
      <c r="F241" s="23" t="s">
        <v>891</v>
      </c>
      <c r="G241" s="18" t="s">
        <v>28</v>
      </c>
      <c r="H241" s="24">
        <v>56</v>
      </c>
      <c r="I241" s="25" t="s">
        <v>450</v>
      </c>
      <c r="J241" s="25" t="s">
        <v>892</v>
      </c>
      <c r="K241" s="26" t="s">
        <v>893</v>
      </c>
      <c r="L241" s="25" t="s">
        <v>32</v>
      </c>
      <c r="M241" t="str">
        <f>TEXT(A241,"dddd")</f>
        <v>Thursday</v>
      </c>
      <c r="N241" s="35">
        <f>DATE(Table4[[#This Row],[year]],Table4[[#This Row],[month2]],Table4[[#This Row],[day]])</f>
        <v>46154</v>
      </c>
    </row>
    <row r="242" spans="1:14" ht="16" x14ac:dyDescent="0.35">
      <c r="A242" t="str">
        <f t="shared" si="6"/>
        <v>12</v>
      </c>
      <c r="B242">
        <f>_xlfn.SWITCH(Table4[[#This Row],[month]],"jan",1,"feb",2,"mar",3,"apr",4,"may",5,"jun",6,"jul",7,"aug",8,"sep",9,"oct",10,"nov",11,"dec",12,"no month")</f>
        <v>5</v>
      </c>
      <c r="C242" s="12" t="str">
        <f>LEFT('All Transactions'!$E242,3)</f>
        <v>May</v>
      </c>
      <c r="D242" s="12" t="str">
        <f t="shared" si="7"/>
        <v>2026</v>
      </c>
      <c r="E242" s="16" t="s">
        <v>890</v>
      </c>
      <c r="F242" s="17" t="s">
        <v>239</v>
      </c>
      <c r="G242" s="18" t="s">
        <v>28</v>
      </c>
      <c r="H242" s="19">
        <v>20</v>
      </c>
      <c r="I242" s="20" t="s">
        <v>662</v>
      </c>
      <c r="J242" s="20" t="s">
        <v>894</v>
      </c>
      <c r="K242" s="21" t="s">
        <v>895</v>
      </c>
      <c r="L242" s="20" t="s">
        <v>32</v>
      </c>
      <c r="M242" t="str">
        <f>TEXT(A242,"dddd")</f>
        <v>Thursday</v>
      </c>
      <c r="N242" s="35">
        <f>DATE(Table4[[#This Row],[year]],Table4[[#This Row],[month2]],Table4[[#This Row],[day]])</f>
        <v>46154</v>
      </c>
    </row>
    <row r="243" spans="1:14" ht="16" x14ac:dyDescent="0.35">
      <c r="A243" t="str">
        <f t="shared" si="6"/>
        <v>12</v>
      </c>
      <c r="B243">
        <f>_xlfn.SWITCH(Table4[[#This Row],[month]],"jan",1,"feb",2,"mar",3,"apr",4,"may",5,"jun",6,"jul",7,"aug",8,"sep",9,"oct",10,"nov",11,"dec",12,"no month")</f>
        <v>5</v>
      </c>
      <c r="C243" s="12" t="str">
        <f>LEFT('All Transactions'!$E243,3)</f>
        <v>May</v>
      </c>
      <c r="D243" s="12" t="str">
        <f t="shared" si="7"/>
        <v>2026</v>
      </c>
      <c r="E243" s="22" t="s">
        <v>890</v>
      </c>
      <c r="F243" s="23" t="s">
        <v>301</v>
      </c>
      <c r="G243" s="27" t="s">
        <v>54</v>
      </c>
      <c r="H243" s="24">
        <v>69</v>
      </c>
      <c r="I243" s="25" t="s">
        <v>896</v>
      </c>
      <c r="J243" s="25" t="s">
        <v>897</v>
      </c>
      <c r="K243" s="26" t="s">
        <v>898</v>
      </c>
      <c r="L243" s="25" t="s">
        <v>58</v>
      </c>
      <c r="M243" t="str">
        <f>TEXT(A243,"dddd")</f>
        <v>Thursday</v>
      </c>
      <c r="N243" s="35">
        <f>DATE(Table4[[#This Row],[year]],Table4[[#This Row],[month2]],Table4[[#This Row],[day]])</f>
        <v>46154</v>
      </c>
    </row>
    <row r="244" spans="1:14" ht="16" x14ac:dyDescent="0.35">
      <c r="A244" t="str">
        <f t="shared" si="6"/>
        <v>12</v>
      </c>
      <c r="B244">
        <f>_xlfn.SWITCH(Table4[[#This Row],[month]],"jan",1,"feb",2,"mar",3,"apr",4,"may",5,"jun",6,"jul",7,"aug",8,"sep",9,"oct",10,"nov",11,"dec",12,"no month")</f>
        <v>5</v>
      </c>
      <c r="C244" s="12" t="str">
        <f>LEFT('All Transactions'!$E244,3)</f>
        <v>May</v>
      </c>
      <c r="D244" s="12" t="str">
        <f t="shared" si="7"/>
        <v>2026</v>
      </c>
      <c r="E244" s="16" t="s">
        <v>890</v>
      </c>
      <c r="F244" s="17" t="s">
        <v>899</v>
      </c>
      <c r="G244" s="27" t="s">
        <v>54</v>
      </c>
      <c r="H244" s="19">
        <v>100</v>
      </c>
      <c r="I244" s="20" t="s">
        <v>900</v>
      </c>
      <c r="J244" s="20" t="s">
        <v>901</v>
      </c>
      <c r="K244" s="21" t="s">
        <v>902</v>
      </c>
      <c r="L244" s="20" t="s">
        <v>58</v>
      </c>
      <c r="M244" t="str">
        <f>TEXT(A244,"dddd")</f>
        <v>Thursday</v>
      </c>
      <c r="N244" s="35">
        <f>DATE(Table4[[#This Row],[year]],Table4[[#This Row],[month2]],Table4[[#This Row],[day]])</f>
        <v>46154</v>
      </c>
    </row>
    <row r="245" spans="1:14" ht="16" x14ac:dyDescent="0.35">
      <c r="A245" t="str">
        <f t="shared" si="6"/>
        <v>12</v>
      </c>
      <c r="B245">
        <f>_xlfn.SWITCH(Table4[[#This Row],[month]],"jan",1,"feb",2,"mar",3,"apr",4,"may",5,"jun",6,"jul",7,"aug",8,"sep",9,"oct",10,"nov",11,"dec",12,"no month")</f>
        <v>5</v>
      </c>
      <c r="C245" s="12" t="str">
        <f>LEFT('All Transactions'!$E245,3)</f>
        <v>May</v>
      </c>
      <c r="D245" s="12" t="str">
        <f t="shared" si="7"/>
        <v>2026</v>
      </c>
      <c r="E245" s="22" t="s">
        <v>890</v>
      </c>
      <c r="F245" s="23" t="s">
        <v>903</v>
      </c>
      <c r="G245" s="18" t="s">
        <v>28</v>
      </c>
      <c r="H245" s="24">
        <v>300</v>
      </c>
      <c r="I245" s="25" t="s">
        <v>20</v>
      </c>
      <c r="J245" s="25" t="s">
        <v>904</v>
      </c>
      <c r="K245" s="26" t="s">
        <v>905</v>
      </c>
      <c r="L245" s="25" t="s">
        <v>47</v>
      </c>
      <c r="M245" t="str">
        <f>TEXT(A245,"dddd")</f>
        <v>Thursday</v>
      </c>
      <c r="N245" s="35">
        <f>DATE(Table4[[#This Row],[year]],Table4[[#This Row],[month2]],Table4[[#This Row],[day]])</f>
        <v>46154</v>
      </c>
    </row>
    <row r="246" spans="1:14" ht="16" x14ac:dyDescent="0.35">
      <c r="A246" t="str">
        <f t="shared" si="6"/>
        <v>12</v>
      </c>
      <c r="B246">
        <f>_xlfn.SWITCH(Table4[[#This Row],[month]],"jan",1,"feb",2,"mar",3,"apr",4,"may",5,"jun",6,"jul",7,"aug",8,"sep",9,"oct",10,"nov",11,"dec",12,"no month")</f>
        <v>5</v>
      </c>
      <c r="C246" s="12" t="str">
        <f>LEFT('All Transactions'!$E246,3)</f>
        <v>May</v>
      </c>
      <c r="D246" s="12" t="str">
        <f t="shared" si="7"/>
        <v>2026</v>
      </c>
      <c r="E246" s="16" t="s">
        <v>890</v>
      </c>
      <c r="F246" s="17" t="s">
        <v>906</v>
      </c>
      <c r="G246" s="18" t="s">
        <v>28</v>
      </c>
      <c r="H246" s="19">
        <v>50</v>
      </c>
      <c r="I246" s="20" t="s">
        <v>907</v>
      </c>
      <c r="J246" s="20" t="s">
        <v>908</v>
      </c>
      <c r="K246" s="21" t="s">
        <v>909</v>
      </c>
      <c r="L246" s="20" t="s">
        <v>32</v>
      </c>
      <c r="M246" t="str">
        <f>TEXT(A246,"dddd")</f>
        <v>Thursday</v>
      </c>
      <c r="N246" s="35">
        <f>DATE(Table4[[#This Row],[year]],Table4[[#This Row],[month2]],Table4[[#This Row],[day]])</f>
        <v>46154</v>
      </c>
    </row>
    <row r="247" spans="1:14" ht="16" x14ac:dyDescent="0.35">
      <c r="A247" t="str">
        <f t="shared" si="6"/>
        <v>12</v>
      </c>
      <c r="B247">
        <f>_xlfn.SWITCH(Table4[[#This Row],[month]],"jan",1,"feb",2,"mar",3,"apr",4,"may",5,"jun",6,"jul",7,"aug",8,"sep",9,"oct",10,"nov",11,"dec",12,"no month")</f>
        <v>5</v>
      </c>
      <c r="C247" s="12" t="str">
        <f>LEFT('All Transactions'!$E247,3)</f>
        <v>May</v>
      </c>
      <c r="D247" s="12" t="str">
        <f t="shared" si="7"/>
        <v>2026</v>
      </c>
      <c r="E247" s="22" t="s">
        <v>890</v>
      </c>
      <c r="F247" s="23" t="s">
        <v>910</v>
      </c>
      <c r="G247" s="18" t="s">
        <v>28</v>
      </c>
      <c r="H247" s="24">
        <v>20</v>
      </c>
      <c r="I247" s="25" t="s">
        <v>911</v>
      </c>
      <c r="J247" s="25" t="s">
        <v>912</v>
      </c>
      <c r="K247" s="26" t="s">
        <v>913</v>
      </c>
      <c r="L247" s="25" t="s">
        <v>32</v>
      </c>
      <c r="M247" t="str">
        <f>TEXT(A247,"dddd")</f>
        <v>Thursday</v>
      </c>
      <c r="N247" s="35">
        <f>DATE(Table4[[#This Row],[year]],Table4[[#This Row],[month2]],Table4[[#This Row],[day]])</f>
        <v>46154</v>
      </c>
    </row>
    <row r="248" spans="1:14" ht="16" x14ac:dyDescent="0.35">
      <c r="A248" t="str">
        <f t="shared" si="6"/>
        <v>12</v>
      </c>
      <c r="B248">
        <f>_xlfn.SWITCH(Table4[[#This Row],[month]],"jan",1,"feb",2,"mar",3,"apr",4,"may",5,"jun",6,"jul",7,"aug",8,"sep",9,"oct",10,"nov",11,"dec",12,"no month")</f>
        <v>5</v>
      </c>
      <c r="C248" s="12" t="str">
        <f>LEFT('All Transactions'!$E248,3)</f>
        <v>May</v>
      </c>
      <c r="D248" s="12" t="str">
        <f t="shared" si="7"/>
        <v>2026</v>
      </c>
      <c r="E248" s="16" t="s">
        <v>890</v>
      </c>
      <c r="F248" s="17" t="s">
        <v>914</v>
      </c>
      <c r="G248" s="18" t="s">
        <v>28</v>
      </c>
      <c r="H248" s="19">
        <v>20</v>
      </c>
      <c r="I248" s="20" t="s">
        <v>915</v>
      </c>
      <c r="J248" s="20" t="s">
        <v>916</v>
      </c>
      <c r="K248" s="21" t="s">
        <v>917</v>
      </c>
      <c r="L248" s="20" t="s">
        <v>32</v>
      </c>
      <c r="M248" t="str">
        <f>TEXT(A248,"dddd")</f>
        <v>Thursday</v>
      </c>
      <c r="N248" s="35">
        <f>DATE(Table4[[#This Row],[year]],Table4[[#This Row],[month2]],Table4[[#This Row],[day]])</f>
        <v>46154</v>
      </c>
    </row>
    <row r="249" spans="1:14" ht="16" x14ac:dyDescent="0.35">
      <c r="A249" t="str">
        <f t="shared" si="6"/>
        <v>12</v>
      </c>
      <c r="B249">
        <f>_xlfn.SWITCH(Table4[[#This Row],[month]],"jan",1,"feb",2,"mar",3,"apr",4,"may",5,"jun",6,"jul",7,"aug",8,"sep",9,"oct",10,"nov",11,"dec",12,"no month")</f>
        <v>5</v>
      </c>
      <c r="C249" s="12" t="str">
        <f>LEFT('All Transactions'!$E249,3)</f>
        <v>May</v>
      </c>
      <c r="D249" s="12" t="str">
        <f t="shared" si="7"/>
        <v>2026</v>
      </c>
      <c r="E249" s="22" t="s">
        <v>890</v>
      </c>
      <c r="F249" s="23" t="s">
        <v>918</v>
      </c>
      <c r="G249" s="18" t="s">
        <v>28</v>
      </c>
      <c r="H249" s="24">
        <v>20</v>
      </c>
      <c r="I249" s="25" t="s">
        <v>919</v>
      </c>
      <c r="J249" s="25" t="s">
        <v>920</v>
      </c>
      <c r="K249" s="26" t="s">
        <v>921</v>
      </c>
      <c r="L249" s="25" t="s">
        <v>32</v>
      </c>
      <c r="M249" t="str">
        <f>TEXT(A249,"dddd")</f>
        <v>Thursday</v>
      </c>
      <c r="N249" s="35">
        <f>DATE(Table4[[#This Row],[year]],Table4[[#This Row],[month2]],Table4[[#This Row],[day]])</f>
        <v>46154</v>
      </c>
    </row>
    <row r="250" spans="1:14" ht="16" x14ac:dyDescent="0.35">
      <c r="A250" t="str">
        <f t="shared" si="6"/>
        <v>12</v>
      </c>
      <c r="B250">
        <f>_xlfn.SWITCH(Table4[[#This Row],[month]],"jan",1,"feb",2,"mar",3,"apr",4,"may",5,"jun",6,"jul",7,"aug",8,"sep",9,"oct",10,"nov",11,"dec",12,"no month")</f>
        <v>5</v>
      </c>
      <c r="C250" s="12" t="str">
        <f>LEFT('All Transactions'!$E250,3)</f>
        <v>May</v>
      </c>
      <c r="D250" s="12" t="str">
        <f t="shared" si="7"/>
        <v>2026</v>
      </c>
      <c r="E250" s="16" t="s">
        <v>890</v>
      </c>
      <c r="F250" s="17" t="s">
        <v>922</v>
      </c>
      <c r="G250" s="18" t="s">
        <v>28</v>
      </c>
      <c r="H250" s="19">
        <v>40</v>
      </c>
      <c r="I250" s="20" t="s">
        <v>201</v>
      </c>
      <c r="J250" s="20" t="s">
        <v>923</v>
      </c>
      <c r="K250" s="21" t="s">
        <v>924</v>
      </c>
      <c r="L250" s="20" t="s">
        <v>32</v>
      </c>
      <c r="M250" t="str">
        <f>TEXT(A250,"dddd")</f>
        <v>Thursday</v>
      </c>
      <c r="N250" s="35">
        <f>DATE(Table4[[#This Row],[year]],Table4[[#This Row],[month2]],Table4[[#This Row],[day]])</f>
        <v>46154</v>
      </c>
    </row>
    <row r="251" spans="1:14" ht="16" x14ac:dyDescent="0.35">
      <c r="A251" t="str">
        <f t="shared" si="6"/>
        <v>12</v>
      </c>
      <c r="B251">
        <f>_xlfn.SWITCH(Table4[[#This Row],[month]],"jan",1,"feb",2,"mar",3,"apr",4,"may",5,"jun",6,"jul",7,"aug",8,"sep",9,"oct",10,"nov",11,"dec",12,"no month")</f>
        <v>5</v>
      </c>
      <c r="C251" s="12" t="str">
        <f>LEFT('All Transactions'!$E251,3)</f>
        <v>May</v>
      </c>
      <c r="D251" s="12" t="str">
        <f t="shared" si="7"/>
        <v>2026</v>
      </c>
      <c r="E251" s="22" t="s">
        <v>890</v>
      </c>
      <c r="F251" s="23" t="s">
        <v>925</v>
      </c>
      <c r="G251" s="27" t="s">
        <v>54</v>
      </c>
      <c r="H251" s="24">
        <v>50</v>
      </c>
      <c r="I251" s="25" t="s">
        <v>156</v>
      </c>
      <c r="J251" s="25" t="s">
        <v>926</v>
      </c>
      <c r="K251" s="26" t="s">
        <v>927</v>
      </c>
      <c r="L251" s="25" t="s">
        <v>58</v>
      </c>
      <c r="M251" t="str">
        <f>TEXT(A251,"dddd")</f>
        <v>Thursday</v>
      </c>
      <c r="N251" s="35">
        <f>DATE(Table4[[#This Row],[year]],Table4[[#This Row],[month2]],Table4[[#This Row],[day]])</f>
        <v>46154</v>
      </c>
    </row>
    <row r="252" spans="1:14" ht="16" x14ac:dyDescent="0.35">
      <c r="A252" t="str">
        <f t="shared" si="6"/>
        <v>12</v>
      </c>
      <c r="B252">
        <f>_xlfn.SWITCH(Table4[[#This Row],[month]],"jan",1,"feb",2,"mar",3,"apr",4,"may",5,"jun",6,"jul",7,"aug",8,"sep",9,"oct",10,"nov",11,"dec",12,"no month")</f>
        <v>5</v>
      </c>
      <c r="C252" s="12" t="str">
        <f>LEFT('All Transactions'!$E252,3)</f>
        <v>May</v>
      </c>
      <c r="D252" s="12" t="str">
        <f t="shared" si="7"/>
        <v>2026</v>
      </c>
      <c r="E252" s="16" t="s">
        <v>890</v>
      </c>
      <c r="F252" s="17" t="s">
        <v>928</v>
      </c>
      <c r="G252" s="18" t="s">
        <v>28</v>
      </c>
      <c r="H252" s="19">
        <v>30</v>
      </c>
      <c r="I252" s="20" t="s">
        <v>201</v>
      </c>
      <c r="J252" s="20" t="s">
        <v>929</v>
      </c>
      <c r="K252" s="21" t="s">
        <v>930</v>
      </c>
      <c r="L252" s="20" t="s">
        <v>47</v>
      </c>
      <c r="M252" t="str">
        <f>TEXT(A252,"dddd")</f>
        <v>Thursday</v>
      </c>
      <c r="N252" s="35">
        <f>DATE(Table4[[#This Row],[year]],Table4[[#This Row],[month2]],Table4[[#This Row],[day]])</f>
        <v>46154</v>
      </c>
    </row>
    <row r="253" spans="1:14" ht="16" x14ac:dyDescent="0.35">
      <c r="A253" t="str">
        <f t="shared" si="6"/>
        <v>11</v>
      </c>
      <c r="B253">
        <f>_xlfn.SWITCH(Table4[[#This Row],[month]],"jan",1,"feb",2,"mar",3,"apr",4,"may",5,"jun",6,"jul",7,"aug",8,"sep",9,"oct",10,"nov",11,"dec",12,"no month")</f>
        <v>5</v>
      </c>
      <c r="C253" s="12" t="str">
        <f>LEFT('All Transactions'!$E253,3)</f>
        <v>May</v>
      </c>
      <c r="D253" s="12" t="str">
        <f t="shared" si="7"/>
        <v>2026</v>
      </c>
      <c r="E253" s="22" t="s">
        <v>931</v>
      </c>
      <c r="F253" s="23" t="s">
        <v>932</v>
      </c>
      <c r="G253" s="18" t="s">
        <v>28</v>
      </c>
      <c r="H253" s="24">
        <v>10</v>
      </c>
      <c r="I253" s="25" t="s">
        <v>374</v>
      </c>
      <c r="J253" s="25" t="s">
        <v>933</v>
      </c>
      <c r="K253" s="26" t="s">
        <v>934</v>
      </c>
      <c r="L253" s="25" t="s">
        <v>32</v>
      </c>
      <c r="M253" t="str">
        <f>TEXT(A253,"dddd")</f>
        <v>Wednesday</v>
      </c>
      <c r="N253" s="35">
        <f>DATE(Table4[[#This Row],[year]],Table4[[#This Row],[month2]],Table4[[#This Row],[day]])</f>
        <v>46153</v>
      </c>
    </row>
    <row r="254" spans="1:14" ht="16" x14ac:dyDescent="0.35">
      <c r="A254" t="str">
        <f t="shared" si="6"/>
        <v>11</v>
      </c>
      <c r="B254">
        <f>_xlfn.SWITCH(Table4[[#This Row],[month]],"jan",1,"feb",2,"mar",3,"apr",4,"may",5,"jun",6,"jul",7,"aug",8,"sep",9,"oct",10,"nov",11,"dec",12,"no month")</f>
        <v>5</v>
      </c>
      <c r="C254" s="12" t="str">
        <f>LEFT('All Transactions'!$E254,3)</f>
        <v>May</v>
      </c>
      <c r="D254" s="12" t="str">
        <f t="shared" si="7"/>
        <v>2026</v>
      </c>
      <c r="E254" s="16" t="s">
        <v>931</v>
      </c>
      <c r="F254" s="17" t="s">
        <v>935</v>
      </c>
      <c r="G254" s="18" t="s">
        <v>28</v>
      </c>
      <c r="H254" s="19">
        <v>50</v>
      </c>
      <c r="I254" s="20" t="s">
        <v>662</v>
      </c>
      <c r="J254" s="20" t="s">
        <v>936</v>
      </c>
      <c r="K254" s="21" t="s">
        <v>937</v>
      </c>
      <c r="L254" s="20" t="s">
        <v>32</v>
      </c>
      <c r="M254" t="str">
        <f>TEXT(A254,"dddd")</f>
        <v>Wednesday</v>
      </c>
      <c r="N254" s="35">
        <f>DATE(Table4[[#This Row],[year]],Table4[[#This Row],[month2]],Table4[[#This Row],[day]])</f>
        <v>46153</v>
      </c>
    </row>
    <row r="255" spans="1:14" ht="16" x14ac:dyDescent="0.35">
      <c r="A255" t="str">
        <f t="shared" si="6"/>
        <v>11</v>
      </c>
      <c r="B255">
        <f>_xlfn.SWITCH(Table4[[#This Row],[month]],"jan",1,"feb",2,"mar",3,"apr",4,"may",5,"jun",6,"jul",7,"aug",8,"sep",9,"oct",10,"nov",11,"dec",12,"no month")</f>
        <v>5</v>
      </c>
      <c r="C255" s="12" t="str">
        <f>LEFT('All Transactions'!$E255,3)</f>
        <v>May</v>
      </c>
      <c r="D255" s="12" t="str">
        <f t="shared" si="7"/>
        <v>2026</v>
      </c>
      <c r="E255" s="22" t="s">
        <v>931</v>
      </c>
      <c r="F255" s="23" t="s">
        <v>840</v>
      </c>
      <c r="G255" s="18" t="s">
        <v>28</v>
      </c>
      <c r="H255" s="24">
        <v>100</v>
      </c>
      <c r="I255" s="25" t="s">
        <v>167</v>
      </c>
      <c r="J255" s="25" t="s">
        <v>938</v>
      </c>
      <c r="K255" s="26" t="s">
        <v>939</v>
      </c>
      <c r="L255" s="25" t="s">
        <v>32</v>
      </c>
      <c r="M255" t="str">
        <f>TEXT(A255,"dddd")</f>
        <v>Wednesday</v>
      </c>
      <c r="N255" s="35">
        <f>DATE(Table4[[#This Row],[year]],Table4[[#This Row],[month2]],Table4[[#This Row],[day]])</f>
        <v>46153</v>
      </c>
    </row>
    <row r="256" spans="1:14" ht="16" x14ac:dyDescent="0.35">
      <c r="A256" t="str">
        <f t="shared" si="6"/>
        <v>11</v>
      </c>
      <c r="B256">
        <f>_xlfn.SWITCH(Table4[[#This Row],[month]],"jan",1,"feb",2,"mar",3,"apr",4,"may",5,"jun",6,"jul",7,"aug",8,"sep",9,"oct",10,"nov",11,"dec",12,"no month")</f>
        <v>5</v>
      </c>
      <c r="C256" s="12" t="str">
        <f>LEFT('All Transactions'!$E256,3)</f>
        <v>May</v>
      </c>
      <c r="D256" s="12" t="str">
        <f t="shared" si="7"/>
        <v>2026</v>
      </c>
      <c r="E256" s="16" t="s">
        <v>931</v>
      </c>
      <c r="F256" s="17" t="s">
        <v>940</v>
      </c>
      <c r="G256" s="18" t="s">
        <v>28</v>
      </c>
      <c r="H256" s="19">
        <v>200</v>
      </c>
      <c r="I256" s="20" t="s">
        <v>167</v>
      </c>
      <c r="J256" s="20" t="s">
        <v>941</v>
      </c>
      <c r="K256" s="21" t="s">
        <v>942</v>
      </c>
      <c r="L256" s="20" t="s">
        <v>32</v>
      </c>
      <c r="M256" t="str">
        <f>TEXT(A256,"dddd")</f>
        <v>Wednesday</v>
      </c>
      <c r="N256" s="35">
        <f>DATE(Table4[[#This Row],[year]],Table4[[#This Row],[month2]],Table4[[#This Row],[day]])</f>
        <v>46153</v>
      </c>
    </row>
    <row r="257" spans="1:14" ht="16" x14ac:dyDescent="0.35">
      <c r="A257" t="str">
        <f t="shared" si="6"/>
        <v>11</v>
      </c>
      <c r="B257">
        <f>_xlfn.SWITCH(Table4[[#This Row],[month]],"jan",1,"feb",2,"mar",3,"apr",4,"may",5,"jun",6,"jul",7,"aug",8,"sep",9,"oct",10,"nov",11,"dec",12,"no month")</f>
        <v>5</v>
      </c>
      <c r="C257" s="12" t="str">
        <f>LEFT('All Transactions'!$E257,3)</f>
        <v>May</v>
      </c>
      <c r="D257" s="12" t="str">
        <f t="shared" si="7"/>
        <v>2026</v>
      </c>
      <c r="E257" s="22" t="s">
        <v>931</v>
      </c>
      <c r="F257" s="23" t="s">
        <v>69</v>
      </c>
      <c r="G257" s="18" t="s">
        <v>28</v>
      </c>
      <c r="H257" s="24">
        <v>10</v>
      </c>
      <c r="I257" s="25" t="s">
        <v>191</v>
      </c>
      <c r="J257" s="25" t="s">
        <v>943</v>
      </c>
      <c r="K257" s="26" t="s">
        <v>944</v>
      </c>
      <c r="L257" s="25" t="s">
        <v>47</v>
      </c>
      <c r="M257" t="str">
        <f>TEXT(A257,"dddd")</f>
        <v>Wednesday</v>
      </c>
      <c r="N257" s="35">
        <f>DATE(Table4[[#This Row],[year]],Table4[[#This Row],[month2]],Table4[[#This Row],[day]])</f>
        <v>46153</v>
      </c>
    </row>
    <row r="258" spans="1:14" ht="16" x14ac:dyDescent="0.35">
      <c r="A258" t="str">
        <f t="shared" si="6"/>
        <v>11</v>
      </c>
      <c r="B258">
        <f>_xlfn.SWITCH(Table4[[#This Row],[month]],"jan",1,"feb",2,"mar",3,"apr",4,"may",5,"jun",6,"jul",7,"aug",8,"sep",9,"oct",10,"nov",11,"dec",12,"no month")</f>
        <v>5</v>
      </c>
      <c r="C258" s="12" t="str">
        <f>LEFT('All Transactions'!$E258,3)</f>
        <v>May</v>
      </c>
      <c r="D258" s="12" t="str">
        <f t="shared" si="7"/>
        <v>2026</v>
      </c>
      <c r="E258" s="16" t="s">
        <v>931</v>
      </c>
      <c r="F258" s="17" t="s">
        <v>441</v>
      </c>
      <c r="G258" s="18" t="s">
        <v>28</v>
      </c>
      <c r="H258" s="19">
        <v>220</v>
      </c>
      <c r="I258" s="20" t="s">
        <v>887</v>
      </c>
      <c r="J258" s="20" t="s">
        <v>945</v>
      </c>
      <c r="K258" s="21" t="s">
        <v>946</v>
      </c>
      <c r="L258" s="20" t="s">
        <v>32</v>
      </c>
      <c r="M258" t="str">
        <f>TEXT(A258,"dddd")</f>
        <v>Wednesday</v>
      </c>
      <c r="N258" s="35">
        <f>DATE(Table4[[#This Row],[year]],Table4[[#This Row],[month2]],Table4[[#This Row],[day]])</f>
        <v>46153</v>
      </c>
    </row>
    <row r="259" spans="1:14" ht="16" x14ac:dyDescent="0.35">
      <c r="A259" t="str">
        <f t="shared" ref="A259:A322" si="8">MID(E259,5,2)</f>
        <v>11</v>
      </c>
      <c r="B259">
        <f>_xlfn.SWITCH(Table4[[#This Row],[month]],"jan",1,"feb",2,"mar",3,"apr",4,"may",5,"jun",6,"jul",7,"aug",8,"sep",9,"oct",10,"nov",11,"dec",12,"no month")</f>
        <v>5</v>
      </c>
      <c r="C259" s="12" t="str">
        <f>LEFT('All Transactions'!$E259,3)</f>
        <v>May</v>
      </c>
      <c r="D259" s="12" t="str">
        <f t="shared" ref="D259:D322" si="9">RIGHT(E259,4)</f>
        <v>2026</v>
      </c>
      <c r="E259" s="22" t="s">
        <v>931</v>
      </c>
      <c r="F259" s="23" t="s">
        <v>441</v>
      </c>
      <c r="G259" s="27" t="s">
        <v>54</v>
      </c>
      <c r="H259" s="24">
        <v>100</v>
      </c>
      <c r="I259" s="25" t="s">
        <v>947</v>
      </c>
      <c r="J259" s="25" t="s">
        <v>948</v>
      </c>
      <c r="K259" s="26" t="s">
        <v>949</v>
      </c>
      <c r="L259" s="25" t="s">
        <v>58</v>
      </c>
      <c r="M259" t="str">
        <f>TEXT(A259,"dddd")</f>
        <v>Wednesday</v>
      </c>
      <c r="N259" s="35">
        <f>DATE(Table4[[#This Row],[year]],Table4[[#This Row],[month2]],Table4[[#This Row],[day]])</f>
        <v>46153</v>
      </c>
    </row>
    <row r="260" spans="1:14" ht="16" x14ac:dyDescent="0.35">
      <c r="A260" t="str">
        <f t="shared" si="8"/>
        <v>10</v>
      </c>
      <c r="B260">
        <f>_xlfn.SWITCH(Table4[[#This Row],[month]],"jan",1,"feb",2,"mar",3,"apr",4,"may",5,"jun",6,"jul",7,"aug",8,"sep",9,"oct",10,"nov",11,"dec",12,"no month")</f>
        <v>5</v>
      </c>
      <c r="C260" s="12" t="str">
        <f>LEFT('All Transactions'!$E260,3)</f>
        <v>May</v>
      </c>
      <c r="D260" s="12" t="str">
        <f t="shared" si="9"/>
        <v>2026</v>
      </c>
      <c r="E260" s="16" t="s">
        <v>950</v>
      </c>
      <c r="F260" s="17" t="s">
        <v>951</v>
      </c>
      <c r="G260" s="18" t="s">
        <v>28</v>
      </c>
      <c r="H260" s="19">
        <v>20</v>
      </c>
      <c r="I260" s="20" t="s">
        <v>662</v>
      </c>
      <c r="J260" s="20" t="s">
        <v>952</v>
      </c>
      <c r="K260" s="21" t="s">
        <v>953</v>
      </c>
      <c r="L260" s="20" t="s">
        <v>32</v>
      </c>
      <c r="M260" t="str">
        <f>TEXT(A260,"dddd")</f>
        <v>Tuesday</v>
      </c>
      <c r="N260" s="35">
        <f>DATE(Table4[[#This Row],[year]],Table4[[#This Row],[month2]],Table4[[#This Row],[day]])</f>
        <v>46152</v>
      </c>
    </row>
    <row r="261" spans="1:14" ht="16" x14ac:dyDescent="0.35">
      <c r="A261" t="str">
        <f t="shared" si="8"/>
        <v>10</v>
      </c>
      <c r="B261">
        <f>_xlfn.SWITCH(Table4[[#This Row],[month]],"jan",1,"feb",2,"mar",3,"apr",4,"may",5,"jun",6,"jul",7,"aug",8,"sep",9,"oct",10,"nov",11,"dec",12,"no month")</f>
        <v>5</v>
      </c>
      <c r="C261" s="12" t="str">
        <f>LEFT('All Transactions'!$E261,3)</f>
        <v>May</v>
      </c>
      <c r="D261" s="12" t="str">
        <f t="shared" si="9"/>
        <v>2026</v>
      </c>
      <c r="E261" s="22" t="s">
        <v>950</v>
      </c>
      <c r="F261" s="23" t="s">
        <v>441</v>
      </c>
      <c r="G261" s="18" t="s">
        <v>28</v>
      </c>
      <c r="H261" s="24">
        <v>10</v>
      </c>
      <c r="I261" s="25" t="s">
        <v>374</v>
      </c>
      <c r="J261" s="25" t="s">
        <v>954</v>
      </c>
      <c r="K261" s="26" t="s">
        <v>955</v>
      </c>
      <c r="L261" s="25" t="s">
        <v>32</v>
      </c>
      <c r="M261" t="str">
        <f>TEXT(A261,"dddd")</f>
        <v>Tuesday</v>
      </c>
      <c r="N261" s="35">
        <f>DATE(Table4[[#This Row],[year]],Table4[[#This Row],[month2]],Table4[[#This Row],[day]])</f>
        <v>46152</v>
      </c>
    </row>
    <row r="262" spans="1:14" ht="16" x14ac:dyDescent="0.35">
      <c r="A262" t="str">
        <f t="shared" si="8"/>
        <v>10</v>
      </c>
      <c r="B262">
        <f>_xlfn.SWITCH(Table4[[#This Row],[month]],"jan",1,"feb",2,"mar",3,"apr",4,"may",5,"jun",6,"jul",7,"aug",8,"sep",9,"oct",10,"nov",11,"dec",12,"no month")</f>
        <v>5</v>
      </c>
      <c r="C262" s="12" t="str">
        <f>LEFT('All Transactions'!$E262,3)</f>
        <v>May</v>
      </c>
      <c r="D262" s="12" t="str">
        <f t="shared" si="9"/>
        <v>2026</v>
      </c>
      <c r="E262" s="16" t="s">
        <v>950</v>
      </c>
      <c r="F262" s="17" t="s">
        <v>956</v>
      </c>
      <c r="G262" s="18" t="s">
        <v>28</v>
      </c>
      <c r="H262" s="19">
        <v>42</v>
      </c>
      <c r="I262" s="20" t="s">
        <v>201</v>
      </c>
      <c r="J262" s="20" t="s">
        <v>957</v>
      </c>
      <c r="K262" s="21" t="s">
        <v>958</v>
      </c>
      <c r="L262" s="20" t="s">
        <v>32</v>
      </c>
      <c r="M262" t="str">
        <f>TEXT(A262,"dddd")</f>
        <v>Tuesday</v>
      </c>
      <c r="N262" s="35">
        <f>DATE(Table4[[#This Row],[year]],Table4[[#This Row],[month2]],Table4[[#This Row],[day]])</f>
        <v>46152</v>
      </c>
    </row>
    <row r="263" spans="1:14" ht="16" x14ac:dyDescent="0.35">
      <c r="A263" t="str">
        <f t="shared" si="8"/>
        <v>10</v>
      </c>
      <c r="B263">
        <f>_xlfn.SWITCH(Table4[[#This Row],[month]],"jan",1,"feb",2,"mar",3,"apr",4,"may",5,"jun",6,"jul",7,"aug",8,"sep",9,"oct",10,"nov",11,"dec",12,"no month")</f>
        <v>5</v>
      </c>
      <c r="C263" s="12" t="str">
        <f>LEFT('All Transactions'!$E263,3)</f>
        <v>May</v>
      </c>
      <c r="D263" s="12" t="str">
        <f t="shared" si="9"/>
        <v>2026</v>
      </c>
      <c r="E263" s="22" t="s">
        <v>950</v>
      </c>
      <c r="F263" s="23" t="s">
        <v>959</v>
      </c>
      <c r="G263" s="18" t="s">
        <v>28</v>
      </c>
      <c r="H263" s="24">
        <v>20</v>
      </c>
      <c r="I263" s="25" t="s">
        <v>201</v>
      </c>
      <c r="J263" s="25" t="s">
        <v>960</v>
      </c>
      <c r="K263" s="26" t="s">
        <v>961</v>
      </c>
      <c r="L263" s="25" t="s">
        <v>32</v>
      </c>
      <c r="M263" t="str">
        <f>TEXT(A263,"dddd")</f>
        <v>Tuesday</v>
      </c>
      <c r="N263" s="35">
        <f>DATE(Table4[[#This Row],[year]],Table4[[#This Row],[month2]],Table4[[#This Row],[day]])</f>
        <v>46152</v>
      </c>
    </row>
    <row r="264" spans="1:14" ht="16" x14ac:dyDescent="0.35">
      <c r="A264" t="str">
        <f t="shared" si="8"/>
        <v>10</v>
      </c>
      <c r="B264">
        <f>_xlfn.SWITCH(Table4[[#This Row],[month]],"jan",1,"feb",2,"mar",3,"apr",4,"may",5,"jun",6,"jul",7,"aug",8,"sep",9,"oct",10,"nov",11,"dec",12,"no month")</f>
        <v>5</v>
      </c>
      <c r="C264" s="12" t="str">
        <f>LEFT('All Transactions'!$E264,3)</f>
        <v>May</v>
      </c>
      <c r="D264" s="12" t="str">
        <f t="shared" si="9"/>
        <v>2026</v>
      </c>
      <c r="E264" s="16" t="s">
        <v>950</v>
      </c>
      <c r="F264" s="17" t="s">
        <v>962</v>
      </c>
      <c r="G264" s="18" t="s">
        <v>28</v>
      </c>
      <c r="H264" s="19">
        <v>58</v>
      </c>
      <c r="I264" s="20" t="s">
        <v>774</v>
      </c>
      <c r="J264" s="20" t="s">
        <v>963</v>
      </c>
      <c r="K264" s="21" t="s">
        <v>964</v>
      </c>
      <c r="L264" s="20" t="s">
        <v>32</v>
      </c>
      <c r="M264" t="str">
        <f>TEXT(A264,"dddd")</f>
        <v>Tuesday</v>
      </c>
      <c r="N264" s="35">
        <f>DATE(Table4[[#This Row],[year]],Table4[[#This Row],[month2]],Table4[[#This Row],[day]])</f>
        <v>46152</v>
      </c>
    </row>
    <row r="265" spans="1:14" ht="16" x14ac:dyDescent="0.35">
      <c r="A265" t="str">
        <f t="shared" si="8"/>
        <v>09</v>
      </c>
      <c r="B265">
        <f>_xlfn.SWITCH(Table4[[#This Row],[month]],"jan",1,"feb",2,"mar",3,"apr",4,"may",5,"jun",6,"jul",7,"aug",8,"sep",9,"oct",10,"nov",11,"dec",12,"no month")</f>
        <v>5</v>
      </c>
      <c r="C265" s="12" t="str">
        <f>LEFT('All Transactions'!$E265,3)</f>
        <v>May</v>
      </c>
      <c r="D265" s="12" t="str">
        <f t="shared" si="9"/>
        <v>2026</v>
      </c>
      <c r="E265" s="22" t="s">
        <v>965</v>
      </c>
      <c r="F265" s="23" t="s">
        <v>162</v>
      </c>
      <c r="G265" s="18" t="s">
        <v>28</v>
      </c>
      <c r="H265" s="24">
        <v>30</v>
      </c>
      <c r="I265" s="25" t="s">
        <v>966</v>
      </c>
      <c r="J265" s="25" t="s">
        <v>967</v>
      </c>
      <c r="K265" s="26" t="s">
        <v>968</v>
      </c>
      <c r="L265" s="25" t="s">
        <v>32</v>
      </c>
      <c r="M265" t="str">
        <f>TEXT(A265,"dddd")</f>
        <v>Monday</v>
      </c>
      <c r="N265" s="35">
        <f>DATE(Table4[[#This Row],[year]],Table4[[#This Row],[month2]],Table4[[#This Row],[day]])</f>
        <v>46151</v>
      </c>
    </row>
    <row r="266" spans="1:14" ht="16" x14ac:dyDescent="0.35">
      <c r="A266" t="str">
        <f t="shared" si="8"/>
        <v>09</v>
      </c>
      <c r="B266">
        <f>_xlfn.SWITCH(Table4[[#This Row],[month]],"jan",1,"feb",2,"mar",3,"apr",4,"may",5,"jun",6,"jul",7,"aug",8,"sep",9,"oct",10,"nov",11,"dec",12,"no month")</f>
        <v>5</v>
      </c>
      <c r="C266" s="12" t="str">
        <f>LEFT('All Transactions'!$E266,3)</f>
        <v>May</v>
      </c>
      <c r="D266" s="12" t="str">
        <f t="shared" si="9"/>
        <v>2026</v>
      </c>
      <c r="E266" s="16" t="s">
        <v>965</v>
      </c>
      <c r="F266" s="17" t="s">
        <v>969</v>
      </c>
      <c r="G266" s="18" t="s">
        <v>28</v>
      </c>
      <c r="H266" s="19">
        <v>38</v>
      </c>
      <c r="I266" s="20" t="s">
        <v>191</v>
      </c>
      <c r="J266" s="20" t="s">
        <v>970</v>
      </c>
      <c r="K266" s="21" t="s">
        <v>971</v>
      </c>
      <c r="L266" s="20" t="s">
        <v>32</v>
      </c>
      <c r="M266" t="str">
        <f>TEXT(A266,"dddd")</f>
        <v>Monday</v>
      </c>
      <c r="N266" s="35">
        <f>DATE(Table4[[#This Row],[year]],Table4[[#This Row],[month2]],Table4[[#This Row],[day]])</f>
        <v>46151</v>
      </c>
    </row>
    <row r="267" spans="1:14" ht="16" x14ac:dyDescent="0.35">
      <c r="A267" t="str">
        <f t="shared" si="8"/>
        <v>09</v>
      </c>
      <c r="B267">
        <f>_xlfn.SWITCH(Table4[[#This Row],[month]],"jan",1,"feb",2,"mar",3,"apr",4,"may",5,"jun",6,"jul",7,"aug",8,"sep",9,"oct",10,"nov",11,"dec",12,"no month")</f>
        <v>5</v>
      </c>
      <c r="C267" s="12" t="str">
        <f>LEFT('All Transactions'!$E267,3)</f>
        <v>May</v>
      </c>
      <c r="D267" s="12" t="str">
        <f t="shared" si="9"/>
        <v>2026</v>
      </c>
      <c r="E267" s="22" t="s">
        <v>965</v>
      </c>
      <c r="F267" s="23" t="s">
        <v>773</v>
      </c>
      <c r="G267" s="18" t="s">
        <v>28</v>
      </c>
      <c r="H267" s="24">
        <v>40</v>
      </c>
      <c r="I267" s="25" t="s">
        <v>972</v>
      </c>
      <c r="J267" s="25" t="s">
        <v>973</v>
      </c>
      <c r="K267" s="26" t="s">
        <v>974</v>
      </c>
      <c r="L267" s="25" t="s">
        <v>47</v>
      </c>
      <c r="M267" t="str">
        <f>TEXT(A267,"dddd")</f>
        <v>Monday</v>
      </c>
      <c r="N267" s="35">
        <f>DATE(Table4[[#This Row],[year]],Table4[[#This Row],[month2]],Table4[[#This Row],[day]])</f>
        <v>46151</v>
      </c>
    </row>
    <row r="268" spans="1:14" ht="16" x14ac:dyDescent="0.35">
      <c r="A268" t="str">
        <f t="shared" si="8"/>
        <v>09</v>
      </c>
      <c r="B268">
        <f>_xlfn.SWITCH(Table4[[#This Row],[month]],"jan",1,"feb",2,"mar",3,"apr",4,"may",5,"jun",6,"jul",7,"aug",8,"sep",9,"oct",10,"nov",11,"dec",12,"no month")</f>
        <v>5</v>
      </c>
      <c r="C268" s="12" t="str">
        <f>LEFT('All Transactions'!$E268,3)</f>
        <v>May</v>
      </c>
      <c r="D268" s="12" t="str">
        <f t="shared" si="9"/>
        <v>2026</v>
      </c>
      <c r="E268" s="16" t="s">
        <v>965</v>
      </c>
      <c r="F268" s="17" t="s">
        <v>975</v>
      </c>
      <c r="G268" s="18" t="s">
        <v>28</v>
      </c>
      <c r="H268" s="19">
        <v>60</v>
      </c>
      <c r="I268" s="20" t="s">
        <v>374</v>
      </c>
      <c r="J268" s="20" t="s">
        <v>976</v>
      </c>
      <c r="K268" s="21" t="s">
        <v>977</v>
      </c>
      <c r="L268" s="20" t="s">
        <v>47</v>
      </c>
      <c r="M268" t="str">
        <f>TEXT(A268,"dddd")</f>
        <v>Monday</v>
      </c>
      <c r="N268" s="35">
        <f>DATE(Table4[[#This Row],[year]],Table4[[#This Row],[month2]],Table4[[#This Row],[day]])</f>
        <v>46151</v>
      </c>
    </row>
    <row r="269" spans="1:14" ht="16" x14ac:dyDescent="0.35">
      <c r="A269" t="str">
        <f t="shared" si="8"/>
        <v>09</v>
      </c>
      <c r="B269">
        <f>_xlfn.SWITCH(Table4[[#This Row],[month]],"jan",1,"feb",2,"mar",3,"apr",4,"may",5,"jun",6,"jul",7,"aug",8,"sep",9,"oct",10,"nov",11,"dec",12,"no month")</f>
        <v>5</v>
      </c>
      <c r="C269" s="12" t="str">
        <f>LEFT('All Transactions'!$E269,3)</f>
        <v>May</v>
      </c>
      <c r="D269" s="12" t="str">
        <f t="shared" si="9"/>
        <v>2026</v>
      </c>
      <c r="E269" s="22" t="s">
        <v>965</v>
      </c>
      <c r="F269" s="23" t="s">
        <v>978</v>
      </c>
      <c r="G269" s="18" t="s">
        <v>28</v>
      </c>
      <c r="H269" s="24">
        <v>80</v>
      </c>
      <c r="I269" s="25" t="s">
        <v>384</v>
      </c>
      <c r="J269" s="25" t="s">
        <v>979</v>
      </c>
      <c r="K269" s="26" t="s">
        <v>980</v>
      </c>
      <c r="L269" s="25" t="s">
        <v>32</v>
      </c>
      <c r="M269" t="str">
        <f>TEXT(A269,"dddd")</f>
        <v>Monday</v>
      </c>
      <c r="N269" s="35">
        <f>DATE(Table4[[#This Row],[year]],Table4[[#This Row],[month2]],Table4[[#This Row],[day]])</f>
        <v>46151</v>
      </c>
    </row>
    <row r="270" spans="1:14" ht="16" x14ac:dyDescent="0.35">
      <c r="A270" t="str">
        <f t="shared" si="8"/>
        <v>09</v>
      </c>
      <c r="B270">
        <f>_xlfn.SWITCH(Table4[[#This Row],[month]],"jan",1,"feb",2,"mar",3,"apr",4,"may",5,"jun",6,"jul",7,"aug",8,"sep",9,"oct",10,"nov",11,"dec",12,"no month")</f>
        <v>5</v>
      </c>
      <c r="C270" s="12" t="str">
        <f>LEFT('All Transactions'!$E270,3)</f>
        <v>May</v>
      </c>
      <c r="D270" s="12" t="str">
        <f t="shared" si="9"/>
        <v>2026</v>
      </c>
      <c r="E270" s="16" t="s">
        <v>965</v>
      </c>
      <c r="F270" s="17" t="s">
        <v>981</v>
      </c>
      <c r="G270" s="18" t="s">
        <v>28</v>
      </c>
      <c r="H270" s="19">
        <v>25</v>
      </c>
      <c r="I270" s="20" t="s">
        <v>201</v>
      </c>
      <c r="J270" s="20" t="s">
        <v>982</v>
      </c>
      <c r="K270" s="21" t="s">
        <v>983</v>
      </c>
      <c r="L270" s="20" t="s">
        <v>47</v>
      </c>
      <c r="M270" t="str">
        <f>TEXT(A270,"dddd")</f>
        <v>Monday</v>
      </c>
      <c r="N270" s="35">
        <f>DATE(Table4[[#This Row],[year]],Table4[[#This Row],[month2]],Table4[[#This Row],[day]])</f>
        <v>46151</v>
      </c>
    </row>
    <row r="271" spans="1:14" ht="16" x14ac:dyDescent="0.35">
      <c r="A271" t="str">
        <f t="shared" si="8"/>
        <v>08</v>
      </c>
      <c r="B271">
        <f>_xlfn.SWITCH(Table4[[#This Row],[month]],"jan",1,"feb",2,"mar",3,"apr",4,"may",5,"jun",6,"jul",7,"aug",8,"sep",9,"oct",10,"nov",11,"dec",12,"no month")</f>
        <v>5</v>
      </c>
      <c r="C271" s="12" t="str">
        <f>LEFT('All Transactions'!$E271,3)</f>
        <v>May</v>
      </c>
      <c r="D271" s="12" t="str">
        <f t="shared" si="9"/>
        <v>2026</v>
      </c>
      <c r="E271" s="22" t="s">
        <v>984</v>
      </c>
      <c r="F271" s="23" t="s">
        <v>985</v>
      </c>
      <c r="G271" s="27" t="s">
        <v>54</v>
      </c>
      <c r="H271" s="24">
        <v>77</v>
      </c>
      <c r="I271" s="25" t="s">
        <v>986</v>
      </c>
      <c r="J271" s="25" t="s">
        <v>987</v>
      </c>
      <c r="K271" s="26" t="s">
        <v>988</v>
      </c>
      <c r="L271" s="25" t="s">
        <v>58</v>
      </c>
      <c r="M271" t="str">
        <f>TEXT(A271,"dddd")</f>
        <v>Sunday</v>
      </c>
      <c r="N271" s="35">
        <f>DATE(Table4[[#This Row],[year]],Table4[[#This Row],[month2]],Table4[[#This Row],[day]])</f>
        <v>46150</v>
      </c>
    </row>
    <row r="272" spans="1:14" ht="16" x14ac:dyDescent="0.35">
      <c r="A272" t="str">
        <f t="shared" si="8"/>
        <v>08</v>
      </c>
      <c r="B272">
        <f>_xlfn.SWITCH(Table4[[#This Row],[month]],"jan",1,"feb",2,"mar",3,"apr",4,"may",5,"jun",6,"jul",7,"aug",8,"sep",9,"oct",10,"nov",11,"dec",12,"no month")</f>
        <v>5</v>
      </c>
      <c r="C272" s="12" t="str">
        <f>LEFT('All Transactions'!$E272,3)</f>
        <v>May</v>
      </c>
      <c r="D272" s="12" t="str">
        <f t="shared" si="9"/>
        <v>2026</v>
      </c>
      <c r="E272" s="16" t="s">
        <v>984</v>
      </c>
      <c r="F272" s="17" t="s">
        <v>665</v>
      </c>
      <c r="G272" s="27" t="s">
        <v>54</v>
      </c>
      <c r="H272" s="19">
        <v>140</v>
      </c>
      <c r="I272" s="20" t="s">
        <v>989</v>
      </c>
      <c r="J272" s="20" t="s">
        <v>990</v>
      </c>
      <c r="K272" s="21" t="s">
        <v>991</v>
      </c>
      <c r="L272" s="20" t="s">
        <v>58</v>
      </c>
      <c r="M272" t="str">
        <f>TEXT(A272,"dddd")</f>
        <v>Sunday</v>
      </c>
      <c r="N272" s="35">
        <f>DATE(Table4[[#This Row],[year]],Table4[[#This Row],[month2]],Table4[[#This Row],[day]])</f>
        <v>46150</v>
      </c>
    </row>
    <row r="273" spans="1:14" ht="16" x14ac:dyDescent="0.35">
      <c r="A273" t="str">
        <f t="shared" si="8"/>
        <v>08</v>
      </c>
      <c r="B273">
        <f>_xlfn.SWITCH(Table4[[#This Row],[month]],"jan",1,"feb",2,"mar",3,"apr",4,"may",5,"jun",6,"jul",7,"aug",8,"sep",9,"oct",10,"nov",11,"dec",12,"no month")</f>
        <v>5</v>
      </c>
      <c r="C273" s="12" t="str">
        <f>LEFT('All Transactions'!$E273,3)</f>
        <v>May</v>
      </c>
      <c r="D273" s="12" t="str">
        <f t="shared" si="9"/>
        <v>2026</v>
      </c>
      <c r="E273" s="22" t="s">
        <v>984</v>
      </c>
      <c r="F273" s="23" t="s">
        <v>100</v>
      </c>
      <c r="G273" s="27" t="s">
        <v>54</v>
      </c>
      <c r="H273" s="24">
        <v>27</v>
      </c>
      <c r="I273" s="25" t="s">
        <v>992</v>
      </c>
      <c r="J273" s="25" t="s">
        <v>993</v>
      </c>
      <c r="K273" s="26" t="s">
        <v>994</v>
      </c>
      <c r="L273" s="25" t="s">
        <v>58</v>
      </c>
      <c r="M273" t="str">
        <f>TEXT(A273,"dddd")</f>
        <v>Sunday</v>
      </c>
      <c r="N273" s="35">
        <f>DATE(Table4[[#This Row],[year]],Table4[[#This Row],[month2]],Table4[[#This Row],[day]])</f>
        <v>46150</v>
      </c>
    </row>
    <row r="274" spans="1:14" ht="16" x14ac:dyDescent="0.35">
      <c r="A274" t="str">
        <f t="shared" si="8"/>
        <v>08</v>
      </c>
      <c r="B274">
        <f>_xlfn.SWITCH(Table4[[#This Row],[month]],"jan",1,"feb",2,"mar",3,"apr",4,"may",5,"jun",6,"jul",7,"aug",8,"sep",9,"oct",10,"nov",11,"dec",12,"no month")</f>
        <v>5</v>
      </c>
      <c r="C274" s="12" t="str">
        <f>LEFT('All Transactions'!$E274,3)</f>
        <v>May</v>
      </c>
      <c r="D274" s="12" t="str">
        <f t="shared" si="9"/>
        <v>2026</v>
      </c>
      <c r="E274" s="16" t="s">
        <v>984</v>
      </c>
      <c r="F274" s="17" t="s">
        <v>995</v>
      </c>
      <c r="G274" s="27" t="s">
        <v>54</v>
      </c>
      <c r="H274" s="19">
        <v>67</v>
      </c>
      <c r="I274" s="20" t="s">
        <v>992</v>
      </c>
      <c r="J274" s="20" t="s">
        <v>996</v>
      </c>
      <c r="K274" s="21" t="s">
        <v>997</v>
      </c>
      <c r="L274" s="20" t="s">
        <v>58</v>
      </c>
      <c r="M274" t="str">
        <f>TEXT(A274,"dddd")</f>
        <v>Sunday</v>
      </c>
      <c r="N274" s="35">
        <f>DATE(Table4[[#This Row],[year]],Table4[[#This Row],[month2]],Table4[[#This Row],[day]])</f>
        <v>46150</v>
      </c>
    </row>
    <row r="275" spans="1:14" ht="16" x14ac:dyDescent="0.35">
      <c r="A275" t="str">
        <f t="shared" si="8"/>
        <v>08</v>
      </c>
      <c r="B275">
        <f>_xlfn.SWITCH(Table4[[#This Row],[month]],"jan",1,"feb",2,"mar",3,"apr",4,"may",5,"jun",6,"jul",7,"aug",8,"sep",9,"oct",10,"nov",11,"dec",12,"no month")</f>
        <v>5</v>
      </c>
      <c r="C275" s="12" t="str">
        <f>LEFT('All Transactions'!$E275,3)</f>
        <v>May</v>
      </c>
      <c r="D275" s="12" t="str">
        <f t="shared" si="9"/>
        <v>2026</v>
      </c>
      <c r="E275" s="22" t="s">
        <v>984</v>
      </c>
      <c r="F275" s="23" t="s">
        <v>478</v>
      </c>
      <c r="G275" s="18" t="s">
        <v>28</v>
      </c>
      <c r="H275" s="24">
        <v>100</v>
      </c>
      <c r="I275" s="25" t="s">
        <v>887</v>
      </c>
      <c r="J275" s="25" t="s">
        <v>998</v>
      </c>
      <c r="K275" s="26" t="s">
        <v>999</v>
      </c>
      <c r="L275" s="25" t="s">
        <v>32</v>
      </c>
      <c r="M275" t="str">
        <f>TEXT(A275,"dddd")</f>
        <v>Sunday</v>
      </c>
      <c r="N275" s="35">
        <f>DATE(Table4[[#This Row],[year]],Table4[[#This Row],[month2]],Table4[[#This Row],[day]])</f>
        <v>46150</v>
      </c>
    </row>
    <row r="276" spans="1:14" ht="16" x14ac:dyDescent="0.35">
      <c r="A276" t="str">
        <f t="shared" si="8"/>
        <v>07</v>
      </c>
      <c r="B276">
        <f>_xlfn.SWITCH(Table4[[#This Row],[month]],"jan",1,"feb",2,"mar",3,"apr",4,"may",5,"jun",6,"jul",7,"aug",8,"sep",9,"oct",10,"nov",11,"dec",12,"no month")</f>
        <v>5</v>
      </c>
      <c r="C276" s="12" t="str">
        <f>LEFT('All Transactions'!$E276,3)</f>
        <v>May</v>
      </c>
      <c r="D276" s="12" t="str">
        <f t="shared" si="9"/>
        <v>2026</v>
      </c>
      <c r="E276" s="16" t="s">
        <v>1000</v>
      </c>
      <c r="F276" s="17" t="s">
        <v>1001</v>
      </c>
      <c r="G276" s="18" t="s">
        <v>28</v>
      </c>
      <c r="H276" s="19">
        <v>113</v>
      </c>
      <c r="I276" s="20" t="s">
        <v>1002</v>
      </c>
      <c r="J276" s="20" t="s">
        <v>1003</v>
      </c>
      <c r="K276" s="21" t="s">
        <v>1004</v>
      </c>
      <c r="L276" s="20" t="s">
        <v>32</v>
      </c>
      <c r="M276" t="str">
        <f>TEXT(A276,"dddd")</f>
        <v>Saturday</v>
      </c>
      <c r="N276" s="35">
        <f>DATE(Table4[[#This Row],[year]],Table4[[#This Row],[month2]],Table4[[#This Row],[day]])</f>
        <v>46149</v>
      </c>
    </row>
    <row r="277" spans="1:14" ht="16" x14ac:dyDescent="0.35">
      <c r="A277" t="str">
        <f t="shared" si="8"/>
        <v>07</v>
      </c>
      <c r="B277">
        <f>_xlfn.SWITCH(Table4[[#This Row],[month]],"jan",1,"feb",2,"mar",3,"apr",4,"may",5,"jun",6,"jul",7,"aug",8,"sep",9,"oct",10,"nov",11,"dec",12,"no month")</f>
        <v>5</v>
      </c>
      <c r="C277" s="12" t="str">
        <f>LEFT('All Transactions'!$E277,3)</f>
        <v>May</v>
      </c>
      <c r="D277" s="12" t="str">
        <f t="shared" si="9"/>
        <v>2026</v>
      </c>
      <c r="E277" s="22" t="s">
        <v>1000</v>
      </c>
      <c r="F277" s="23" t="s">
        <v>1001</v>
      </c>
      <c r="G277" s="27" t="s">
        <v>54</v>
      </c>
      <c r="H277" s="24">
        <v>113</v>
      </c>
      <c r="I277" s="25" t="s">
        <v>156</v>
      </c>
      <c r="J277" s="25" t="s">
        <v>1005</v>
      </c>
      <c r="K277" s="26" t="s">
        <v>1006</v>
      </c>
      <c r="L277" s="25" t="s">
        <v>58</v>
      </c>
      <c r="M277" t="str">
        <f>TEXT(A277,"dddd")</f>
        <v>Saturday</v>
      </c>
      <c r="N277" s="35">
        <f>DATE(Table4[[#This Row],[year]],Table4[[#This Row],[month2]],Table4[[#This Row],[day]])</f>
        <v>46149</v>
      </c>
    </row>
    <row r="278" spans="1:14" ht="16" x14ac:dyDescent="0.35">
      <c r="A278" t="str">
        <f t="shared" si="8"/>
        <v>07</v>
      </c>
      <c r="B278">
        <f>_xlfn.SWITCH(Table4[[#This Row],[month]],"jan",1,"feb",2,"mar",3,"apr",4,"may",5,"jun",6,"jul",7,"aug",8,"sep",9,"oct",10,"nov",11,"dec",12,"no month")</f>
        <v>5</v>
      </c>
      <c r="C278" s="12" t="str">
        <f>LEFT('All Transactions'!$E278,3)</f>
        <v>May</v>
      </c>
      <c r="D278" s="12" t="str">
        <f t="shared" si="9"/>
        <v>2026</v>
      </c>
      <c r="E278" s="16" t="s">
        <v>1000</v>
      </c>
      <c r="F278" s="17" t="s">
        <v>561</v>
      </c>
      <c r="G278" s="18" t="s">
        <v>28</v>
      </c>
      <c r="H278" s="19">
        <v>20</v>
      </c>
      <c r="I278" s="20" t="s">
        <v>167</v>
      </c>
      <c r="J278" s="20" t="s">
        <v>1007</v>
      </c>
      <c r="K278" s="21" t="s">
        <v>1008</v>
      </c>
      <c r="L278" s="20" t="s">
        <v>32</v>
      </c>
      <c r="M278" t="str">
        <f>TEXT(A278,"dddd")</f>
        <v>Saturday</v>
      </c>
      <c r="N278" s="35">
        <f>DATE(Table4[[#This Row],[year]],Table4[[#This Row],[month2]],Table4[[#This Row],[day]])</f>
        <v>46149</v>
      </c>
    </row>
    <row r="279" spans="1:14" ht="16" x14ac:dyDescent="0.35">
      <c r="A279" t="str">
        <f t="shared" si="8"/>
        <v>07</v>
      </c>
      <c r="B279">
        <f>_xlfn.SWITCH(Table4[[#This Row],[month]],"jan",1,"feb",2,"mar",3,"apr",4,"may",5,"jun",6,"jul",7,"aug",8,"sep",9,"oct",10,"nov",11,"dec",12,"no month")</f>
        <v>5</v>
      </c>
      <c r="C279" s="12" t="str">
        <f>LEFT('All Transactions'!$E279,3)</f>
        <v>May</v>
      </c>
      <c r="D279" s="12" t="str">
        <f t="shared" si="9"/>
        <v>2026</v>
      </c>
      <c r="E279" s="22" t="s">
        <v>1000</v>
      </c>
      <c r="F279" s="23" t="s">
        <v>1009</v>
      </c>
      <c r="G279" s="18" t="s">
        <v>28</v>
      </c>
      <c r="H279" s="24">
        <v>20</v>
      </c>
      <c r="I279" s="25" t="s">
        <v>1010</v>
      </c>
      <c r="J279" s="25" t="s">
        <v>1011</v>
      </c>
      <c r="K279" s="26" t="s">
        <v>1012</v>
      </c>
      <c r="L279" s="25" t="s">
        <v>32</v>
      </c>
      <c r="M279" t="str">
        <f>TEXT(A279,"dddd")</f>
        <v>Saturday</v>
      </c>
      <c r="N279" s="35">
        <f>DATE(Table4[[#This Row],[year]],Table4[[#This Row],[month2]],Table4[[#This Row],[day]])</f>
        <v>46149</v>
      </c>
    </row>
    <row r="280" spans="1:14" ht="16" x14ac:dyDescent="0.35">
      <c r="A280" t="str">
        <f t="shared" si="8"/>
        <v>07</v>
      </c>
      <c r="B280">
        <f>_xlfn.SWITCH(Table4[[#This Row],[month]],"jan",1,"feb",2,"mar",3,"apr",4,"may",5,"jun",6,"jul",7,"aug",8,"sep",9,"oct",10,"nov",11,"dec",12,"no month")</f>
        <v>5</v>
      </c>
      <c r="C280" s="12" t="str">
        <f>LEFT('All Transactions'!$E280,3)</f>
        <v>May</v>
      </c>
      <c r="D280" s="12" t="str">
        <f t="shared" si="9"/>
        <v>2026</v>
      </c>
      <c r="E280" s="16" t="s">
        <v>1000</v>
      </c>
      <c r="F280" s="17" t="s">
        <v>1013</v>
      </c>
      <c r="G280" s="18" t="s">
        <v>28</v>
      </c>
      <c r="H280" s="19">
        <v>10</v>
      </c>
      <c r="I280" s="20" t="s">
        <v>201</v>
      </c>
      <c r="J280" s="20" t="s">
        <v>1014</v>
      </c>
      <c r="K280" s="21" t="s">
        <v>1015</v>
      </c>
      <c r="L280" s="20" t="s">
        <v>47</v>
      </c>
      <c r="M280" t="str">
        <f>TEXT(A280,"dddd")</f>
        <v>Saturday</v>
      </c>
      <c r="N280" s="35">
        <f>DATE(Table4[[#This Row],[year]],Table4[[#This Row],[month2]],Table4[[#This Row],[day]])</f>
        <v>46149</v>
      </c>
    </row>
    <row r="281" spans="1:14" ht="16" x14ac:dyDescent="0.35">
      <c r="A281" t="str">
        <f t="shared" si="8"/>
        <v>07</v>
      </c>
      <c r="B281">
        <f>_xlfn.SWITCH(Table4[[#This Row],[month]],"jan",1,"feb",2,"mar",3,"apr",4,"may",5,"jun",6,"jul",7,"aug",8,"sep",9,"oct",10,"nov",11,"dec",12,"no month")</f>
        <v>5</v>
      </c>
      <c r="C281" s="12" t="str">
        <f>LEFT('All Transactions'!$E281,3)</f>
        <v>May</v>
      </c>
      <c r="D281" s="12" t="str">
        <f t="shared" si="9"/>
        <v>2026</v>
      </c>
      <c r="E281" s="22" t="s">
        <v>1000</v>
      </c>
      <c r="F281" s="23" t="s">
        <v>1016</v>
      </c>
      <c r="G281" s="18" t="s">
        <v>28</v>
      </c>
      <c r="H281" s="24">
        <v>93</v>
      </c>
      <c r="I281" s="25" t="s">
        <v>1017</v>
      </c>
      <c r="J281" s="25" t="s">
        <v>1018</v>
      </c>
      <c r="K281" s="26" t="s">
        <v>1019</v>
      </c>
      <c r="L281" s="25" t="s">
        <v>32</v>
      </c>
      <c r="M281" t="str">
        <f>TEXT(A281,"dddd")</f>
        <v>Saturday</v>
      </c>
      <c r="N281" s="35">
        <f>DATE(Table4[[#This Row],[year]],Table4[[#This Row],[month2]],Table4[[#This Row],[day]])</f>
        <v>46149</v>
      </c>
    </row>
    <row r="282" spans="1:14" ht="16" x14ac:dyDescent="0.35">
      <c r="A282" t="str">
        <f t="shared" si="8"/>
        <v>06</v>
      </c>
      <c r="B282">
        <f>_xlfn.SWITCH(Table4[[#This Row],[month]],"jan",1,"feb",2,"mar",3,"apr",4,"may",5,"jun",6,"jul",7,"aug",8,"sep",9,"oct",10,"nov",11,"dec",12,"no month")</f>
        <v>5</v>
      </c>
      <c r="C282" s="12" t="str">
        <f>LEFT('All Transactions'!$E282,3)</f>
        <v>May</v>
      </c>
      <c r="D282" s="12" t="str">
        <f t="shared" si="9"/>
        <v>2026</v>
      </c>
      <c r="E282" s="16" t="s">
        <v>1020</v>
      </c>
      <c r="F282" s="17" t="s">
        <v>1021</v>
      </c>
      <c r="G282" s="18" t="s">
        <v>28</v>
      </c>
      <c r="H282" s="19">
        <v>300</v>
      </c>
      <c r="I282" s="20" t="s">
        <v>20</v>
      </c>
      <c r="J282" s="20" t="s">
        <v>1022</v>
      </c>
      <c r="K282" s="21" t="s">
        <v>1023</v>
      </c>
      <c r="L282" s="20" t="s">
        <v>47</v>
      </c>
      <c r="M282" t="str">
        <f>TEXT(A282,"dddd")</f>
        <v>Friday</v>
      </c>
      <c r="N282" s="35">
        <f>DATE(Table4[[#This Row],[year]],Table4[[#This Row],[month2]],Table4[[#This Row],[day]])</f>
        <v>46148</v>
      </c>
    </row>
    <row r="283" spans="1:14" ht="16" x14ac:dyDescent="0.35">
      <c r="A283" t="str">
        <f t="shared" si="8"/>
        <v>06</v>
      </c>
      <c r="B283">
        <f>_xlfn.SWITCH(Table4[[#This Row],[month]],"jan",1,"feb",2,"mar",3,"apr",4,"may",5,"jun",6,"jul",7,"aug",8,"sep",9,"oct",10,"nov",11,"dec",12,"no month")</f>
        <v>5</v>
      </c>
      <c r="C283" s="12" t="str">
        <f>LEFT('All Transactions'!$E283,3)</f>
        <v>May</v>
      </c>
      <c r="D283" s="12" t="str">
        <f t="shared" si="9"/>
        <v>2026</v>
      </c>
      <c r="E283" s="22" t="s">
        <v>1020</v>
      </c>
      <c r="F283" s="23" t="s">
        <v>343</v>
      </c>
      <c r="G283" s="18" t="s">
        <v>28</v>
      </c>
      <c r="H283" s="24">
        <v>1800</v>
      </c>
      <c r="I283" s="25" t="s">
        <v>10</v>
      </c>
      <c r="J283" s="25" t="s">
        <v>1024</v>
      </c>
      <c r="K283" s="26" t="s">
        <v>1025</v>
      </c>
      <c r="L283" s="25" t="s">
        <v>32</v>
      </c>
      <c r="M283" t="str">
        <f>TEXT(A283,"dddd")</f>
        <v>Friday</v>
      </c>
      <c r="N283" s="35">
        <f>DATE(Table4[[#This Row],[year]],Table4[[#This Row],[month2]],Table4[[#This Row],[day]])</f>
        <v>46148</v>
      </c>
    </row>
    <row r="284" spans="1:14" ht="16" x14ac:dyDescent="0.35">
      <c r="A284" t="str">
        <f t="shared" si="8"/>
        <v>06</v>
      </c>
      <c r="B284">
        <f>_xlfn.SWITCH(Table4[[#This Row],[month]],"jan",1,"feb",2,"mar",3,"apr",4,"may",5,"jun",6,"jul",7,"aug",8,"sep",9,"oct",10,"nov",11,"dec",12,"no month")</f>
        <v>5</v>
      </c>
      <c r="C284" s="12" t="str">
        <f>LEFT('All Transactions'!$E284,3)</f>
        <v>May</v>
      </c>
      <c r="D284" s="12" t="str">
        <f t="shared" si="9"/>
        <v>2026</v>
      </c>
      <c r="E284" s="16" t="s">
        <v>1020</v>
      </c>
      <c r="F284" s="17" t="s">
        <v>637</v>
      </c>
      <c r="G284" s="18" t="s">
        <v>28</v>
      </c>
      <c r="H284" s="19">
        <v>30</v>
      </c>
      <c r="I284" s="20" t="s">
        <v>1026</v>
      </c>
      <c r="J284" s="20" t="s">
        <v>1027</v>
      </c>
      <c r="K284" s="21" t="s">
        <v>1028</v>
      </c>
      <c r="L284" s="20" t="s">
        <v>32</v>
      </c>
      <c r="M284" t="str">
        <f>TEXT(A284,"dddd")</f>
        <v>Friday</v>
      </c>
      <c r="N284" s="35">
        <f>DATE(Table4[[#This Row],[year]],Table4[[#This Row],[month2]],Table4[[#This Row],[day]])</f>
        <v>46148</v>
      </c>
    </row>
    <row r="285" spans="1:14" ht="16" x14ac:dyDescent="0.35">
      <c r="A285" t="str">
        <f t="shared" si="8"/>
        <v>06</v>
      </c>
      <c r="B285">
        <f>_xlfn.SWITCH(Table4[[#This Row],[month]],"jan",1,"feb",2,"mar",3,"apr",4,"may",5,"jun",6,"jul",7,"aug",8,"sep",9,"oct",10,"nov",11,"dec",12,"no month")</f>
        <v>5</v>
      </c>
      <c r="C285" s="12" t="str">
        <f>LEFT('All Transactions'!$E285,3)</f>
        <v>May</v>
      </c>
      <c r="D285" s="12" t="str">
        <f t="shared" si="9"/>
        <v>2026</v>
      </c>
      <c r="E285" s="22" t="s">
        <v>1020</v>
      </c>
      <c r="F285" s="23" t="s">
        <v>1029</v>
      </c>
      <c r="G285" s="18" t="s">
        <v>28</v>
      </c>
      <c r="H285" s="24">
        <v>108</v>
      </c>
      <c r="I285" s="25" t="s">
        <v>191</v>
      </c>
      <c r="J285" s="25" t="s">
        <v>1030</v>
      </c>
      <c r="K285" s="26" t="s">
        <v>1031</v>
      </c>
      <c r="L285" s="25" t="s">
        <v>32</v>
      </c>
      <c r="M285" t="str">
        <f>TEXT(A285,"dddd")</f>
        <v>Friday</v>
      </c>
      <c r="N285" s="35">
        <f>DATE(Table4[[#This Row],[year]],Table4[[#This Row],[month2]],Table4[[#This Row],[day]])</f>
        <v>46148</v>
      </c>
    </row>
    <row r="286" spans="1:14" ht="16" x14ac:dyDescent="0.35">
      <c r="A286" t="str">
        <f t="shared" si="8"/>
        <v>06</v>
      </c>
      <c r="B286">
        <f>_xlfn.SWITCH(Table4[[#This Row],[month]],"jan",1,"feb",2,"mar",3,"apr",4,"may",5,"jun",6,"jul",7,"aug",8,"sep",9,"oct",10,"nov",11,"dec",12,"no month")</f>
        <v>5</v>
      </c>
      <c r="C286" s="12" t="str">
        <f>LEFT('All Transactions'!$E286,3)</f>
        <v>May</v>
      </c>
      <c r="D286" s="12" t="str">
        <f t="shared" si="9"/>
        <v>2026</v>
      </c>
      <c r="E286" s="16" t="s">
        <v>1020</v>
      </c>
      <c r="F286" s="17" t="s">
        <v>116</v>
      </c>
      <c r="G286" s="18" t="s">
        <v>28</v>
      </c>
      <c r="H286" s="19">
        <v>100</v>
      </c>
      <c r="I286" s="20" t="s">
        <v>1032</v>
      </c>
      <c r="J286" s="20" t="s">
        <v>1033</v>
      </c>
      <c r="K286" s="21" t="s">
        <v>1034</v>
      </c>
      <c r="L286" s="20" t="s">
        <v>32</v>
      </c>
      <c r="M286" t="str">
        <f>TEXT(A286,"dddd")</f>
        <v>Friday</v>
      </c>
      <c r="N286" s="35">
        <f>DATE(Table4[[#This Row],[year]],Table4[[#This Row],[month2]],Table4[[#This Row],[day]])</f>
        <v>46148</v>
      </c>
    </row>
    <row r="287" spans="1:14" ht="16" x14ac:dyDescent="0.35">
      <c r="A287" t="str">
        <f t="shared" si="8"/>
        <v>06</v>
      </c>
      <c r="B287">
        <f>_xlfn.SWITCH(Table4[[#This Row],[month]],"jan",1,"feb",2,"mar",3,"apr",4,"may",5,"jun",6,"jul",7,"aug",8,"sep",9,"oct",10,"nov",11,"dec",12,"no month")</f>
        <v>5</v>
      </c>
      <c r="C287" s="12" t="str">
        <f>LEFT('All Transactions'!$E287,3)</f>
        <v>May</v>
      </c>
      <c r="D287" s="12" t="str">
        <f t="shared" si="9"/>
        <v>2026</v>
      </c>
      <c r="E287" s="22" t="s">
        <v>1020</v>
      </c>
      <c r="F287" s="23" t="s">
        <v>1035</v>
      </c>
      <c r="G287" s="18" t="s">
        <v>28</v>
      </c>
      <c r="H287" s="24">
        <v>100</v>
      </c>
      <c r="I287" s="25" t="s">
        <v>1036</v>
      </c>
      <c r="J287" s="25" t="s">
        <v>1037</v>
      </c>
      <c r="K287" s="26" t="s">
        <v>1038</v>
      </c>
      <c r="L287" s="25" t="s">
        <v>32</v>
      </c>
      <c r="M287" t="str">
        <f>TEXT(A287,"dddd")</f>
        <v>Friday</v>
      </c>
      <c r="N287" s="35">
        <f>DATE(Table4[[#This Row],[year]],Table4[[#This Row],[month2]],Table4[[#This Row],[day]])</f>
        <v>46148</v>
      </c>
    </row>
    <row r="288" spans="1:14" ht="16" x14ac:dyDescent="0.35">
      <c r="A288" t="str">
        <f t="shared" si="8"/>
        <v>06</v>
      </c>
      <c r="B288">
        <f>_xlfn.SWITCH(Table4[[#This Row],[month]],"jan",1,"feb",2,"mar",3,"apr",4,"may",5,"jun",6,"jul",7,"aug",8,"sep",9,"oct",10,"nov",11,"dec",12,"no month")</f>
        <v>5</v>
      </c>
      <c r="C288" s="12" t="str">
        <f>LEFT('All Transactions'!$E288,3)</f>
        <v>May</v>
      </c>
      <c r="D288" s="12" t="str">
        <f t="shared" si="9"/>
        <v>2026</v>
      </c>
      <c r="E288" s="16" t="s">
        <v>1020</v>
      </c>
      <c r="F288" s="17" t="s">
        <v>1039</v>
      </c>
      <c r="G288" s="18" t="s">
        <v>28</v>
      </c>
      <c r="H288" s="19">
        <v>100</v>
      </c>
      <c r="I288" s="20" t="s">
        <v>1040</v>
      </c>
      <c r="J288" s="20" t="s">
        <v>1041</v>
      </c>
      <c r="K288" s="21" t="s">
        <v>1042</v>
      </c>
      <c r="L288" s="20" t="s">
        <v>32</v>
      </c>
      <c r="M288" t="str">
        <f>TEXT(A288,"dddd")</f>
        <v>Friday</v>
      </c>
      <c r="N288" s="35">
        <f>DATE(Table4[[#This Row],[year]],Table4[[#This Row],[month2]],Table4[[#This Row],[day]])</f>
        <v>46148</v>
      </c>
    </row>
    <row r="289" spans="1:14" ht="16" x14ac:dyDescent="0.35">
      <c r="A289" t="str">
        <f t="shared" si="8"/>
        <v>06</v>
      </c>
      <c r="B289">
        <f>_xlfn.SWITCH(Table4[[#This Row],[month]],"jan",1,"feb",2,"mar",3,"apr",4,"may",5,"jun",6,"jul",7,"aug",8,"sep",9,"oct",10,"nov",11,"dec",12,"no month")</f>
        <v>5</v>
      </c>
      <c r="C289" s="12" t="str">
        <f>LEFT('All Transactions'!$E289,3)</f>
        <v>May</v>
      </c>
      <c r="D289" s="12" t="str">
        <f t="shared" si="9"/>
        <v>2026</v>
      </c>
      <c r="E289" s="22" t="s">
        <v>1020</v>
      </c>
      <c r="F289" s="23" t="s">
        <v>187</v>
      </c>
      <c r="G289" s="18" t="s">
        <v>28</v>
      </c>
      <c r="H289" s="24">
        <v>299</v>
      </c>
      <c r="I289" s="25" t="s">
        <v>10</v>
      </c>
      <c r="J289" s="25" t="s">
        <v>1043</v>
      </c>
      <c r="K289" s="26" t="s">
        <v>1044</v>
      </c>
      <c r="L289" s="25" t="s">
        <v>32</v>
      </c>
      <c r="M289" t="str">
        <f>TEXT(A289,"dddd")</f>
        <v>Friday</v>
      </c>
      <c r="N289" s="35">
        <f>DATE(Table4[[#This Row],[year]],Table4[[#This Row],[month2]],Table4[[#This Row],[day]])</f>
        <v>46148</v>
      </c>
    </row>
    <row r="290" spans="1:14" ht="16" x14ac:dyDescent="0.35">
      <c r="A290" t="str">
        <f t="shared" si="8"/>
        <v>06</v>
      </c>
      <c r="B290">
        <f>_xlfn.SWITCH(Table4[[#This Row],[month]],"jan",1,"feb",2,"mar",3,"apr",4,"may",5,"jun",6,"jul",7,"aug",8,"sep",9,"oct",10,"nov",11,"dec",12,"no month")</f>
        <v>5</v>
      </c>
      <c r="C290" s="12" t="str">
        <f>LEFT('All Transactions'!$E290,3)</f>
        <v>May</v>
      </c>
      <c r="D290" s="12" t="str">
        <f t="shared" si="9"/>
        <v>2026</v>
      </c>
      <c r="E290" s="16" t="s">
        <v>1020</v>
      </c>
      <c r="F290" s="17" t="s">
        <v>577</v>
      </c>
      <c r="G290" s="18" t="s">
        <v>28</v>
      </c>
      <c r="H290" s="19">
        <v>13183</v>
      </c>
      <c r="I290" s="20" t="s">
        <v>1045</v>
      </c>
      <c r="J290" s="20" t="s">
        <v>1046</v>
      </c>
      <c r="K290" s="21" t="s">
        <v>1047</v>
      </c>
      <c r="L290" s="20" t="s">
        <v>32</v>
      </c>
      <c r="M290" t="str">
        <f>TEXT(A290,"dddd")</f>
        <v>Friday</v>
      </c>
      <c r="N290" s="35">
        <f>DATE(Table4[[#This Row],[year]],Table4[[#This Row],[month2]],Table4[[#This Row],[day]])</f>
        <v>46148</v>
      </c>
    </row>
    <row r="291" spans="1:14" ht="16" x14ac:dyDescent="0.35">
      <c r="A291" t="str">
        <f t="shared" si="8"/>
        <v>06</v>
      </c>
      <c r="B291">
        <f>_xlfn.SWITCH(Table4[[#This Row],[month]],"jan",1,"feb",2,"mar",3,"apr",4,"may",5,"jun",6,"jul",7,"aug",8,"sep",9,"oct",10,"nov",11,"dec",12,"no month")</f>
        <v>5</v>
      </c>
      <c r="C291" s="12" t="str">
        <f>LEFT('All Transactions'!$E291,3)</f>
        <v>May</v>
      </c>
      <c r="D291" s="12" t="str">
        <f t="shared" si="9"/>
        <v>2026</v>
      </c>
      <c r="E291" s="22" t="s">
        <v>1020</v>
      </c>
      <c r="F291" s="23" t="s">
        <v>1048</v>
      </c>
      <c r="G291" s="27" t="s">
        <v>54</v>
      </c>
      <c r="H291" s="24">
        <v>6000</v>
      </c>
      <c r="I291" s="25" t="s">
        <v>947</v>
      </c>
      <c r="J291" s="25" t="s">
        <v>1049</v>
      </c>
      <c r="K291" s="26" t="s">
        <v>1050</v>
      </c>
      <c r="L291" s="25" t="s">
        <v>58</v>
      </c>
      <c r="M291" t="str">
        <f>TEXT(A291,"dddd")</f>
        <v>Friday</v>
      </c>
      <c r="N291" s="35">
        <f>DATE(Table4[[#This Row],[year]],Table4[[#This Row],[month2]],Table4[[#This Row],[day]])</f>
        <v>46148</v>
      </c>
    </row>
    <row r="292" spans="1:14" ht="16" x14ac:dyDescent="0.35">
      <c r="A292" t="str">
        <f t="shared" si="8"/>
        <v>06</v>
      </c>
      <c r="B292">
        <f>_xlfn.SWITCH(Table4[[#This Row],[month]],"jan",1,"feb",2,"mar",3,"apr",4,"may",5,"jun",6,"jul",7,"aug",8,"sep",9,"oct",10,"nov",11,"dec",12,"no month")</f>
        <v>5</v>
      </c>
      <c r="C292" s="12" t="str">
        <f>LEFT('All Transactions'!$E292,3)</f>
        <v>May</v>
      </c>
      <c r="D292" s="12" t="str">
        <f t="shared" si="9"/>
        <v>2026</v>
      </c>
      <c r="E292" s="16" t="s">
        <v>1020</v>
      </c>
      <c r="F292" s="17" t="s">
        <v>1051</v>
      </c>
      <c r="G292" s="27" t="s">
        <v>54</v>
      </c>
      <c r="H292" s="19">
        <v>6000</v>
      </c>
      <c r="I292" s="20" t="s">
        <v>156</v>
      </c>
      <c r="J292" s="20" t="s">
        <v>1052</v>
      </c>
      <c r="K292" s="21" t="s">
        <v>1053</v>
      </c>
      <c r="L292" s="20" t="s">
        <v>58</v>
      </c>
      <c r="M292" t="str">
        <f>TEXT(A292,"dddd")</f>
        <v>Friday</v>
      </c>
      <c r="N292" s="35">
        <f>DATE(Table4[[#This Row],[year]],Table4[[#This Row],[month2]],Table4[[#This Row],[day]])</f>
        <v>46148</v>
      </c>
    </row>
    <row r="293" spans="1:14" ht="16" x14ac:dyDescent="0.35">
      <c r="A293" t="str">
        <f t="shared" si="8"/>
        <v>06</v>
      </c>
      <c r="B293">
        <f>_xlfn.SWITCH(Table4[[#This Row],[month]],"jan",1,"feb",2,"mar",3,"apr",4,"may",5,"jun",6,"jul",7,"aug",8,"sep",9,"oct",10,"nov",11,"dec",12,"no month")</f>
        <v>5</v>
      </c>
      <c r="C293" s="12" t="str">
        <f>LEFT('All Transactions'!$E293,3)</f>
        <v>May</v>
      </c>
      <c r="D293" s="12" t="str">
        <f t="shared" si="9"/>
        <v>2026</v>
      </c>
      <c r="E293" s="22" t="s">
        <v>1020</v>
      </c>
      <c r="F293" s="23" t="s">
        <v>1054</v>
      </c>
      <c r="G293" s="18" t="s">
        <v>28</v>
      </c>
      <c r="H293" s="24">
        <v>100</v>
      </c>
      <c r="I293" s="25" t="s">
        <v>1055</v>
      </c>
      <c r="J293" s="25" t="s">
        <v>1056</v>
      </c>
      <c r="K293" s="26" t="s">
        <v>1057</v>
      </c>
      <c r="L293" s="25" t="s">
        <v>32</v>
      </c>
      <c r="M293" t="str">
        <f>TEXT(A293,"dddd")</f>
        <v>Friday</v>
      </c>
      <c r="N293" s="35">
        <f>DATE(Table4[[#This Row],[year]],Table4[[#This Row],[month2]],Table4[[#This Row],[day]])</f>
        <v>46148</v>
      </c>
    </row>
    <row r="294" spans="1:14" ht="16" x14ac:dyDescent="0.35">
      <c r="A294" t="str">
        <f t="shared" si="8"/>
        <v>05</v>
      </c>
      <c r="B294">
        <f>_xlfn.SWITCH(Table4[[#This Row],[month]],"jan",1,"feb",2,"mar",3,"apr",4,"may",5,"jun",6,"jul",7,"aug",8,"sep",9,"oct",10,"nov",11,"dec",12,"no month")</f>
        <v>5</v>
      </c>
      <c r="C294" s="12" t="str">
        <f>LEFT('All Transactions'!$E294,3)</f>
        <v>May</v>
      </c>
      <c r="D294" s="12" t="str">
        <f t="shared" si="9"/>
        <v>2026</v>
      </c>
      <c r="E294" s="16" t="s">
        <v>1058</v>
      </c>
      <c r="F294" s="17" t="s">
        <v>293</v>
      </c>
      <c r="G294" s="18" t="s">
        <v>28</v>
      </c>
      <c r="H294" s="19">
        <v>16</v>
      </c>
      <c r="I294" s="20" t="s">
        <v>1059</v>
      </c>
      <c r="J294" s="20" t="s">
        <v>1060</v>
      </c>
      <c r="K294" s="21" t="s">
        <v>1061</v>
      </c>
      <c r="L294" s="20" t="s">
        <v>32</v>
      </c>
      <c r="M294" t="str">
        <f>TEXT(A294,"dddd")</f>
        <v>Thursday</v>
      </c>
      <c r="N294" s="35">
        <f>DATE(Table4[[#This Row],[year]],Table4[[#This Row],[month2]],Table4[[#This Row],[day]])</f>
        <v>46147</v>
      </c>
    </row>
    <row r="295" spans="1:14" ht="16" x14ac:dyDescent="0.35">
      <c r="A295" t="str">
        <f t="shared" si="8"/>
        <v>05</v>
      </c>
      <c r="B295">
        <f>_xlfn.SWITCH(Table4[[#This Row],[month]],"jan",1,"feb",2,"mar",3,"apr",4,"may",5,"jun",6,"jul",7,"aug",8,"sep",9,"oct",10,"nov",11,"dec",12,"no month")</f>
        <v>5</v>
      </c>
      <c r="C295" s="12" t="str">
        <f>LEFT('All Transactions'!$E295,3)</f>
        <v>May</v>
      </c>
      <c r="D295" s="12" t="str">
        <f t="shared" si="9"/>
        <v>2026</v>
      </c>
      <c r="E295" s="22" t="s">
        <v>1058</v>
      </c>
      <c r="F295" s="23" t="s">
        <v>1062</v>
      </c>
      <c r="G295" s="18" t="s">
        <v>28</v>
      </c>
      <c r="H295" s="24">
        <v>100</v>
      </c>
      <c r="I295" s="25" t="s">
        <v>1063</v>
      </c>
      <c r="J295" s="25" t="s">
        <v>1064</v>
      </c>
      <c r="K295" s="26" t="s">
        <v>1065</v>
      </c>
      <c r="L295" s="25" t="s">
        <v>32</v>
      </c>
      <c r="M295" t="str">
        <f>TEXT(A295,"dddd")</f>
        <v>Thursday</v>
      </c>
      <c r="N295" s="35">
        <f>DATE(Table4[[#This Row],[year]],Table4[[#This Row],[month2]],Table4[[#This Row],[day]])</f>
        <v>46147</v>
      </c>
    </row>
    <row r="296" spans="1:14" ht="16" x14ac:dyDescent="0.35">
      <c r="A296" t="str">
        <f t="shared" si="8"/>
        <v>05</v>
      </c>
      <c r="B296">
        <f>_xlfn.SWITCH(Table4[[#This Row],[month]],"jan",1,"feb",2,"mar",3,"apr",4,"may",5,"jun",6,"jul",7,"aug",8,"sep",9,"oct",10,"nov",11,"dec",12,"no month")</f>
        <v>5</v>
      </c>
      <c r="C296" s="12" t="str">
        <f>LEFT('All Transactions'!$E296,3)</f>
        <v>May</v>
      </c>
      <c r="D296" s="12" t="str">
        <f t="shared" si="9"/>
        <v>2026</v>
      </c>
      <c r="E296" s="16" t="s">
        <v>1058</v>
      </c>
      <c r="F296" s="17" t="s">
        <v>1066</v>
      </c>
      <c r="G296" s="18" t="s">
        <v>28</v>
      </c>
      <c r="H296" s="19">
        <v>120</v>
      </c>
      <c r="I296" s="20" t="s">
        <v>1067</v>
      </c>
      <c r="J296" s="20" t="s">
        <v>1068</v>
      </c>
      <c r="K296" s="21" t="s">
        <v>1069</v>
      </c>
      <c r="L296" s="20" t="s">
        <v>32</v>
      </c>
      <c r="M296" t="str">
        <f>TEXT(A296,"dddd")</f>
        <v>Thursday</v>
      </c>
      <c r="N296" s="35">
        <f>DATE(Table4[[#This Row],[year]],Table4[[#This Row],[month2]],Table4[[#This Row],[day]])</f>
        <v>46147</v>
      </c>
    </row>
    <row r="297" spans="1:14" ht="16" x14ac:dyDescent="0.35">
      <c r="A297" t="str">
        <f t="shared" si="8"/>
        <v>05</v>
      </c>
      <c r="B297">
        <f>_xlfn.SWITCH(Table4[[#This Row],[month]],"jan",1,"feb",2,"mar",3,"apr",4,"may",5,"jun",6,"jul",7,"aug",8,"sep",9,"oct",10,"nov",11,"dec",12,"no month")</f>
        <v>5</v>
      </c>
      <c r="C297" s="12" t="str">
        <f>LEFT('All Transactions'!$E297,3)</f>
        <v>May</v>
      </c>
      <c r="D297" s="12" t="str">
        <f t="shared" si="9"/>
        <v>2026</v>
      </c>
      <c r="E297" s="22" t="s">
        <v>1058</v>
      </c>
      <c r="F297" s="23" t="s">
        <v>1070</v>
      </c>
      <c r="G297" s="18" t="s">
        <v>28</v>
      </c>
      <c r="H297" s="24">
        <v>500</v>
      </c>
      <c r="I297" s="25" t="s">
        <v>1071</v>
      </c>
      <c r="J297" s="25" t="s">
        <v>1072</v>
      </c>
      <c r="K297" s="26" t="s">
        <v>1073</v>
      </c>
      <c r="L297" s="25" t="s">
        <v>32</v>
      </c>
      <c r="M297" t="str">
        <f>TEXT(A297,"dddd")</f>
        <v>Thursday</v>
      </c>
      <c r="N297" s="35">
        <f>DATE(Table4[[#This Row],[year]],Table4[[#This Row],[month2]],Table4[[#This Row],[day]])</f>
        <v>46147</v>
      </c>
    </row>
    <row r="298" spans="1:14" ht="16" x14ac:dyDescent="0.35">
      <c r="A298" t="str">
        <f t="shared" si="8"/>
        <v>05</v>
      </c>
      <c r="B298">
        <f>_xlfn.SWITCH(Table4[[#This Row],[month]],"jan",1,"feb",2,"mar",3,"apr",4,"may",5,"jun",6,"jul",7,"aug",8,"sep",9,"oct",10,"nov",11,"dec",12,"no month")</f>
        <v>5</v>
      </c>
      <c r="C298" s="12" t="str">
        <f>LEFT('All Transactions'!$E298,3)</f>
        <v>May</v>
      </c>
      <c r="D298" s="12" t="str">
        <f t="shared" si="9"/>
        <v>2026</v>
      </c>
      <c r="E298" s="16" t="s">
        <v>1058</v>
      </c>
      <c r="F298" s="17" t="s">
        <v>1074</v>
      </c>
      <c r="G298" s="27" t="s">
        <v>54</v>
      </c>
      <c r="H298" s="19">
        <v>700</v>
      </c>
      <c r="I298" s="20" t="s">
        <v>1075</v>
      </c>
      <c r="J298" s="20" t="s">
        <v>1076</v>
      </c>
      <c r="K298" s="21" t="s">
        <v>1077</v>
      </c>
      <c r="L298" s="20" t="s">
        <v>58</v>
      </c>
      <c r="M298" t="str">
        <f>TEXT(A298,"dddd")</f>
        <v>Thursday</v>
      </c>
      <c r="N298" s="35">
        <f>DATE(Table4[[#This Row],[year]],Table4[[#This Row],[month2]],Table4[[#This Row],[day]])</f>
        <v>46147</v>
      </c>
    </row>
    <row r="299" spans="1:14" ht="16" x14ac:dyDescent="0.35">
      <c r="A299" t="str">
        <f t="shared" si="8"/>
        <v>05</v>
      </c>
      <c r="B299">
        <f>_xlfn.SWITCH(Table4[[#This Row],[month]],"jan",1,"feb",2,"mar",3,"apr",4,"may",5,"jun",6,"jul",7,"aug",8,"sep",9,"oct",10,"nov",11,"dec",12,"no month")</f>
        <v>5</v>
      </c>
      <c r="C299" s="12" t="str">
        <f>LEFT('All Transactions'!$E299,3)</f>
        <v>May</v>
      </c>
      <c r="D299" s="12" t="str">
        <f t="shared" si="9"/>
        <v>2026</v>
      </c>
      <c r="E299" s="22" t="s">
        <v>1058</v>
      </c>
      <c r="F299" s="23" t="s">
        <v>1078</v>
      </c>
      <c r="G299" s="18" t="s">
        <v>28</v>
      </c>
      <c r="H299" s="24">
        <v>10</v>
      </c>
      <c r="I299" s="25" t="s">
        <v>1079</v>
      </c>
      <c r="J299" s="25" t="s">
        <v>1080</v>
      </c>
      <c r="K299" s="26" t="s">
        <v>1081</v>
      </c>
      <c r="L299" s="25" t="s">
        <v>32</v>
      </c>
      <c r="M299" t="str">
        <f>TEXT(A299,"dddd")</f>
        <v>Thursday</v>
      </c>
      <c r="N299" s="35">
        <f>DATE(Table4[[#This Row],[year]],Table4[[#This Row],[month2]],Table4[[#This Row],[day]])</f>
        <v>46147</v>
      </c>
    </row>
    <row r="300" spans="1:14" ht="16" x14ac:dyDescent="0.35">
      <c r="A300" t="str">
        <f t="shared" si="8"/>
        <v>04</v>
      </c>
      <c r="B300">
        <f>_xlfn.SWITCH(Table4[[#This Row],[month]],"jan",1,"feb",2,"mar",3,"apr",4,"may",5,"jun",6,"jul",7,"aug",8,"sep",9,"oct",10,"nov",11,"dec",12,"no month")</f>
        <v>5</v>
      </c>
      <c r="C300" s="12" t="str">
        <f>LEFT('All Transactions'!$E300,3)</f>
        <v>May</v>
      </c>
      <c r="D300" s="12" t="str">
        <f t="shared" si="9"/>
        <v>2026</v>
      </c>
      <c r="E300" s="16" t="s">
        <v>1082</v>
      </c>
      <c r="F300" s="17" t="s">
        <v>100</v>
      </c>
      <c r="G300" s="18" t="s">
        <v>28</v>
      </c>
      <c r="H300" s="19">
        <v>678</v>
      </c>
      <c r="I300" s="20" t="s">
        <v>1083</v>
      </c>
      <c r="J300" s="20" t="s">
        <v>1084</v>
      </c>
      <c r="K300" s="21" t="s">
        <v>1085</v>
      </c>
      <c r="L300" s="20" t="s">
        <v>32</v>
      </c>
      <c r="M300" t="str">
        <f>TEXT(A300,"dddd")</f>
        <v>Wednesday</v>
      </c>
      <c r="N300" s="35">
        <f>DATE(Table4[[#This Row],[year]],Table4[[#This Row],[month2]],Table4[[#This Row],[day]])</f>
        <v>46146</v>
      </c>
    </row>
    <row r="301" spans="1:14" ht="16" x14ac:dyDescent="0.35">
      <c r="A301" t="str">
        <f t="shared" si="8"/>
        <v>04</v>
      </c>
      <c r="B301">
        <f>_xlfn.SWITCH(Table4[[#This Row],[month]],"jan",1,"feb",2,"mar",3,"apr",4,"may",5,"jun",6,"jul",7,"aug",8,"sep",9,"oct",10,"nov",11,"dec",12,"no month")</f>
        <v>5</v>
      </c>
      <c r="C301" s="12" t="str">
        <f>LEFT('All Transactions'!$E301,3)</f>
        <v>May</v>
      </c>
      <c r="D301" s="12" t="str">
        <f t="shared" si="9"/>
        <v>2026</v>
      </c>
      <c r="E301" s="22" t="s">
        <v>1082</v>
      </c>
      <c r="F301" s="23" t="s">
        <v>1086</v>
      </c>
      <c r="G301" s="18" t="s">
        <v>28</v>
      </c>
      <c r="H301" s="24">
        <v>10</v>
      </c>
      <c r="I301" s="25" t="s">
        <v>1087</v>
      </c>
      <c r="J301" s="25" t="s">
        <v>1088</v>
      </c>
      <c r="K301" s="26" t="s">
        <v>1089</v>
      </c>
      <c r="L301" s="25" t="s">
        <v>32</v>
      </c>
      <c r="M301" t="str">
        <f>TEXT(A301,"dddd")</f>
        <v>Wednesday</v>
      </c>
      <c r="N301" s="35">
        <f>DATE(Table4[[#This Row],[year]],Table4[[#This Row],[month2]],Table4[[#This Row],[day]])</f>
        <v>46146</v>
      </c>
    </row>
    <row r="302" spans="1:14" ht="16" x14ac:dyDescent="0.35">
      <c r="A302" t="str">
        <f t="shared" si="8"/>
        <v>04</v>
      </c>
      <c r="B302">
        <f>_xlfn.SWITCH(Table4[[#This Row],[month]],"jan",1,"feb",2,"mar",3,"apr",4,"may",5,"jun",6,"jul",7,"aug",8,"sep",9,"oct",10,"nov",11,"dec",12,"no month")</f>
        <v>5</v>
      </c>
      <c r="C302" s="12" t="str">
        <f>LEFT('All Transactions'!$E302,3)</f>
        <v>May</v>
      </c>
      <c r="D302" s="12" t="str">
        <f t="shared" si="9"/>
        <v>2026</v>
      </c>
      <c r="E302" s="16" t="s">
        <v>1082</v>
      </c>
      <c r="F302" s="17" t="s">
        <v>573</v>
      </c>
      <c r="G302" s="27" t="s">
        <v>54</v>
      </c>
      <c r="H302" s="19">
        <v>230</v>
      </c>
      <c r="I302" s="20" t="s">
        <v>1090</v>
      </c>
      <c r="J302" s="20" t="s">
        <v>1091</v>
      </c>
      <c r="K302" s="21" t="s">
        <v>1092</v>
      </c>
      <c r="L302" s="20" t="s">
        <v>58</v>
      </c>
      <c r="M302" t="str">
        <f>TEXT(A302,"dddd")</f>
        <v>Wednesday</v>
      </c>
      <c r="N302" s="35">
        <f>DATE(Table4[[#This Row],[year]],Table4[[#This Row],[month2]],Table4[[#This Row],[day]])</f>
        <v>46146</v>
      </c>
    </row>
    <row r="303" spans="1:14" ht="16" x14ac:dyDescent="0.35">
      <c r="A303" t="str">
        <f t="shared" si="8"/>
        <v>04</v>
      </c>
      <c r="B303">
        <f>_xlfn.SWITCH(Table4[[#This Row],[month]],"jan",1,"feb",2,"mar",3,"apr",4,"may",5,"jun",6,"jul",7,"aug",8,"sep",9,"oct",10,"nov",11,"dec",12,"no month")</f>
        <v>5</v>
      </c>
      <c r="C303" s="12" t="str">
        <f>LEFT('All Transactions'!$E303,3)</f>
        <v>May</v>
      </c>
      <c r="D303" s="12" t="str">
        <f t="shared" si="9"/>
        <v>2026</v>
      </c>
      <c r="E303" s="22" t="s">
        <v>1082</v>
      </c>
      <c r="F303" s="23" t="s">
        <v>573</v>
      </c>
      <c r="G303" s="18" t="s">
        <v>28</v>
      </c>
      <c r="H303" s="24">
        <v>220</v>
      </c>
      <c r="I303" s="25" t="s">
        <v>1087</v>
      </c>
      <c r="J303" s="25" t="s">
        <v>1093</v>
      </c>
      <c r="K303" s="26" t="s">
        <v>1094</v>
      </c>
      <c r="L303" s="25" t="s">
        <v>32</v>
      </c>
      <c r="M303" t="str">
        <f>TEXT(A303,"dddd")</f>
        <v>Wednesday</v>
      </c>
      <c r="N303" s="35">
        <f>DATE(Table4[[#This Row],[year]],Table4[[#This Row],[month2]],Table4[[#This Row],[day]])</f>
        <v>46146</v>
      </c>
    </row>
    <row r="304" spans="1:14" ht="16" x14ac:dyDescent="0.35">
      <c r="A304" t="str">
        <f t="shared" si="8"/>
        <v>04</v>
      </c>
      <c r="B304">
        <f>_xlfn.SWITCH(Table4[[#This Row],[month]],"jan",1,"feb",2,"mar",3,"apr",4,"may",5,"jun",6,"jul",7,"aug",8,"sep",9,"oct",10,"nov",11,"dec",12,"no month")</f>
        <v>5</v>
      </c>
      <c r="C304" s="12" t="str">
        <f>LEFT('All Transactions'!$E304,3)</f>
        <v>May</v>
      </c>
      <c r="D304" s="12" t="str">
        <f t="shared" si="9"/>
        <v>2026</v>
      </c>
      <c r="E304" s="16" t="s">
        <v>1082</v>
      </c>
      <c r="F304" s="17" t="s">
        <v>1095</v>
      </c>
      <c r="G304" s="18" t="s">
        <v>28</v>
      </c>
      <c r="H304" s="19">
        <v>40</v>
      </c>
      <c r="I304" s="20" t="s">
        <v>1096</v>
      </c>
      <c r="J304" s="20" t="s">
        <v>1097</v>
      </c>
      <c r="K304" s="21" t="s">
        <v>1098</v>
      </c>
      <c r="L304" s="20" t="s">
        <v>32</v>
      </c>
      <c r="M304" t="str">
        <f>TEXT(A304,"dddd")</f>
        <v>Wednesday</v>
      </c>
      <c r="N304" s="35">
        <f>DATE(Table4[[#This Row],[year]],Table4[[#This Row],[month2]],Table4[[#This Row],[day]])</f>
        <v>46146</v>
      </c>
    </row>
    <row r="305" spans="1:14" ht="16" x14ac:dyDescent="0.35">
      <c r="A305" t="str">
        <f t="shared" si="8"/>
        <v>04</v>
      </c>
      <c r="B305">
        <f>_xlfn.SWITCH(Table4[[#This Row],[month]],"jan",1,"feb",2,"mar",3,"apr",4,"may",5,"jun",6,"jul",7,"aug",8,"sep",9,"oct",10,"nov",11,"dec",12,"no month")</f>
        <v>5</v>
      </c>
      <c r="C305" s="12" t="str">
        <f>LEFT('All Transactions'!$E305,3)</f>
        <v>May</v>
      </c>
      <c r="D305" s="12" t="str">
        <f t="shared" si="9"/>
        <v>2026</v>
      </c>
      <c r="E305" s="22" t="s">
        <v>1082</v>
      </c>
      <c r="F305" s="23" t="s">
        <v>918</v>
      </c>
      <c r="G305" s="27" t="s">
        <v>54</v>
      </c>
      <c r="H305" s="24">
        <v>160</v>
      </c>
      <c r="I305" s="25" t="s">
        <v>1099</v>
      </c>
      <c r="J305" s="25" t="s">
        <v>1100</v>
      </c>
      <c r="K305" s="26" t="s">
        <v>1101</v>
      </c>
      <c r="L305" s="25" t="s">
        <v>58</v>
      </c>
      <c r="M305" t="str">
        <f>TEXT(A305,"dddd")</f>
        <v>Wednesday</v>
      </c>
      <c r="N305" s="35">
        <f>DATE(Table4[[#This Row],[year]],Table4[[#This Row],[month2]],Table4[[#This Row],[day]])</f>
        <v>46146</v>
      </c>
    </row>
    <row r="306" spans="1:14" ht="16" x14ac:dyDescent="0.35">
      <c r="A306" t="str">
        <f t="shared" si="8"/>
        <v>04</v>
      </c>
      <c r="B306">
        <f>_xlfn.SWITCH(Table4[[#This Row],[month]],"jan",1,"feb",2,"mar",3,"apr",4,"may",5,"jun",6,"jul",7,"aug",8,"sep",9,"oct",10,"nov",11,"dec",12,"no month")</f>
        <v>5</v>
      </c>
      <c r="C306" s="12" t="str">
        <f>LEFT('All Transactions'!$E306,3)</f>
        <v>May</v>
      </c>
      <c r="D306" s="12" t="str">
        <f t="shared" si="9"/>
        <v>2026</v>
      </c>
      <c r="E306" s="16" t="s">
        <v>1082</v>
      </c>
      <c r="F306" s="17" t="s">
        <v>978</v>
      </c>
      <c r="G306" s="18" t="s">
        <v>28</v>
      </c>
      <c r="H306" s="19">
        <v>40</v>
      </c>
      <c r="I306" s="20" t="s">
        <v>1102</v>
      </c>
      <c r="J306" s="20" t="s">
        <v>1103</v>
      </c>
      <c r="K306" s="21" t="s">
        <v>1104</v>
      </c>
      <c r="L306" s="20" t="s">
        <v>32</v>
      </c>
      <c r="M306" t="str">
        <f>TEXT(A306,"dddd")</f>
        <v>Wednesday</v>
      </c>
      <c r="N306" s="35">
        <f>DATE(Table4[[#This Row],[year]],Table4[[#This Row],[month2]],Table4[[#This Row],[day]])</f>
        <v>46146</v>
      </c>
    </row>
    <row r="307" spans="1:14" ht="16" x14ac:dyDescent="0.35">
      <c r="A307" t="str">
        <f t="shared" si="8"/>
        <v>04</v>
      </c>
      <c r="B307">
        <f>_xlfn.SWITCH(Table4[[#This Row],[month]],"jan",1,"feb",2,"mar",3,"apr",4,"may",5,"jun",6,"jul",7,"aug",8,"sep",9,"oct",10,"nov",11,"dec",12,"no month")</f>
        <v>5</v>
      </c>
      <c r="C307" s="12" t="str">
        <f>LEFT('All Transactions'!$E307,3)</f>
        <v>May</v>
      </c>
      <c r="D307" s="12" t="str">
        <f t="shared" si="9"/>
        <v>2026</v>
      </c>
      <c r="E307" s="22" t="s">
        <v>1082</v>
      </c>
      <c r="F307" s="23" t="s">
        <v>1105</v>
      </c>
      <c r="G307" s="27" t="s">
        <v>54</v>
      </c>
      <c r="H307" s="24">
        <v>75</v>
      </c>
      <c r="I307" s="25" t="s">
        <v>1106</v>
      </c>
      <c r="J307" s="25" t="s">
        <v>1107</v>
      </c>
      <c r="K307" s="26" t="s">
        <v>1108</v>
      </c>
      <c r="L307" s="25" t="s">
        <v>58</v>
      </c>
      <c r="M307" t="str">
        <f>TEXT(A307,"dddd")</f>
        <v>Wednesday</v>
      </c>
      <c r="N307" s="35">
        <f>DATE(Table4[[#This Row],[year]],Table4[[#This Row],[month2]],Table4[[#This Row],[day]])</f>
        <v>46146</v>
      </c>
    </row>
    <row r="308" spans="1:14" ht="16" x14ac:dyDescent="0.35">
      <c r="A308" t="str">
        <f t="shared" si="8"/>
        <v>04</v>
      </c>
      <c r="B308">
        <f>_xlfn.SWITCH(Table4[[#This Row],[month]],"jan",1,"feb",2,"mar",3,"apr",4,"may",5,"jun",6,"jul",7,"aug",8,"sep",9,"oct",10,"nov",11,"dec",12,"no month")</f>
        <v>5</v>
      </c>
      <c r="C308" s="12" t="str">
        <f>LEFT('All Transactions'!$E308,3)</f>
        <v>May</v>
      </c>
      <c r="D308" s="12" t="str">
        <f t="shared" si="9"/>
        <v>2026</v>
      </c>
      <c r="E308" s="16" t="s">
        <v>1082</v>
      </c>
      <c r="F308" s="17" t="s">
        <v>1109</v>
      </c>
      <c r="G308" s="27" t="s">
        <v>54</v>
      </c>
      <c r="H308" s="19">
        <v>50</v>
      </c>
      <c r="I308" s="20" t="s">
        <v>1110</v>
      </c>
      <c r="J308" s="20" t="s">
        <v>1111</v>
      </c>
      <c r="K308" s="21" t="s">
        <v>1112</v>
      </c>
      <c r="L308" s="20" t="s">
        <v>58</v>
      </c>
      <c r="M308" t="str">
        <f>TEXT(A308,"dddd")</f>
        <v>Wednesday</v>
      </c>
      <c r="N308" s="35">
        <f>DATE(Table4[[#This Row],[year]],Table4[[#This Row],[month2]],Table4[[#This Row],[day]])</f>
        <v>46146</v>
      </c>
    </row>
    <row r="309" spans="1:14" ht="16" x14ac:dyDescent="0.35">
      <c r="A309" t="str">
        <f t="shared" si="8"/>
        <v>04</v>
      </c>
      <c r="B309">
        <f>_xlfn.SWITCH(Table4[[#This Row],[month]],"jan",1,"feb",2,"mar",3,"apr",4,"may",5,"jun",6,"jul",7,"aug",8,"sep",9,"oct",10,"nov",11,"dec",12,"no month")</f>
        <v>5</v>
      </c>
      <c r="C309" s="12" t="str">
        <f>LEFT('All Transactions'!$E309,3)</f>
        <v>May</v>
      </c>
      <c r="D309" s="12" t="str">
        <f t="shared" si="9"/>
        <v>2026</v>
      </c>
      <c r="E309" s="22" t="s">
        <v>1082</v>
      </c>
      <c r="F309" s="23" t="s">
        <v>1113</v>
      </c>
      <c r="G309" s="18" t="s">
        <v>28</v>
      </c>
      <c r="H309" s="24">
        <v>108</v>
      </c>
      <c r="I309" s="25" t="s">
        <v>1114</v>
      </c>
      <c r="J309" s="25" t="s">
        <v>1115</v>
      </c>
      <c r="K309" s="26" t="s">
        <v>1116</v>
      </c>
      <c r="L309" s="25" t="s">
        <v>32</v>
      </c>
      <c r="M309" t="str">
        <f>TEXT(A309,"dddd")</f>
        <v>Wednesday</v>
      </c>
      <c r="N309" s="35">
        <f>DATE(Table4[[#This Row],[year]],Table4[[#This Row],[month2]],Table4[[#This Row],[day]])</f>
        <v>46146</v>
      </c>
    </row>
    <row r="310" spans="1:14" ht="16" x14ac:dyDescent="0.35">
      <c r="A310" t="str">
        <f t="shared" si="8"/>
        <v>04</v>
      </c>
      <c r="B310">
        <f>_xlfn.SWITCH(Table4[[#This Row],[month]],"jan",1,"feb",2,"mar",3,"apr",4,"may",5,"jun",6,"jul",7,"aug",8,"sep",9,"oct",10,"nov",11,"dec",12,"no month")</f>
        <v>5</v>
      </c>
      <c r="C310" s="12" t="str">
        <f>LEFT('All Transactions'!$E310,3)</f>
        <v>May</v>
      </c>
      <c r="D310" s="12" t="str">
        <f t="shared" si="9"/>
        <v>2026</v>
      </c>
      <c r="E310" s="16" t="s">
        <v>1082</v>
      </c>
      <c r="F310" s="17" t="s">
        <v>1117</v>
      </c>
      <c r="G310" s="18" t="s">
        <v>28</v>
      </c>
      <c r="H310" s="19">
        <v>673</v>
      </c>
      <c r="I310" s="20" t="s">
        <v>49</v>
      </c>
      <c r="J310" s="20" t="s">
        <v>1118</v>
      </c>
      <c r="K310" s="21" t="s">
        <v>1119</v>
      </c>
      <c r="L310" s="20" t="s">
        <v>32</v>
      </c>
      <c r="M310" t="str">
        <f>TEXT(A310,"dddd")</f>
        <v>Wednesday</v>
      </c>
      <c r="N310" s="35">
        <f>DATE(Table4[[#This Row],[year]],Table4[[#This Row],[month2]],Table4[[#This Row],[day]])</f>
        <v>46146</v>
      </c>
    </row>
    <row r="311" spans="1:14" ht="16" x14ac:dyDescent="0.35">
      <c r="A311" t="str">
        <f t="shared" si="8"/>
        <v>04</v>
      </c>
      <c r="B311">
        <f>_xlfn.SWITCH(Table4[[#This Row],[month]],"jan",1,"feb",2,"mar",3,"apr",4,"may",5,"jun",6,"jul",7,"aug",8,"sep",9,"oct",10,"nov",11,"dec",12,"no month")</f>
        <v>5</v>
      </c>
      <c r="C311" s="12" t="str">
        <f>LEFT('All Transactions'!$E311,3)</f>
        <v>May</v>
      </c>
      <c r="D311" s="12" t="str">
        <f t="shared" si="9"/>
        <v>2026</v>
      </c>
      <c r="E311" s="22" t="s">
        <v>1082</v>
      </c>
      <c r="F311" s="23" t="s">
        <v>1120</v>
      </c>
      <c r="G311" s="18" t="s">
        <v>28</v>
      </c>
      <c r="H311" s="24">
        <v>10</v>
      </c>
      <c r="I311" s="25" t="s">
        <v>1121</v>
      </c>
      <c r="J311" s="25" t="s">
        <v>1122</v>
      </c>
      <c r="K311" s="26" t="s">
        <v>1123</v>
      </c>
      <c r="L311" s="25" t="s">
        <v>32</v>
      </c>
      <c r="M311" t="str">
        <f>TEXT(A311,"dddd")</f>
        <v>Wednesday</v>
      </c>
      <c r="N311" s="35">
        <f>DATE(Table4[[#This Row],[year]],Table4[[#This Row],[month2]],Table4[[#This Row],[day]])</f>
        <v>46146</v>
      </c>
    </row>
    <row r="312" spans="1:14" ht="16" x14ac:dyDescent="0.35">
      <c r="A312" t="str">
        <f t="shared" si="8"/>
        <v>04</v>
      </c>
      <c r="B312">
        <f>_xlfn.SWITCH(Table4[[#This Row],[month]],"jan",1,"feb",2,"mar",3,"apr",4,"may",5,"jun",6,"jul",7,"aug",8,"sep",9,"oct",10,"nov",11,"dec",12,"no month")</f>
        <v>5</v>
      </c>
      <c r="C312" s="12" t="str">
        <f>LEFT('All Transactions'!$E312,3)</f>
        <v>May</v>
      </c>
      <c r="D312" s="12" t="str">
        <f t="shared" si="9"/>
        <v>2026</v>
      </c>
      <c r="E312" s="16" t="s">
        <v>1082</v>
      </c>
      <c r="F312" s="17" t="s">
        <v>1124</v>
      </c>
      <c r="G312" s="18" t="s">
        <v>28</v>
      </c>
      <c r="H312" s="19">
        <v>50</v>
      </c>
      <c r="I312" s="20" t="s">
        <v>1125</v>
      </c>
      <c r="J312" s="20" t="s">
        <v>1126</v>
      </c>
      <c r="K312" s="21" t="s">
        <v>1127</v>
      </c>
      <c r="L312" s="20" t="s">
        <v>32</v>
      </c>
      <c r="M312" t="str">
        <f>TEXT(A312,"dddd")</f>
        <v>Wednesday</v>
      </c>
      <c r="N312" s="35">
        <f>DATE(Table4[[#This Row],[year]],Table4[[#This Row],[month2]],Table4[[#This Row],[day]])</f>
        <v>46146</v>
      </c>
    </row>
    <row r="313" spans="1:14" ht="16" x14ac:dyDescent="0.35">
      <c r="A313" t="str">
        <f t="shared" si="8"/>
        <v>03</v>
      </c>
      <c r="B313">
        <f>_xlfn.SWITCH(Table4[[#This Row],[month]],"jan",1,"feb",2,"mar",3,"apr",4,"may",5,"jun",6,"jul",7,"aug",8,"sep",9,"oct",10,"nov",11,"dec",12,"no month")</f>
        <v>5</v>
      </c>
      <c r="C313" s="12" t="str">
        <f>LEFT('All Transactions'!$E313,3)</f>
        <v>May</v>
      </c>
      <c r="D313" s="12" t="str">
        <f t="shared" si="9"/>
        <v>2026</v>
      </c>
      <c r="E313" s="22" t="s">
        <v>1128</v>
      </c>
      <c r="F313" s="23" t="s">
        <v>1129</v>
      </c>
      <c r="G313" s="18" t="s">
        <v>28</v>
      </c>
      <c r="H313" s="24">
        <v>187</v>
      </c>
      <c r="I313" s="25" t="s">
        <v>1130</v>
      </c>
      <c r="J313" s="25" t="s">
        <v>1131</v>
      </c>
      <c r="K313" s="26" t="s">
        <v>1132</v>
      </c>
      <c r="L313" s="25" t="s">
        <v>32</v>
      </c>
      <c r="M313" t="str">
        <f>TEXT(A313,"dddd")</f>
        <v>Tuesday</v>
      </c>
      <c r="N313" s="35">
        <f>DATE(Table4[[#This Row],[year]],Table4[[#This Row],[month2]],Table4[[#This Row],[day]])</f>
        <v>46145</v>
      </c>
    </row>
    <row r="314" spans="1:14" ht="16" x14ac:dyDescent="0.35">
      <c r="A314" t="str">
        <f t="shared" si="8"/>
        <v>03</v>
      </c>
      <c r="B314">
        <f>_xlfn.SWITCH(Table4[[#This Row],[month]],"jan",1,"feb",2,"mar",3,"apr",4,"may",5,"jun",6,"jul",7,"aug",8,"sep",9,"oct",10,"nov",11,"dec",12,"no month")</f>
        <v>5</v>
      </c>
      <c r="C314" s="12" t="str">
        <f>LEFT('All Transactions'!$E314,3)</f>
        <v>May</v>
      </c>
      <c r="D314" s="12" t="str">
        <f t="shared" si="9"/>
        <v>2026</v>
      </c>
      <c r="E314" s="16" t="s">
        <v>1128</v>
      </c>
      <c r="F314" s="17" t="s">
        <v>180</v>
      </c>
      <c r="G314" s="18" t="s">
        <v>28</v>
      </c>
      <c r="H314" s="19">
        <v>9</v>
      </c>
      <c r="I314" s="20" t="s">
        <v>1133</v>
      </c>
      <c r="J314" s="20" t="s">
        <v>1134</v>
      </c>
      <c r="K314" s="21" t="s">
        <v>1135</v>
      </c>
      <c r="L314" s="20" t="s">
        <v>32</v>
      </c>
      <c r="M314" t="str">
        <f>TEXT(A314,"dddd")</f>
        <v>Tuesday</v>
      </c>
      <c r="N314" s="35">
        <f>DATE(Table4[[#This Row],[year]],Table4[[#This Row],[month2]],Table4[[#This Row],[day]])</f>
        <v>46145</v>
      </c>
    </row>
    <row r="315" spans="1:14" ht="16" x14ac:dyDescent="0.35">
      <c r="A315" t="str">
        <f t="shared" si="8"/>
        <v>03</v>
      </c>
      <c r="B315">
        <f>_xlfn.SWITCH(Table4[[#This Row],[month]],"jan",1,"feb",2,"mar",3,"apr",4,"may",5,"jun",6,"jul",7,"aug",8,"sep",9,"oct",10,"nov",11,"dec",12,"no month")</f>
        <v>5</v>
      </c>
      <c r="C315" s="12" t="str">
        <f>LEFT('All Transactions'!$E315,3)</f>
        <v>May</v>
      </c>
      <c r="D315" s="12" t="str">
        <f t="shared" si="9"/>
        <v>2026</v>
      </c>
      <c r="E315" s="22" t="s">
        <v>1128</v>
      </c>
      <c r="F315" s="23" t="s">
        <v>678</v>
      </c>
      <c r="G315" s="18" t="s">
        <v>28</v>
      </c>
      <c r="H315" s="24">
        <v>163.98</v>
      </c>
      <c r="I315" s="25" t="s">
        <v>1133</v>
      </c>
      <c r="J315" s="25" t="s">
        <v>1136</v>
      </c>
      <c r="K315" s="26" t="s">
        <v>1137</v>
      </c>
      <c r="L315" s="25" t="s">
        <v>32</v>
      </c>
      <c r="M315" t="str">
        <f>TEXT(A315,"dddd")</f>
        <v>Tuesday</v>
      </c>
      <c r="N315" s="35">
        <f>DATE(Table4[[#This Row],[year]],Table4[[#This Row],[month2]],Table4[[#This Row],[day]])</f>
        <v>46145</v>
      </c>
    </row>
    <row r="316" spans="1:14" ht="16" x14ac:dyDescent="0.35">
      <c r="A316" t="str">
        <f t="shared" si="8"/>
        <v>03</v>
      </c>
      <c r="B316">
        <f>_xlfn.SWITCH(Table4[[#This Row],[month]],"jan",1,"feb",2,"mar",3,"apr",4,"may",5,"jun",6,"jul",7,"aug",8,"sep",9,"oct",10,"nov",11,"dec",12,"no month")</f>
        <v>5</v>
      </c>
      <c r="C316" s="12" t="str">
        <f>LEFT('All Transactions'!$E316,3)</f>
        <v>May</v>
      </c>
      <c r="D316" s="12" t="str">
        <f t="shared" si="9"/>
        <v>2026</v>
      </c>
      <c r="E316" s="16" t="s">
        <v>1128</v>
      </c>
      <c r="F316" s="17" t="s">
        <v>1138</v>
      </c>
      <c r="G316" s="18" t="s">
        <v>28</v>
      </c>
      <c r="H316" s="19">
        <v>60</v>
      </c>
      <c r="I316" s="20" t="s">
        <v>1139</v>
      </c>
      <c r="J316" s="20" t="s">
        <v>1140</v>
      </c>
      <c r="K316" s="21" t="s">
        <v>1141</v>
      </c>
      <c r="L316" s="20" t="s">
        <v>32</v>
      </c>
      <c r="M316" t="str">
        <f>TEXT(A316,"dddd")</f>
        <v>Tuesday</v>
      </c>
      <c r="N316" s="35">
        <f>DATE(Table4[[#This Row],[year]],Table4[[#This Row],[month2]],Table4[[#This Row],[day]])</f>
        <v>46145</v>
      </c>
    </row>
    <row r="317" spans="1:14" ht="16" x14ac:dyDescent="0.35">
      <c r="A317" t="str">
        <f t="shared" si="8"/>
        <v>03</v>
      </c>
      <c r="B317">
        <f>_xlfn.SWITCH(Table4[[#This Row],[month]],"jan",1,"feb",2,"mar",3,"apr",4,"may",5,"jun",6,"jul",7,"aug",8,"sep",9,"oct",10,"nov",11,"dec",12,"no month")</f>
        <v>5</v>
      </c>
      <c r="C317" s="12" t="str">
        <f>LEFT('All Transactions'!$E317,3)</f>
        <v>May</v>
      </c>
      <c r="D317" s="12" t="str">
        <f t="shared" si="9"/>
        <v>2026</v>
      </c>
      <c r="E317" s="22" t="s">
        <v>1128</v>
      </c>
      <c r="F317" s="23" t="s">
        <v>1142</v>
      </c>
      <c r="G317" s="18" t="s">
        <v>28</v>
      </c>
      <c r="H317" s="24">
        <v>1</v>
      </c>
      <c r="I317" s="25" t="s">
        <v>1139</v>
      </c>
      <c r="J317" s="25" t="s">
        <v>1143</v>
      </c>
      <c r="K317" s="26" t="s">
        <v>1144</v>
      </c>
      <c r="L317" s="25" t="s">
        <v>32</v>
      </c>
      <c r="M317" t="str">
        <f>TEXT(A317,"dddd")</f>
        <v>Tuesday</v>
      </c>
      <c r="N317" s="35">
        <f>DATE(Table4[[#This Row],[year]],Table4[[#This Row],[month2]],Table4[[#This Row],[day]])</f>
        <v>46145</v>
      </c>
    </row>
    <row r="318" spans="1:14" ht="16" x14ac:dyDescent="0.35">
      <c r="A318" t="str">
        <f t="shared" si="8"/>
        <v>03</v>
      </c>
      <c r="B318">
        <f>_xlfn.SWITCH(Table4[[#This Row],[month]],"jan",1,"feb",2,"mar",3,"apr",4,"may",5,"jun",6,"jul",7,"aug",8,"sep",9,"oct",10,"nov",11,"dec",12,"no month")</f>
        <v>5</v>
      </c>
      <c r="C318" s="12" t="str">
        <f>LEFT('All Transactions'!$E318,3)</f>
        <v>May</v>
      </c>
      <c r="D318" s="12" t="str">
        <f t="shared" si="9"/>
        <v>2026</v>
      </c>
      <c r="E318" s="16" t="s">
        <v>1128</v>
      </c>
      <c r="F318" s="17" t="s">
        <v>1145</v>
      </c>
      <c r="G318" s="18" t="s">
        <v>28</v>
      </c>
      <c r="H318" s="19">
        <v>270</v>
      </c>
      <c r="I318" s="20" t="s">
        <v>1139</v>
      </c>
      <c r="J318" s="20" t="s">
        <v>1146</v>
      </c>
      <c r="K318" s="21" t="s">
        <v>1147</v>
      </c>
      <c r="L318" s="20" t="s">
        <v>32</v>
      </c>
      <c r="M318" t="str">
        <f>TEXT(A318,"dddd")</f>
        <v>Tuesday</v>
      </c>
      <c r="N318" s="35">
        <f>DATE(Table4[[#This Row],[year]],Table4[[#This Row],[month2]],Table4[[#This Row],[day]])</f>
        <v>46145</v>
      </c>
    </row>
    <row r="319" spans="1:14" ht="16" x14ac:dyDescent="0.35">
      <c r="A319" t="str">
        <f t="shared" si="8"/>
        <v>03</v>
      </c>
      <c r="B319">
        <f>_xlfn.SWITCH(Table4[[#This Row],[month]],"jan",1,"feb",2,"mar",3,"apr",4,"may",5,"jun",6,"jul",7,"aug",8,"sep",9,"oct",10,"nov",11,"dec",12,"no month")</f>
        <v>5</v>
      </c>
      <c r="C319" s="12" t="str">
        <f>LEFT('All Transactions'!$E319,3)</f>
        <v>May</v>
      </c>
      <c r="D319" s="12" t="str">
        <f t="shared" si="9"/>
        <v>2026</v>
      </c>
      <c r="E319" s="22" t="s">
        <v>1128</v>
      </c>
      <c r="F319" s="23" t="s">
        <v>1148</v>
      </c>
      <c r="G319" s="18" t="s">
        <v>28</v>
      </c>
      <c r="H319" s="24">
        <v>9</v>
      </c>
      <c r="I319" s="25" t="s">
        <v>1133</v>
      </c>
      <c r="J319" s="25" t="s">
        <v>1149</v>
      </c>
      <c r="K319" s="26" t="s">
        <v>1150</v>
      </c>
      <c r="L319" s="25" t="s">
        <v>32</v>
      </c>
      <c r="M319" t="str">
        <f>TEXT(A319,"dddd")</f>
        <v>Tuesday</v>
      </c>
      <c r="N319" s="35">
        <f>DATE(Table4[[#This Row],[year]],Table4[[#This Row],[month2]],Table4[[#This Row],[day]])</f>
        <v>46145</v>
      </c>
    </row>
    <row r="320" spans="1:14" ht="16" x14ac:dyDescent="0.35">
      <c r="A320" t="str">
        <f t="shared" si="8"/>
        <v>03</v>
      </c>
      <c r="B320">
        <f>_xlfn.SWITCH(Table4[[#This Row],[month]],"jan",1,"feb",2,"mar",3,"apr",4,"may",5,"jun",6,"jul",7,"aug",8,"sep",9,"oct",10,"nov",11,"dec",12,"no month")</f>
        <v>5</v>
      </c>
      <c r="C320" s="12" t="str">
        <f>LEFT('All Transactions'!$E320,3)</f>
        <v>May</v>
      </c>
      <c r="D320" s="12" t="str">
        <f t="shared" si="9"/>
        <v>2026</v>
      </c>
      <c r="E320" s="16" t="s">
        <v>1128</v>
      </c>
      <c r="F320" s="17" t="s">
        <v>593</v>
      </c>
      <c r="G320" s="18" t="s">
        <v>28</v>
      </c>
      <c r="H320" s="19">
        <v>24</v>
      </c>
      <c r="I320" s="20" t="s">
        <v>1151</v>
      </c>
      <c r="J320" s="20" t="s">
        <v>1152</v>
      </c>
      <c r="K320" s="21" t="s">
        <v>1153</v>
      </c>
      <c r="L320" s="20" t="s">
        <v>32</v>
      </c>
      <c r="M320" t="str">
        <f>TEXT(A320,"dddd")</f>
        <v>Tuesday</v>
      </c>
      <c r="N320" s="35">
        <f>DATE(Table4[[#This Row],[year]],Table4[[#This Row],[month2]],Table4[[#This Row],[day]])</f>
        <v>46145</v>
      </c>
    </row>
    <row r="321" spans="1:14" ht="16" x14ac:dyDescent="0.35">
      <c r="A321" t="str">
        <f t="shared" si="8"/>
        <v>03</v>
      </c>
      <c r="B321">
        <f>_xlfn.SWITCH(Table4[[#This Row],[month]],"jan",1,"feb",2,"mar",3,"apr",4,"may",5,"jun",6,"jul",7,"aug",8,"sep",9,"oct",10,"nov",11,"dec",12,"no month")</f>
        <v>5</v>
      </c>
      <c r="C321" s="12" t="str">
        <f>LEFT('All Transactions'!$E321,3)</f>
        <v>May</v>
      </c>
      <c r="D321" s="12" t="str">
        <f t="shared" si="9"/>
        <v>2026</v>
      </c>
      <c r="E321" s="22" t="s">
        <v>1128</v>
      </c>
      <c r="F321" s="23" t="s">
        <v>1154</v>
      </c>
      <c r="G321" s="27" t="s">
        <v>54</v>
      </c>
      <c r="H321" s="24">
        <v>600</v>
      </c>
      <c r="I321" s="25" t="s">
        <v>143</v>
      </c>
      <c r="J321" s="25" t="s">
        <v>1155</v>
      </c>
      <c r="K321" s="26" t="s">
        <v>1156</v>
      </c>
      <c r="L321" s="25" t="s">
        <v>58</v>
      </c>
      <c r="M321" t="str">
        <f>TEXT(A321,"dddd")</f>
        <v>Tuesday</v>
      </c>
      <c r="N321" s="35">
        <f>DATE(Table4[[#This Row],[year]],Table4[[#This Row],[month2]],Table4[[#This Row],[day]])</f>
        <v>46145</v>
      </c>
    </row>
    <row r="322" spans="1:14" ht="16" x14ac:dyDescent="0.35">
      <c r="A322" t="str">
        <f t="shared" si="8"/>
        <v>03</v>
      </c>
      <c r="B322">
        <f>_xlfn.SWITCH(Table4[[#This Row],[month]],"jan",1,"feb",2,"mar",3,"apr",4,"may",5,"jun",6,"jul",7,"aug",8,"sep",9,"oct",10,"nov",11,"dec",12,"no month")</f>
        <v>5</v>
      </c>
      <c r="C322" s="12" t="str">
        <f>LEFT('All Transactions'!$E322,3)</f>
        <v>May</v>
      </c>
      <c r="D322" s="12" t="str">
        <f t="shared" si="9"/>
        <v>2026</v>
      </c>
      <c r="E322" s="16" t="s">
        <v>1128</v>
      </c>
      <c r="F322" s="17" t="s">
        <v>1157</v>
      </c>
      <c r="G322" s="18" t="s">
        <v>28</v>
      </c>
      <c r="H322" s="19">
        <v>4597</v>
      </c>
      <c r="I322" s="20" t="s">
        <v>84</v>
      </c>
      <c r="J322" s="20" t="s">
        <v>1158</v>
      </c>
      <c r="K322" s="21" t="s">
        <v>1159</v>
      </c>
      <c r="L322" s="20" t="s">
        <v>32</v>
      </c>
      <c r="M322" t="str">
        <f>TEXT(A322,"dddd")</f>
        <v>Tuesday</v>
      </c>
      <c r="N322" s="35">
        <f>DATE(Table4[[#This Row],[year]],Table4[[#This Row],[month2]],Table4[[#This Row],[day]])</f>
        <v>46145</v>
      </c>
    </row>
    <row r="323" spans="1:14" ht="16" x14ac:dyDescent="0.35">
      <c r="A323" t="str">
        <f t="shared" ref="A323:A386" si="10">MID(E323,5,2)</f>
        <v>02</v>
      </c>
      <c r="B323">
        <f>_xlfn.SWITCH(Table4[[#This Row],[month]],"jan",1,"feb",2,"mar",3,"apr",4,"may",5,"jun",6,"jul",7,"aug",8,"sep",9,"oct",10,"nov",11,"dec",12,"no month")</f>
        <v>5</v>
      </c>
      <c r="C323" s="12" t="str">
        <f>LEFT('All Transactions'!$E323,3)</f>
        <v>May</v>
      </c>
      <c r="D323" s="12" t="str">
        <f t="shared" ref="D323:D386" si="11">RIGHT(E323,4)</f>
        <v>2026</v>
      </c>
      <c r="E323" s="22" t="s">
        <v>1160</v>
      </c>
      <c r="F323" s="23" t="s">
        <v>1161</v>
      </c>
      <c r="G323" s="27" t="s">
        <v>54</v>
      </c>
      <c r="H323" s="24">
        <v>5000</v>
      </c>
      <c r="I323" s="25" t="s">
        <v>143</v>
      </c>
      <c r="J323" s="25" t="s">
        <v>1162</v>
      </c>
      <c r="K323" s="26" t="s">
        <v>1163</v>
      </c>
      <c r="L323" s="25" t="s">
        <v>58</v>
      </c>
      <c r="M323" t="str">
        <f>TEXT(A323,"dddd")</f>
        <v>Monday</v>
      </c>
      <c r="N323" s="35">
        <f>DATE(Table4[[#This Row],[year]],Table4[[#This Row],[month2]],Table4[[#This Row],[day]])</f>
        <v>46144</v>
      </c>
    </row>
    <row r="324" spans="1:14" ht="16" x14ac:dyDescent="0.35">
      <c r="A324" t="str">
        <f t="shared" si="10"/>
        <v>02</v>
      </c>
      <c r="B324">
        <f>_xlfn.SWITCH(Table4[[#This Row],[month]],"jan",1,"feb",2,"mar",3,"apr",4,"may",5,"jun",6,"jul",7,"aug",8,"sep",9,"oct",10,"nov",11,"dec",12,"no month")</f>
        <v>5</v>
      </c>
      <c r="C324" s="12" t="str">
        <f>LEFT('All Transactions'!$E324,3)</f>
        <v>May</v>
      </c>
      <c r="D324" s="12" t="str">
        <f t="shared" si="11"/>
        <v>2026</v>
      </c>
      <c r="E324" s="16" t="s">
        <v>1160</v>
      </c>
      <c r="F324" s="17" t="s">
        <v>1164</v>
      </c>
      <c r="G324" s="18" t="s">
        <v>28</v>
      </c>
      <c r="H324" s="19">
        <v>10</v>
      </c>
      <c r="I324" s="20" t="s">
        <v>1165</v>
      </c>
      <c r="J324" s="20" t="s">
        <v>1166</v>
      </c>
      <c r="K324" s="21" t="s">
        <v>1167</v>
      </c>
      <c r="L324" s="20" t="s">
        <v>32</v>
      </c>
      <c r="M324" t="str">
        <f>TEXT(A324,"dddd")</f>
        <v>Monday</v>
      </c>
      <c r="N324" s="35">
        <f>DATE(Table4[[#This Row],[year]],Table4[[#This Row],[month2]],Table4[[#This Row],[day]])</f>
        <v>46144</v>
      </c>
    </row>
    <row r="325" spans="1:14" ht="16" x14ac:dyDescent="0.35">
      <c r="A325" t="str">
        <f t="shared" si="10"/>
        <v>02</v>
      </c>
      <c r="B325">
        <f>_xlfn.SWITCH(Table4[[#This Row],[month]],"jan",1,"feb",2,"mar",3,"apr",4,"may",5,"jun",6,"jul",7,"aug",8,"sep",9,"oct",10,"nov",11,"dec",12,"no month")</f>
        <v>5</v>
      </c>
      <c r="C325" s="12" t="str">
        <f>LEFT('All Transactions'!$E325,3)</f>
        <v>May</v>
      </c>
      <c r="D325" s="12" t="str">
        <f t="shared" si="11"/>
        <v>2026</v>
      </c>
      <c r="E325" s="22" t="s">
        <v>1160</v>
      </c>
      <c r="F325" s="23" t="s">
        <v>1168</v>
      </c>
      <c r="G325" s="18" t="s">
        <v>28</v>
      </c>
      <c r="H325" s="24">
        <v>30</v>
      </c>
      <c r="I325" s="25" t="s">
        <v>1165</v>
      </c>
      <c r="J325" s="25" t="s">
        <v>1169</v>
      </c>
      <c r="K325" s="26" t="s">
        <v>1170</v>
      </c>
      <c r="L325" s="25" t="s">
        <v>32</v>
      </c>
      <c r="M325" t="str">
        <f>TEXT(A325,"dddd")</f>
        <v>Monday</v>
      </c>
      <c r="N325" s="35">
        <f>DATE(Table4[[#This Row],[year]],Table4[[#This Row],[month2]],Table4[[#This Row],[day]])</f>
        <v>46144</v>
      </c>
    </row>
    <row r="326" spans="1:14" ht="16" x14ac:dyDescent="0.35">
      <c r="A326" t="str">
        <f t="shared" si="10"/>
        <v>01</v>
      </c>
      <c r="B326">
        <f>_xlfn.SWITCH(Table4[[#This Row],[month]],"jan",1,"feb",2,"mar",3,"apr",4,"may",5,"jun",6,"jul",7,"aug",8,"sep",9,"oct",10,"nov",11,"dec",12,"no month")</f>
        <v>5</v>
      </c>
      <c r="C326" s="12" t="str">
        <f>LEFT('All Transactions'!$E326,3)</f>
        <v>May</v>
      </c>
      <c r="D326" s="12" t="str">
        <f t="shared" si="11"/>
        <v>2026</v>
      </c>
      <c r="E326" s="16" t="s">
        <v>1171</v>
      </c>
      <c r="F326" s="17" t="s">
        <v>1172</v>
      </c>
      <c r="G326" s="18" t="s">
        <v>28</v>
      </c>
      <c r="H326" s="19">
        <v>70</v>
      </c>
      <c r="I326" s="20" t="s">
        <v>1173</v>
      </c>
      <c r="J326" s="20" t="s">
        <v>1174</v>
      </c>
      <c r="K326" s="21" t="s">
        <v>1175</v>
      </c>
      <c r="L326" s="20" t="s">
        <v>32</v>
      </c>
      <c r="M326" t="str">
        <f>TEXT(A326,"dddd")</f>
        <v>Sunday</v>
      </c>
      <c r="N326" s="35">
        <f>DATE(Table4[[#This Row],[year]],Table4[[#This Row],[month2]],Table4[[#This Row],[day]])</f>
        <v>46143</v>
      </c>
    </row>
    <row r="327" spans="1:14" ht="16" x14ac:dyDescent="0.35">
      <c r="A327" t="str">
        <f t="shared" si="10"/>
        <v>01</v>
      </c>
      <c r="B327">
        <f>_xlfn.SWITCH(Table4[[#This Row],[month]],"jan",1,"feb",2,"mar",3,"apr",4,"may",5,"jun",6,"jul",7,"aug",8,"sep",9,"oct",10,"nov",11,"dec",12,"no month")</f>
        <v>5</v>
      </c>
      <c r="C327" s="12" t="str">
        <f>LEFT('All Transactions'!$E327,3)</f>
        <v>May</v>
      </c>
      <c r="D327" s="12" t="str">
        <f t="shared" si="11"/>
        <v>2026</v>
      </c>
      <c r="E327" s="22" t="s">
        <v>1171</v>
      </c>
      <c r="F327" s="23" t="s">
        <v>1176</v>
      </c>
      <c r="G327" s="18" t="s">
        <v>28</v>
      </c>
      <c r="H327" s="24">
        <v>135</v>
      </c>
      <c r="I327" s="25" t="s">
        <v>1165</v>
      </c>
      <c r="J327" s="25" t="s">
        <v>1177</v>
      </c>
      <c r="K327" s="26" t="s">
        <v>1178</v>
      </c>
      <c r="L327" s="25" t="s">
        <v>32</v>
      </c>
      <c r="M327" t="str">
        <f>TEXT(A327,"dddd")</f>
        <v>Sunday</v>
      </c>
      <c r="N327" s="35">
        <f>DATE(Table4[[#This Row],[year]],Table4[[#This Row],[month2]],Table4[[#This Row],[day]])</f>
        <v>46143</v>
      </c>
    </row>
    <row r="328" spans="1:14" ht="16" x14ac:dyDescent="0.35">
      <c r="A328" t="str">
        <f t="shared" si="10"/>
        <v>01</v>
      </c>
      <c r="B328">
        <f>_xlfn.SWITCH(Table4[[#This Row],[month]],"jan",1,"feb",2,"mar",3,"apr",4,"may",5,"jun",6,"jul",7,"aug",8,"sep",9,"oct",10,"nov",11,"dec",12,"no month")</f>
        <v>5</v>
      </c>
      <c r="C328" s="12" t="str">
        <f>LEFT('All Transactions'!$E328,3)</f>
        <v>May</v>
      </c>
      <c r="D328" s="12" t="str">
        <f t="shared" si="11"/>
        <v>2026</v>
      </c>
      <c r="E328" s="16" t="s">
        <v>1171</v>
      </c>
      <c r="F328" s="17" t="s">
        <v>1179</v>
      </c>
      <c r="G328" s="18" t="s">
        <v>28</v>
      </c>
      <c r="H328" s="19">
        <v>115</v>
      </c>
      <c r="I328" s="20" t="s">
        <v>1180</v>
      </c>
      <c r="J328" s="20" t="s">
        <v>1181</v>
      </c>
      <c r="K328" s="21" t="s">
        <v>1182</v>
      </c>
      <c r="L328" s="20" t="s">
        <v>32</v>
      </c>
      <c r="M328" t="str">
        <f>TEXT(A328,"dddd")</f>
        <v>Sunday</v>
      </c>
      <c r="N328" s="35">
        <f>DATE(Table4[[#This Row],[year]],Table4[[#This Row],[month2]],Table4[[#This Row],[day]])</f>
        <v>46143</v>
      </c>
    </row>
    <row r="329" spans="1:14" ht="16" x14ac:dyDescent="0.35">
      <c r="A329" t="str">
        <f t="shared" si="10"/>
        <v>30</v>
      </c>
      <c r="B329">
        <f>_xlfn.SWITCH(Table4[[#This Row],[month]],"jan",1,"feb",2,"mar",3,"apr",4,"may",5,"jun",6,"jul",7,"aug",8,"sep",9,"oct",10,"nov",11,"dec",12,"no month")</f>
        <v>4</v>
      </c>
      <c r="C329" s="12" t="str">
        <f>LEFT('All Transactions'!$E329,3)</f>
        <v>Apr</v>
      </c>
      <c r="D329" s="12" t="str">
        <f t="shared" si="11"/>
        <v>2026</v>
      </c>
      <c r="E329" s="22" t="s">
        <v>1183</v>
      </c>
      <c r="F329" s="23" t="s">
        <v>932</v>
      </c>
      <c r="G329" s="18" t="s">
        <v>28</v>
      </c>
      <c r="H329" s="24">
        <v>20</v>
      </c>
      <c r="I329" s="25" t="s">
        <v>1165</v>
      </c>
      <c r="J329" s="25" t="s">
        <v>1184</v>
      </c>
      <c r="K329" s="26" t="s">
        <v>1185</v>
      </c>
      <c r="L329" s="25" t="s">
        <v>32</v>
      </c>
      <c r="M329" t="str">
        <f>TEXT(A329,"dddd")</f>
        <v>Monday</v>
      </c>
      <c r="N329" s="35">
        <f>DATE(Table4[[#This Row],[year]],Table4[[#This Row],[month2]],Table4[[#This Row],[day]])</f>
        <v>46142</v>
      </c>
    </row>
    <row r="330" spans="1:14" ht="16" x14ac:dyDescent="0.35">
      <c r="A330" t="str">
        <f t="shared" si="10"/>
        <v>30</v>
      </c>
      <c r="B330">
        <f>_xlfn.SWITCH(Table4[[#This Row],[month]],"jan",1,"feb",2,"mar",3,"apr",4,"may",5,"jun",6,"jul",7,"aug",8,"sep",9,"oct",10,"nov",11,"dec",12,"no month")</f>
        <v>4</v>
      </c>
      <c r="C330" s="12" t="str">
        <f>LEFT('All Transactions'!$E330,3)</f>
        <v>Apr</v>
      </c>
      <c r="D330" s="12" t="str">
        <f t="shared" si="11"/>
        <v>2026</v>
      </c>
      <c r="E330" s="16" t="s">
        <v>1183</v>
      </c>
      <c r="F330" s="17" t="s">
        <v>108</v>
      </c>
      <c r="G330" s="18" t="s">
        <v>28</v>
      </c>
      <c r="H330" s="19">
        <v>60</v>
      </c>
      <c r="I330" s="20" t="s">
        <v>1186</v>
      </c>
      <c r="J330" s="20" t="s">
        <v>1187</v>
      </c>
      <c r="K330" s="21" t="s">
        <v>1188</v>
      </c>
      <c r="L330" s="20" t="s">
        <v>32</v>
      </c>
      <c r="M330" t="str">
        <f>TEXT(A330,"dddd")</f>
        <v>Monday</v>
      </c>
      <c r="N330" s="35">
        <f>DATE(Table4[[#This Row],[year]],Table4[[#This Row],[month2]],Table4[[#This Row],[day]])</f>
        <v>46142</v>
      </c>
    </row>
    <row r="331" spans="1:14" ht="16" x14ac:dyDescent="0.35">
      <c r="A331" t="str">
        <f t="shared" si="10"/>
        <v>30</v>
      </c>
      <c r="B331">
        <f>_xlfn.SWITCH(Table4[[#This Row],[month]],"jan",1,"feb",2,"mar",3,"apr",4,"may",5,"jun",6,"jul",7,"aug",8,"sep",9,"oct",10,"nov",11,"dec",12,"no month")</f>
        <v>4</v>
      </c>
      <c r="C331" s="12" t="str">
        <f>LEFT('All Transactions'!$E331,3)</f>
        <v>Apr</v>
      </c>
      <c r="D331" s="12" t="str">
        <f t="shared" si="11"/>
        <v>2026</v>
      </c>
      <c r="E331" s="22" t="s">
        <v>1183</v>
      </c>
      <c r="F331" s="23" t="s">
        <v>1189</v>
      </c>
      <c r="G331" s="27" t="s">
        <v>54</v>
      </c>
      <c r="H331" s="24">
        <v>2000</v>
      </c>
      <c r="I331" s="25" t="s">
        <v>156</v>
      </c>
      <c r="J331" s="25" t="s">
        <v>1190</v>
      </c>
      <c r="K331" s="26" t="s">
        <v>1191</v>
      </c>
      <c r="L331" s="25" t="s">
        <v>58</v>
      </c>
      <c r="M331" t="str">
        <f>TEXT(A331,"dddd")</f>
        <v>Monday</v>
      </c>
      <c r="N331" s="35">
        <f>DATE(Table4[[#This Row],[year]],Table4[[#This Row],[month2]],Table4[[#This Row],[day]])</f>
        <v>46142</v>
      </c>
    </row>
    <row r="332" spans="1:14" ht="16" x14ac:dyDescent="0.35">
      <c r="A332" t="str">
        <f t="shared" si="10"/>
        <v>30</v>
      </c>
      <c r="B332">
        <f>_xlfn.SWITCH(Table4[[#This Row],[month]],"jan",1,"feb",2,"mar",3,"apr",4,"may",5,"jun",6,"jul",7,"aug",8,"sep",9,"oct",10,"nov",11,"dec",12,"no month")</f>
        <v>4</v>
      </c>
      <c r="C332" s="12" t="str">
        <f>LEFT('All Transactions'!$E332,3)</f>
        <v>Apr</v>
      </c>
      <c r="D332" s="12" t="str">
        <f t="shared" si="11"/>
        <v>2026</v>
      </c>
      <c r="E332" s="16" t="s">
        <v>1183</v>
      </c>
      <c r="F332" s="17" t="s">
        <v>1145</v>
      </c>
      <c r="G332" s="18" t="s">
        <v>28</v>
      </c>
      <c r="H332" s="19">
        <v>93</v>
      </c>
      <c r="I332" s="20" t="s">
        <v>1130</v>
      </c>
      <c r="J332" s="20" t="s">
        <v>1192</v>
      </c>
      <c r="K332" s="21" t="s">
        <v>1193</v>
      </c>
      <c r="L332" s="20" t="s">
        <v>32</v>
      </c>
      <c r="M332" t="str">
        <f>TEXT(A332,"dddd")</f>
        <v>Monday</v>
      </c>
      <c r="N332" s="35">
        <f>DATE(Table4[[#This Row],[year]],Table4[[#This Row],[month2]],Table4[[#This Row],[day]])</f>
        <v>46142</v>
      </c>
    </row>
    <row r="333" spans="1:14" ht="16" x14ac:dyDescent="0.35">
      <c r="A333" t="str">
        <f t="shared" si="10"/>
        <v>30</v>
      </c>
      <c r="B333">
        <f>_xlfn.SWITCH(Table4[[#This Row],[month]],"jan",1,"feb",2,"mar",3,"apr",4,"may",5,"jun",6,"jul",7,"aug",8,"sep",9,"oct",10,"nov",11,"dec",12,"no month")</f>
        <v>4</v>
      </c>
      <c r="C333" s="12" t="str">
        <f>LEFT('All Transactions'!$E333,3)</f>
        <v>Apr</v>
      </c>
      <c r="D333" s="12" t="str">
        <f t="shared" si="11"/>
        <v>2026</v>
      </c>
      <c r="E333" s="22" t="s">
        <v>1183</v>
      </c>
      <c r="F333" s="23" t="s">
        <v>1194</v>
      </c>
      <c r="G333" s="18" t="s">
        <v>28</v>
      </c>
      <c r="H333" s="24">
        <v>2000</v>
      </c>
      <c r="I333" s="25" t="s">
        <v>1195</v>
      </c>
      <c r="J333" s="25" t="s">
        <v>1196</v>
      </c>
      <c r="K333" s="26" t="s">
        <v>1197</v>
      </c>
      <c r="L333" s="25" t="s">
        <v>32</v>
      </c>
      <c r="M333" t="str">
        <f>TEXT(A333,"dddd")</f>
        <v>Monday</v>
      </c>
      <c r="N333" s="35">
        <f>DATE(Table4[[#This Row],[year]],Table4[[#This Row],[month2]],Table4[[#This Row],[day]])</f>
        <v>46142</v>
      </c>
    </row>
    <row r="334" spans="1:14" ht="16" x14ac:dyDescent="0.35">
      <c r="A334" t="str">
        <f t="shared" si="10"/>
        <v>30</v>
      </c>
      <c r="B334">
        <f>_xlfn.SWITCH(Table4[[#This Row],[month]],"jan",1,"feb",2,"mar",3,"apr",4,"may",5,"jun",6,"jul",7,"aug",8,"sep",9,"oct",10,"nov",11,"dec",12,"no month")</f>
        <v>4</v>
      </c>
      <c r="C334" s="12" t="str">
        <f>LEFT('All Transactions'!$E334,3)</f>
        <v>Apr</v>
      </c>
      <c r="D334" s="12" t="str">
        <f t="shared" si="11"/>
        <v>2026</v>
      </c>
      <c r="E334" s="16" t="s">
        <v>1183</v>
      </c>
      <c r="F334" s="17" t="s">
        <v>1198</v>
      </c>
      <c r="G334" s="18" t="s">
        <v>28</v>
      </c>
      <c r="H334" s="19">
        <v>510</v>
      </c>
      <c r="I334" s="20" t="s">
        <v>1199</v>
      </c>
      <c r="J334" s="20" t="s">
        <v>1200</v>
      </c>
      <c r="K334" s="21" t="s">
        <v>1201</v>
      </c>
      <c r="L334" s="20" t="s">
        <v>32</v>
      </c>
      <c r="M334" t="str">
        <f>TEXT(A334,"dddd")</f>
        <v>Monday</v>
      </c>
      <c r="N334" s="35">
        <f>DATE(Table4[[#This Row],[year]],Table4[[#This Row],[month2]],Table4[[#This Row],[day]])</f>
        <v>46142</v>
      </c>
    </row>
    <row r="335" spans="1:14" ht="16" x14ac:dyDescent="0.35">
      <c r="A335" t="str">
        <f t="shared" si="10"/>
        <v>29</v>
      </c>
      <c r="B335">
        <f>_xlfn.SWITCH(Table4[[#This Row],[month]],"jan",1,"feb",2,"mar",3,"apr",4,"may",5,"jun",6,"jul",7,"aug",8,"sep",9,"oct",10,"nov",11,"dec",12,"no month")</f>
        <v>4</v>
      </c>
      <c r="C335" s="12" t="str">
        <f>LEFT('All Transactions'!$E335,3)</f>
        <v>Apr</v>
      </c>
      <c r="D335" s="12" t="str">
        <f t="shared" si="11"/>
        <v>2026</v>
      </c>
      <c r="E335" s="22" t="s">
        <v>1202</v>
      </c>
      <c r="F335" s="23" t="s">
        <v>1203</v>
      </c>
      <c r="G335" s="18" t="s">
        <v>28</v>
      </c>
      <c r="H335" s="24">
        <v>126</v>
      </c>
      <c r="I335" s="25" t="s">
        <v>1204</v>
      </c>
      <c r="J335" s="25" t="s">
        <v>1205</v>
      </c>
      <c r="K335" s="26" t="s">
        <v>1206</v>
      </c>
      <c r="L335" s="25" t="s">
        <v>32</v>
      </c>
      <c r="M335" t="str">
        <f>TEXT(A335,"dddd")</f>
        <v>Sunday</v>
      </c>
      <c r="N335" s="35">
        <f>DATE(Table4[[#This Row],[year]],Table4[[#This Row],[month2]],Table4[[#This Row],[day]])</f>
        <v>46141</v>
      </c>
    </row>
    <row r="336" spans="1:14" ht="16" x14ac:dyDescent="0.35">
      <c r="A336" t="str">
        <f t="shared" si="10"/>
        <v>29</v>
      </c>
      <c r="B336">
        <f>_xlfn.SWITCH(Table4[[#This Row],[month]],"jan",1,"feb",2,"mar",3,"apr",4,"may",5,"jun",6,"jul",7,"aug",8,"sep",9,"oct",10,"nov",11,"dec",12,"no month")</f>
        <v>4</v>
      </c>
      <c r="C336" s="12" t="str">
        <f>LEFT('All Transactions'!$E336,3)</f>
        <v>Apr</v>
      </c>
      <c r="D336" s="12" t="str">
        <f t="shared" si="11"/>
        <v>2026</v>
      </c>
      <c r="E336" s="16" t="s">
        <v>1202</v>
      </c>
      <c r="F336" s="17" t="s">
        <v>561</v>
      </c>
      <c r="G336" s="18" t="s">
        <v>28</v>
      </c>
      <c r="H336" s="19">
        <v>314</v>
      </c>
      <c r="I336" s="20" t="s">
        <v>1207</v>
      </c>
      <c r="J336" s="20" t="s">
        <v>1208</v>
      </c>
      <c r="K336" s="21" t="s">
        <v>1209</v>
      </c>
      <c r="L336" s="20" t="s">
        <v>32</v>
      </c>
      <c r="M336" t="str">
        <f>TEXT(A336,"dddd")</f>
        <v>Sunday</v>
      </c>
      <c r="N336" s="35">
        <f>DATE(Table4[[#This Row],[year]],Table4[[#This Row],[month2]],Table4[[#This Row],[day]])</f>
        <v>46141</v>
      </c>
    </row>
    <row r="337" spans="1:14" ht="16" x14ac:dyDescent="0.35">
      <c r="A337" t="str">
        <f t="shared" si="10"/>
        <v>29</v>
      </c>
      <c r="B337">
        <f>_xlfn.SWITCH(Table4[[#This Row],[month]],"jan",1,"feb",2,"mar",3,"apr",4,"may",5,"jun",6,"jul",7,"aug",8,"sep",9,"oct",10,"nov",11,"dec",12,"no month")</f>
        <v>4</v>
      </c>
      <c r="C337" s="12" t="str">
        <f>LEFT('All Transactions'!$E337,3)</f>
        <v>Apr</v>
      </c>
      <c r="D337" s="12" t="str">
        <f t="shared" si="11"/>
        <v>2026</v>
      </c>
      <c r="E337" s="22" t="s">
        <v>1202</v>
      </c>
      <c r="F337" s="23" t="s">
        <v>1210</v>
      </c>
      <c r="G337" s="18" t="s">
        <v>28</v>
      </c>
      <c r="H337" s="24">
        <v>124.2</v>
      </c>
      <c r="I337" s="25" t="s">
        <v>1133</v>
      </c>
      <c r="J337" s="25" t="s">
        <v>1211</v>
      </c>
      <c r="K337" s="26" t="s">
        <v>1212</v>
      </c>
      <c r="L337" s="25" t="s">
        <v>32</v>
      </c>
      <c r="M337" t="str">
        <f>TEXT(A337,"dddd")</f>
        <v>Sunday</v>
      </c>
      <c r="N337" s="35">
        <f>DATE(Table4[[#This Row],[year]],Table4[[#This Row],[month2]],Table4[[#This Row],[day]])</f>
        <v>46141</v>
      </c>
    </row>
    <row r="338" spans="1:14" ht="16" x14ac:dyDescent="0.35">
      <c r="A338" t="str">
        <f t="shared" si="10"/>
        <v>29</v>
      </c>
      <c r="B338">
        <f>_xlfn.SWITCH(Table4[[#This Row],[month]],"jan",1,"feb",2,"mar",3,"apr",4,"may",5,"jun",6,"jul",7,"aug",8,"sep",9,"oct",10,"nov",11,"dec",12,"no month")</f>
        <v>4</v>
      </c>
      <c r="C338" s="12" t="str">
        <f>LEFT('All Transactions'!$E338,3)</f>
        <v>Apr</v>
      </c>
      <c r="D338" s="12" t="str">
        <f t="shared" si="11"/>
        <v>2026</v>
      </c>
      <c r="E338" s="16" t="s">
        <v>1202</v>
      </c>
      <c r="F338" s="17" t="s">
        <v>1213</v>
      </c>
      <c r="G338" s="18" t="s">
        <v>28</v>
      </c>
      <c r="H338" s="19">
        <v>109</v>
      </c>
      <c r="I338" s="20" t="s">
        <v>1214</v>
      </c>
      <c r="J338" s="20" t="s">
        <v>1215</v>
      </c>
      <c r="K338" s="21" t="s">
        <v>1216</v>
      </c>
      <c r="L338" s="20" t="s">
        <v>32</v>
      </c>
      <c r="M338" t="str">
        <f>TEXT(A338,"dddd")</f>
        <v>Sunday</v>
      </c>
      <c r="N338" s="35">
        <f>DATE(Table4[[#This Row],[year]],Table4[[#This Row],[month2]],Table4[[#This Row],[day]])</f>
        <v>46141</v>
      </c>
    </row>
    <row r="339" spans="1:14" ht="16" x14ac:dyDescent="0.35">
      <c r="A339" t="str">
        <f t="shared" si="10"/>
        <v>29</v>
      </c>
      <c r="B339">
        <f>_xlfn.SWITCH(Table4[[#This Row],[month]],"jan",1,"feb",2,"mar",3,"apr",4,"may",5,"jun",6,"jul",7,"aug",8,"sep",9,"oct",10,"nov",11,"dec",12,"no month")</f>
        <v>4</v>
      </c>
      <c r="C339" s="12" t="str">
        <f>LEFT('All Transactions'!$E339,3)</f>
        <v>Apr</v>
      </c>
      <c r="D339" s="12" t="str">
        <f t="shared" si="11"/>
        <v>2026</v>
      </c>
      <c r="E339" s="22" t="s">
        <v>1202</v>
      </c>
      <c r="F339" s="23" t="s">
        <v>1217</v>
      </c>
      <c r="G339" s="18" t="s">
        <v>28</v>
      </c>
      <c r="H339" s="24">
        <v>89</v>
      </c>
      <c r="I339" s="25" t="s">
        <v>1218</v>
      </c>
      <c r="J339" s="25" t="s">
        <v>1219</v>
      </c>
      <c r="K339" s="26" t="s">
        <v>1220</v>
      </c>
      <c r="L339" s="25" t="s">
        <v>32</v>
      </c>
      <c r="M339" t="str">
        <f>TEXT(A339,"dddd")</f>
        <v>Sunday</v>
      </c>
      <c r="N339" s="35">
        <f>DATE(Table4[[#This Row],[year]],Table4[[#This Row],[month2]],Table4[[#This Row],[day]])</f>
        <v>46141</v>
      </c>
    </row>
    <row r="340" spans="1:14" ht="16" x14ac:dyDescent="0.35">
      <c r="A340" t="str">
        <f t="shared" si="10"/>
        <v>29</v>
      </c>
      <c r="B340">
        <f>_xlfn.SWITCH(Table4[[#This Row],[month]],"jan",1,"feb",2,"mar",3,"apr",4,"may",5,"jun",6,"jul",7,"aug",8,"sep",9,"oct",10,"nov",11,"dec",12,"no month")</f>
        <v>4</v>
      </c>
      <c r="C340" s="12" t="str">
        <f>LEFT('All Transactions'!$E340,3)</f>
        <v>Apr</v>
      </c>
      <c r="D340" s="12" t="str">
        <f t="shared" si="11"/>
        <v>2026</v>
      </c>
      <c r="E340" s="16" t="s">
        <v>1202</v>
      </c>
      <c r="F340" s="17" t="s">
        <v>1221</v>
      </c>
      <c r="G340" s="18" t="s">
        <v>28</v>
      </c>
      <c r="H340" s="19">
        <v>40</v>
      </c>
      <c r="I340" s="20" t="s">
        <v>1222</v>
      </c>
      <c r="J340" s="20" t="s">
        <v>1223</v>
      </c>
      <c r="K340" s="21" t="s">
        <v>1224</v>
      </c>
      <c r="L340" s="20" t="s">
        <v>32</v>
      </c>
      <c r="M340" t="str">
        <f>TEXT(A340,"dddd")</f>
        <v>Sunday</v>
      </c>
      <c r="N340" s="35">
        <f>DATE(Table4[[#This Row],[year]],Table4[[#This Row],[month2]],Table4[[#This Row],[day]])</f>
        <v>46141</v>
      </c>
    </row>
    <row r="341" spans="1:14" ht="16" x14ac:dyDescent="0.35">
      <c r="A341" t="str">
        <f t="shared" si="10"/>
        <v>29</v>
      </c>
      <c r="B341">
        <f>_xlfn.SWITCH(Table4[[#This Row],[month]],"jan",1,"feb",2,"mar",3,"apr",4,"may",5,"jun",6,"jul",7,"aug",8,"sep",9,"oct",10,"nov",11,"dec",12,"no month")</f>
        <v>4</v>
      </c>
      <c r="C341" s="12" t="str">
        <f>LEFT('All Transactions'!$E341,3)</f>
        <v>Apr</v>
      </c>
      <c r="D341" s="12" t="str">
        <f t="shared" si="11"/>
        <v>2026</v>
      </c>
      <c r="E341" s="22" t="s">
        <v>1202</v>
      </c>
      <c r="F341" s="23" t="s">
        <v>1225</v>
      </c>
      <c r="G341" s="18" t="s">
        <v>28</v>
      </c>
      <c r="H341" s="24">
        <v>24</v>
      </c>
      <c r="I341" s="25" t="s">
        <v>1226</v>
      </c>
      <c r="J341" s="25" t="s">
        <v>1227</v>
      </c>
      <c r="K341" s="26" t="s">
        <v>1228</v>
      </c>
      <c r="L341" s="25" t="s">
        <v>32</v>
      </c>
      <c r="M341" t="str">
        <f>TEXT(A341,"dddd")</f>
        <v>Sunday</v>
      </c>
      <c r="N341" s="35">
        <f>DATE(Table4[[#This Row],[year]],Table4[[#This Row],[month2]],Table4[[#This Row],[day]])</f>
        <v>46141</v>
      </c>
    </row>
    <row r="342" spans="1:14" ht="16" x14ac:dyDescent="0.35">
      <c r="A342" t="str">
        <f t="shared" si="10"/>
        <v>29</v>
      </c>
      <c r="B342">
        <f>_xlfn.SWITCH(Table4[[#This Row],[month]],"jan",1,"feb",2,"mar",3,"apr",4,"may",5,"jun",6,"jul",7,"aug",8,"sep",9,"oct",10,"nov",11,"dec",12,"no month")</f>
        <v>4</v>
      </c>
      <c r="C342" s="12" t="str">
        <f>LEFT('All Transactions'!$E342,3)</f>
        <v>Apr</v>
      </c>
      <c r="D342" s="12" t="str">
        <f t="shared" si="11"/>
        <v>2026</v>
      </c>
      <c r="E342" s="16" t="s">
        <v>1202</v>
      </c>
      <c r="F342" s="17" t="s">
        <v>1229</v>
      </c>
      <c r="G342" s="27" t="s">
        <v>54</v>
      </c>
      <c r="H342" s="19">
        <v>2000</v>
      </c>
      <c r="I342" s="20" t="s">
        <v>1090</v>
      </c>
      <c r="J342" s="20" t="s">
        <v>1230</v>
      </c>
      <c r="K342" s="21" t="s">
        <v>1231</v>
      </c>
      <c r="L342" s="20" t="s">
        <v>58</v>
      </c>
      <c r="M342" t="str">
        <f>TEXT(A342,"dddd")</f>
        <v>Sunday</v>
      </c>
      <c r="N342" s="35">
        <f>DATE(Table4[[#This Row],[year]],Table4[[#This Row],[month2]],Table4[[#This Row],[day]])</f>
        <v>46141</v>
      </c>
    </row>
    <row r="343" spans="1:14" ht="16" x14ac:dyDescent="0.35">
      <c r="A343" t="str">
        <f t="shared" si="10"/>
        <v>29</v>
      </c>
      <c r="B343">
        <f>_xlfn.SWITCH(Table4[[#This Row],[month]],"jan",1,"feb",2,"mar",3,"apr",4,"may",5,"jun",6,"jul",7,"aug",8,"sep",9,"oct",10,"nov",11,"dec",12,"no month")</f>
        <v>4</v>
      </c>
      <c r="C343" s="12" t="str">
        <f>LEFT('All Transactions'!$E343,3)</f>
        <v>Apr</v>
      </c>
      <c r="D343" s="12" t="str">
        <f t="shared" si="11"/>
        <v>2026</v>
      </c>
      <c r="E343" s="22" t="s">
        <v>1202</v>
      </c>
      <c r="F343" s="23" t="s">
        <v>1232</v>
      </c>
      <c r="G343" s="18" t="s">
        <v>28</v>
      </c>
      <c r="H343" s="24">
        <v>50</v>
      </c>
      <c r="I343" s="25" t="s">
        <v>1233</v>
      </c>
      <c r="J343" s="25" t="s">
        <v>1234</v>
      </c>
      <c r="K343" s="26" t="s">
        <v>1235</v>
      </c>
      <c r="L343" s="25" t="s">
        <v>32</v>
      </c>
      <c r="M343" t="str">
        <f>TEXT(A343,"dddd")</f>
        <v>Sunday</v>
      </c>
      <c r="N343" s="35">
        <f>DATE(Table4[[#This Row],[year]],Table4[[#This Row],[month2]],Table4[[#This Row],[day]])</f>
        <v>46141</v>
      </c>
    </row>
    <row r="344" spans="1:14" ht="16" x14ac:dyDescent="0.35">
      <c r="A344" t="str">
        <f t="shared" si="10"/>
        <v>29</v>
      </c>
      <c r="B344">
        <f>_xlfn.SWITCH(Table4[[#This Row],[month]],"jan",1,"feb",2,"mar",3,"apr",4,"may",5,"jun",6,"jul",7,"aug",8,"sep",9,"oct",10,"nov",11,"dec",12,"no month")</f>
        <v>4</v>
      </c>
      <c r="C344" s="12" t="str">
        <f>LEFT('All Transactions'!$E344,3)</f>
        <v>Apr</v>
      </c>
      <c r="D344" s="12" t="str">
        <f t="shared" si="11"/>
        <v>2026</v>
      </c>
      <c r="E344" s="16" t="s">
        <v>1202</v>
      </c>
      <c r="F344" s="17" t="s">
        <v>1236</v>
      </c>
      <c r="G344" s="18" t="s">
        <v>28</v>
      </c>
      <c r="H344" s="19">
        <v>276</v>
      </c>
      <c r="I344" s="20" t="s">
        <v>1237</v>
      </c>
      <c r="J344" s="20" t="s">
        <v>1238</v>
      </c>
      <c r="K344" s="21" t="s">
        <v>1239</v>
      </c>
      <c r="L344" s="20" t="s">
        <v>32</v>
      </c>
      <c r="M344" t="str">
        <f>TEXT(A344,"dddd")</f>
        <v>Sunday</v>
      </c>
      <c r="N344" s="35">
        <f>DATE(Table4[[#This Row],[year]],Table4[[#This Row],[month2]],Table4[[#This Row],[day]])</f>
        <v>46141</v>
      </c>
    </row>
    <row r="345" spans="1:14" ht="16" x14ac:dyDescent="0.35">
      <c r="A345" t="str">
        <f t="shared" si="10"/>
        <v>29</v>
      </c>
      <c r="B345">
        <f>_xlfn.SWITCH(Table4[[#This Row],[month]],"jan",1,"feb",2,"mar",3,"apr",4,"may",5,"jun",6,"jul",7,"aug",8,"sep",9,"oct",10,"nov",11,"dec",12,"no month")</f>
        <v>4</v>
      </c>
      <c r="C345" s="12" t="str">
        <f>LEFT('All Transactions'!$E345,3)</f>
        <v>Apr</v>
      </c>
      <c r="D345" s="12" t="str">
        <f t="shared" si="11"/>
        <v>2026</v>
      </c>
      <c r="E345" s="22" t="s">
        <v>1202</v>
      </c>
      <c r="F345" s="23" t="s">
        <v>1240</v>
      </c>
      <c r="G345" s="18" t="s">
        <v>28</v>
      </c>
      <c r="H345" s="24">
        <v>1</v>
      </c>
      <c r="I345" s="25" t="s">
        <v>167</v>
      </c>
      <c r="J345" s="25" t="s">
        <v>1241</v>
      </c>
      <c r="K345" s="26" t="s">
        <v>1242</v>
      </c>
      <c r="L345" s="25" t="s">
        <v>32</v>
      </c>
      <c r="M345" t="str">
        <f>TEXT(A345,"dddd")</f>
        <v>Sunday</v>
      </c>
      <c r="N345" s="35">
        <f>DATE(Table4[[#This Row],[year]],Table4[[#This Row],[month2]],Table4[[#This Row],[day]])</f>
        <v>46141</v>
      </c>
    </row>
    <row r="346" spans="1:14" ht="16" x14ac:dyDescent="0.35">
      <c r="A346" t="str">
        <f t="shared" si="10"/>
        <v>28</v>
      </c>
      <c r="B346">
        <f>_xlfn.SWITCH(Table4[[#This Row],[month]],"jan",1,"feb",2,"mar",3,"apr",4,"may",5,"jun",6,"jul",7,"aug",8,"sep",9,"oct",10,"nov",11,"dec",12,"no month")</f>
        <v>4</v>
      </c>
      <c r="C346" s="12" t="str">
        <f>LEFT('All Transactions'!$E346,3)</f>
        <v>Apr</v>
      </c>
      <c r="D346" s="12" t="str">
        <f t="shared" si="11"/>
        <v>2026</v>
      </c>
      <c r="E346" s="16" t="s">
        <v>1243</v>
      </c>
      <c r="F346" s="17" t="s">
        <v>518</v>
      </c>
      <c r="G346" s="18" t="s">
        <v>28</v>
      </c>
      <c r="H346" s="19">
        <v>294</v>
      </c>
      <c r="I346" s="20" t="s">
        <v>1244</v>
      </c>
      <c r="J346" s="20" t="s">
        <v>1245</v>
      </c>
      <c r="K346" s="21" t="s">
        <v>1246</v>
      </c>
      <c r="L346" s="20" t="s">
        <v>32</v>
      </c>
      <c r="M346" t="str">
        <f>TEXT(A346,"dddd")</f>
        <v>Saturday</v>
      </c>
      <c r="N346" s="35">
        <f>DATE(Table4[[#This Row],[year]],Table4[[#This Row],[month2]],Table4[[#This Row],[day]])</f>
        <v>46140</v>
      </c>
    </row>
    <row r="347" spans="1:14" ht="16" x14ac:dyDescent="0.35">
      <c r="A347" t="str">
        <f t="shared" si="10"/>
        <v>28</v>
      </c>
      <c r="B347">
        <f>_xlfn.SWITCH(Table4[[#This Row],[month]],"jan",1,"feb",2,"mar",3,"apr",4,"may",5,"jun",6,"jul",7,"aug",8,"sep",9,"oct",10,"nov",11,"dec",12,"no month")</f>
        <v>4</v>
      </c>
      <c r="C347" s="12" t="str">
        <f>LEFT('All Transactions'!$E347,3)</f>
        <v>Apr</v>
      </c>
      <c r="D347" s="12" t="str">
        <f t="shared" si="11"/>
        <v>2026</v>
      </c>
      <c r="E347" s="22" t="s">
        <v>1243</v>
      </c>
      <c r="F347" s="23" t="s">
        <v>407</v>
      </c>
      <c r="G347" s="18" t="s">
        <v>28</v>
      </c>
      <c r="H347" s="24">
        <v>299</v>
      </c>
      <c r="I347" s="25" t="s">
        <v>1247</v>
      </c>
      <c r="J347" s="25" t="s">
        <v>1248</v>
      </c>
      <c r="K347" s="26" t="s">
        <v>1249</v>
      </c>
      <c r="L347" s="25" t="s">
        <v>32</v>
      </c>
      <c r="M347" t="str">
        <f>TEXT(A347,"dddd")</f>
        <v>Saturday</v>
      </c>
      <c r="N347" s="35">
        <f>DATE(Table4[[#This Row],[year]],Table4[[#This Row],[month2]],Table4[[#This Row],[day]])</f>
        <v>46140</v>
      </c>
    </row>
    <row r="348" spans="1:14" ht="16" x14ac:dyDescent="0.35">
      <c r="A348" t="str">
        <f t="shared" si="10"/>
        <v>28</v>
      </c>
      <c r="B348">
        <f>_xlfn.SWITCH(Table4[[#This Row],[month]],"jan",1,"feb",2,"mar",3,"apr",4,"may",5,"jun",6,"jul",7,"aug",8,"sep",9,"oct",10,"nov",11,"dec",12,"no month")</f>
        <v>4</v>
      </c>
      <c r="C348" s="12" t="str">
        <f>LEFT('All Transactions'!$E348,3)</f>
        <v>Apr</v>
      </c>
      <c r="D348" s="12" t="str">
        <f t="shared" si="11"/>
        <v>2026</v>
      </c>
      <c r="E348" s="16" t="s">
        <v>1243</v>
      </c>
      <c r="F348" s="17" t="s">
        <v>1250</v>
      </c>
      <c r="G348" s="18" t="s">
        <v>28</v>
      </c>
      <c r="H348" s="19">
        <v>53</v>
      </c>
      <c r="I348" s="20" t="s">
        <v>1251</v>
      </c>
      <c r="J348" s="20" t="s">
        <v>1252</v>
      </c>
      <c r="K348" s="21" t="s">
        <v>1253</v>
      </c>
      <c r="L348" s="20" t="s">
        <v>32</v>
      </c>
      <c r="M348" t="str">
        <f>TEXT(A348,"dddd")</f>
        <v>Saturday</v>
      </c>
      <c r="N348" s="35">
        <f>DATE(Table4[[#This Row],[year]],Table4[[#This Row],[month2]],Table4[[#This Row],[day]])</f>
        <v>46140</v>
      </c>
    </row>
    <row r="349" spans="1:14" ht="16" x14ac:dyDescent="0.35">
      <c r="A349" t="str">
        <f t="shared" si="10"/>
        <v>28</v>
      </c>
      <c r="B349">
        <f>_xlfn.SWITCH(Table4[[#This Row],[month]],"jan",1,"feb",2,"mar",3,"apr",4,"may",5,"jun",6,"jul",7,"aug",8,"sep",9,"oct",10,"nov",11,"dec",12,"no month")</f>
        <v>4</v>
      </c>
      <c r="C349" s="12" t="str">
        <f>LEFT('All Transactions'!$E349,3)</f>
        <v>Apr</v>
      </c>
      <c r="D349" s="12" t="str">
        <f t="shared" si="11"/>
        <v>2026</v>
      </c>
      <c r="E349" s="22" t="s">
        <v>1243</v>
      </c>
      <c r="F349" s="23" t="s">
        <v>1254</v>
      </c>
      <c r="G349" s="18" t="s">
        <v>28</v>
      </c>
      <c r="H349" s="24">
        <v>350</v>
      </c>
      <c r="I349" s="25" t="s">
        <v>1255</v>
      </c>
      <c r="J349" s="25" t="s">
        <v>1256</v>
      </c>
      <c r="K349" s="26" t="s">
        <v>1257</v>
      </c>
      <c r="L349" s="25" t="s">
        <v>32</v>
      </c>
      <c r="M349" t="str">
        <f>TEXT(A349,"dddd")</f>
        <v>Saturday</v>
      </c>
      <c r="N349" s="35">
        <f>DATE(Table4[[#This Row],[year]],Table4[[#This Row],[month2]],Table4[[#This Row],[day]])</f>
        <v>46140</v>
      </c>
    </row>
    <row r="350" spans="1:14" ht="16" x14ac:dyDescent="0.35">
      <c r="A350" t="str">
        <f t="shared" si="10"/>
        <v>28</v>
      </c>
      <c r="B350">
        <f>_xlfn.SWITCH(Table4[[#This Row],[month]],"jan",1,"feb",2,"mar",3,"apr",4,"may",5,"jun",6,"jul",7,"aug",8,"sep",9,"oct",10,"nov",11,"dec",12,"no month")</f>
        <v>4</v>
      </c>
      <c r="C350" s="12" t="str">
        <f>LEFT('All Transactions'!$E350,3)</f>
        <v>Apr</v>
      </c>
      <c r="D350" s="12" t="str">
        <f t="shared" si="11"/>
        <v>2026</v>
      </c>
      <c r="E350" s="16" t="s">
        <v>1243</v>
      </c>
      <c r="F350" s="17" t="s">
        <v>940</v>
      </c>
      <c r="G350" s="18" t="s">
        <v>28</v>
      </c>
      <c r="H350" s="19">
        <v>12</v>
      </c>
      <c r="I350" s="20" t="s">
        <v>1258</v>
      </c>
      <c r="J350" s="20" t="s">
        <v>1259</v>
      </c>
      <c r="K350" s="21" t="s">
        <v>1260</v>
      </c>
      <c r="L350" s="20" t="s">
        <v>32</v>
      </c>
      <c r="M350" t="str">
        <f>TEXT(A350,"dddd")</f>
        <v>Saturday</v>
      </c>
      <c r="N350" s="35">
        <f>DATE(Table4[[#This Row],[year]],Table4[[#This Row],[month2]],Table4[[#This Row],[day]])</f>
        <v>46140</v>
      </c>
    </row>
    <row r="351" spans="1:14" ht="16" x14ac:dyDescent="0.35">
      <c r="A351" t="str">
        <f t="shared" si="10"/>
        <v>28</v>
      </c>
      <c r="B351">
        <f>_xlfn.SWITCH(Table4[[#This Row],[month]],"jan",1,"feb",2,"mar",3,"apr",4,"may",5,"jun",6,"jul",7,"aug",8,"sep",9,"oct",10,"nov",11,"dec",12,"no month")</f>
        <v>4</v>
      </c>
      <c r="C351" s="12" t="str">
        <f>LEFT('All Transactions'!$E351,3)</f>
        <v>Apr</v>
      </c>
      <c r="D351" s="12" t="str">
        <f t="shared" si="11"/>
        <v>2026</v>
      </c>
      <c r="E351" s="22" t="s">
        <v>1243</v>
      </c>
      <c r="F351" s="23" t="s">
        <v>1261</v>
      </c>
      <c r="G351" s="18" t="s">
        <v>28</v>
      </c>
      <c r="H351" s="24">
        <v>150</v>
      </c>
      <c r="I351" s="25" t="s">
        <v>1262</v>
      </c>
      <c r="J351" s="25" t="s">
        <v>1263</v>
      </c>
      <c r="K351" s="26" t="s">
        <v>1264</v>
      </c>
      <c r="L351" s="25" t="s">
        <v>32</v>
      </c>
      <c r="M351" t="str">
        <f>TEXT(A351,"dddd")</f>
        <v>Saturday</v>
      </c>
      <c r="N351" s="35">
        <f>DATE(Table4[[#This Row],[year]],Table4[[#This Row],[month2]],Table4[[#This Row],[day]])</f>
        <v>46140</v>
      </c>
    </row>
    <row r="352" spans="1:14" ht="16" x14ac:dyDescent="0.35">
      <c r="A352" t="str">
        <f t="shared" si="10"/>
        <v>28</v>
      </c>
      <c r="B352">
        <f>_xlfn.SWITCH(Table4[[#This Row],[month]],"jan",1,"feb",2,"mar",3,"apr",4,"may",5,"jun",6,"jul",7,"aug",8,"sep",9,"oct",10,"nov",11,"dec",12,"no month")</f>
        <v>4</v>
      </c>
      <c r="C352" s="12" t="str">
        <f>LEFT('All Transactions'!$E352,3)</f>
        <v>Apr</v>
      </c>
      <c r="D352" s="12" t="str">
        <f t="shared" si="11"/>
        <v>2026</v>
      </c>
      <c r="E352" s="16" t="s">
        <v>1243</v>
      </c>
      <c r="F352" s="17" t="s">
        <v>1265</v>
      </c>
      <c r="G352" s="18" t="s">
        <v>28</v>
      </c>
      <c r="H352" s="19">
        <v>97.62</v>
      </c>
      <c r="I352" s="20" t="s">
        <v>1133</v>
      </c>
      <c r="J352" s="20" t="s">
        <v>1266</v>
      </c>
      <c r="K352" s="21" t="s">
        <v>1267</v>
      </c>
      <c r="L352" s="20" t="s">
        <v>32</v>
      </c>
      <c r="M352" t="str">
        <f>TEXT(A352,"dddd")</f>
        <v>Saturday</v>
      </c>
      <c r="N352" s="35">
        <f>DATE(Table4[[#This Row],[year]],Table4[[#This Row],[month2]],Table4[[#This Row],[day]])</f>
        <v>46140</v>
      </c>
    </row>
    <row r="353" spans="1:14" ht="16" x14ac:dyDescent="0.35">
      <c r="A353" t="str">
        <f t="shared" si="10"/>
        <v>28</v>
      </c>
      <c r="B353">
        <f>_xlfn.SWITCH(Table4[[#This Row],[month]],"jan",1,"feb",2,"mar",3,"apr",4,"may",5,"jun",6,"jul",7,"aug",8,"sep",9,"oct",10,"nov",11,"dec",12,"no month")</f>
        <v>4</v>
      </c>
      <c r="C353" s="12" t="str">
        <f>LEFT('All Transactions'!$E353,3)</f>
        <v>Apr</v>
      </c>
      <c r="D353" s="12" t="str">
        <f t="shared" si="11"/>
        <v>2026</v>
      </c>
      <c r="E353" s="22" t="s">
        <v>1243</v>
      </c>
      <c r="F353" s="23" t="s">
        <v>1268</v>
      </c>
      <c r="G353" s="18" t="s">
        <v>28</v>
      </c>
      <c r="H353" s="24">
        <v>50</v>
      </c>
      <c r="I353" s="25" t="s">
        <v>1165</v>
      </c>
      <c r="J353" s="25" t="s">
        <v>1269</v>
      </c>
      <c r="K353" s="26" t="s">
        <v>1270</v>
      </c>
      <c r="L353" s="25" t="s">
        <v>32</v>
      </c>
      <c r="M353" t="str">
        <f>TEXT(A353,"dddd")</f>
        <v>Saturday</v>
      </c>
      <c r="N353" s="35">
        <f>DATE(Table4[[#This Row],[year]],Table4[[#This Row],[month2]],Table4[[#This Row],[day]])</f>
        <v>46140</v>
      </c>
    </row>
    <row r="354" spans="1:14" ht="16" x14ac:dyDescent="0.35">
      <c r="A354" t="str">
        <f t="shared" si="10"/>
        <v>28</v>
      </c>
      <c r="B354">
        <f>_xlfn.SWITCH(Table4[[#This Row],[month]],"jan",1,"feb",2,"mar",3,"apr",4,"may",5,"jun",6,"jul",7,"aug",8,"sep",9,"oct",10,"nov",11,"dec",12,"no month")</f>
        <v>4</v>
      </c>
      <c r="C354" s="12" t="str">
        <f>LEFT('All Transactions'!$E354,3)</f>
        <v>Apr</v>
      </c>
      <c r="D354" s="12" t="str">
        <f t="shared" si="11"/>
        <v>2026</v>
      </c>
      <c r="E354" s="16" t="s">
        <v>1243</v>
      </c>
      <c r="F354" s="17" t="s">
        <v>1271</v>
      </c>
      <c r="G354" s="18" t="s">
        <v>28</v>
      </c>
      <c r="H354" s="19">
        <v>1200</v>
      </c>
      <c r="I354" s="20" t="s">
        <v>1195</v>
      </c>
      <c r="J354" s="20" t="s">
        <v>1272</v>
      </c>
      <c r="K354" s="21" t="s">
        <v>1273</v>
      </c>
      <c r="L354" s="20" t="s">
        <v>32</v>
      </c>
      <c r="M354" t="str">
        <f>TEXT(A354,"dddd")</f>
        <v>Saturday</v>
      </c>
      <c r="N354" s="35">
        <f>DATE(Table4[[#This Row],[year]],Table4[[#This Row],[month2]],Table4[[#This Row],[day]])</f>
        <v>46140</v>
      </c>
    </row>
    <row r="355" spans="1:14" ht="16" x14ac:dyDescent="0.35">
      <c r="A355" t="str">
        <f t="shared" si="10"/>
        <v>28</v>
      </c>
      <c r="B355">
        <f>_xlfn.SWITCH(Table4[[#This Row],[month]],"jan",1,"feb",2,"mar",3,"apr",4,"may",5,"jun",6,"jul",7,"aug",8,"sep",9,"oct",10,"nov",11,"dec",12,"no month")</f>
        <v>4</v>
      </c>
      <c r="C355" s="12" t="str">
        <f>LEFT('All Transactions'!$E355,3)</f>
        <v>Apr</v>
      </c>
      <c r="D355" s="12" t="str">
        <f t="shared" si="11"/>
        <v>2026</v>
      </c>
      <c r="E355" s="22" t="s">
        <v>1243</v>
      </c>
      <c r="F355" s="23" t="s">
        <v>1274</v>
      </c>
      <c r="G355" s="18" t="s">
        <v>28</v>
      </c>
      <c r="H355" s="24">
        <v>47</v>
      </c>
      <c r="I355" s="25" t="s">
        <v>1275</v>
      </c>
      <c r="J355" s="25" t="s">
        <v>1276</v>
      </c>
      <c r="K355" s="26" t="s">
        <v>1277</v>
      </c>
      <c r="L355" s="25" t="s">
        <v>32</v>
      </c>
      <c r="M355" t="str">
        <f>TEXT(A355,"dddd")</f>
        <v>Saturday</v>
      </c>
      <c r="N355" s="35">
        <f>DATE(Table4[[#This Row],[year]],Table4[[#This Row],[month2]],Table4[[#This Row],[day]])</f>
        <v>46140</v>
      </c>
    </row>
    <row r="356" spans="1:14" ht="16" x14ac:dyDescent="0.35">
      <c r="A356" t="str">
        <f t="shared" si="10"/>
        <v>27</v>
      </c>
      <c r="B356">
        <f>_xlfn.SWITCH(Table4[[#This Row],[month]],"jan",1,"feb",2,"mar",3,"apr",4,"may",5,"jun",6,"jul",7,"aug",8,"sep",9,"oct",10,"nov",11,"dec",12,"no month")</f>
        <v>4</v>
      </c>
      <c r="C356" s="12" t="str">
        <f>LEFT('All Transactions'!$E356,3)</f>
        <v>Apr</v>
      </c>
      <c r="D356" s="12" t="str">
        <f t="shared" si="11"/>
        <v>2026</v>
      </c>
      <c r="E356" s="16" t="s">
        <v>1278</v>
      </c>
      <c r="F356" s="17" t="s">
        <v>259</v>
      </c>
      <c r="G356" s="18" t="s">
        <v>28</v>
      </c>
      <c r="H356" s="19">
        <v>42</v>
      </c>
      <c r="I356" s="20" t="s">
        <v>1279</v>
      </c>
      <c r="J356" s="20" t="s">
        <v>1280</v>
      </c>
      <c r="K356" s="21" t="s">
        <v>1281</v>
      </c>
      <c r="L356" s="20" t="s">
        <v>32</v>
      </c>
      <c r="M356" t="str">
        <f>TEXT(A356,"dddd")</f>
        <v>Friday</v>
      </c>
      <c r="N356" s="35">
        <f>DATE(Table4[[#This Row],[year]],Table4[[#This Row],[month2]],Table4[[#This Row],[day]])</f>
        <v>46139</v>
      </c>
    </row>
    <row r="357" spans="1:14" ht="16" x14ac:dyDescent="0.35">
      <c r="A357" t="str">
        <f t="shared" si="10"/>
        <v>27</v>
      </c>
      <c r="B357">
        <f>_xlfn.SWITCH(Table4[[#This Row],[month]],"jan",1,"feb",2,"mar",3,"apr",4,"may",5,"jun",6,"jul",7,"aug",8,"sep",9,"oct",10,"nov",11,"dec",12,"no month")</f>
        <v>4</v>
      </c>
      <c r="C357" s="12" t="str">
        <f>LEFT('All Transactions'!$E357,3)</f>
        <v>Apr</v>
      </c>
      <c r="D357" s="12" t="str">
        <f t="shared" si="11"/>
        <v>2026</v>
      </c>
      <c r="E357" s="22" t="s">
        <v>1278</v>
      </c>
      <c r="F357" s="23" t="s">
        <v>1282</v>
      </c>
      <c r="G357" s="18" t="s">
        <v>28</v>
      </c>
      <c r="H357" s="24">
        <v>129.22999999999999</v>
      </c>
      <c r="I357" s="25" t="s">
        <v>536</v>
      </c>
      <c r="J357" s="25" t="s">
        <v>1283</v>
      </c>
      <c r="K357" s="26" t="s">
        <v>1284</v>
      </c>
      <c r="L357" s="25" t="s">
        <v>32</v>
      </c>
      <c r="M357" t="str">
        <f>TEXT(A357,"dddd")</f>
        <v>Friday</v>
      </c>
      <c r="N357" s="35">
        <f>DATE(Table4[[#This Row],[year]],Table4[[#This Row],[month2]],Table4[[#This Row],[day]])</f>
        <v>46139</v>
      </c>
    </row>
    <row r="358" spans="1:14" ht="16" x14ac:dyDescent="0.35">
      <c r="A358" t="str">
        <f t="shared" si="10"/>
        <v>27</v>
      </c>
      <c r="B358">
        <f>_xlfn.SWITCH(Table4[[#This Row],[month]],"jan",1,"feb",2,"mar",3,"apr",4,"may",5,"jun",6,"jul",7,"aug",8,"sep",9,"oct",10,"nov",11,"dec",12,"no month")</f>
        <v>4</v>
      </c>
      <c r="C358" s="12" t="str">
        <f>LEFT('All Transactions'!$E358,3)</f>
        <v>Apr</v>
      </c>
      <c r="D358" s="12" t="str">
        <f t="shared" si="11"/>
        <v>2026</v>
      </c>
      <c r="E358" s="16" t="s">
        <v>1278</v>
      </c>
      <c r="F358" s="17" t="s">
        <v>1285</v>
      </c>
      <c r="G358" s="27" t="s">
        <v>54</v>
      </c>
      <c r="H358" s="19">
        <v>40</v>
      </c>
      <c r="I358" s="20" t="s">
        <v>1286</v>
      </c>
      <c r="J358" s="20" t="s">
        <v>1287</v>
      </c>
      <c r="K358" s="21" t="s">
        <v>1288</v>
      </c>
      <c r="L358" s="20" t="s">
        <v>58</v>
      </c>
      <c r="M358" t="str">
        <f>TEXT(A358,"dddd")</f>
        <v>Friday</v>
      </c>
      <c r="N358" s="35">
        <f>DATE(Table4[[#This Row],[year]],Table4[[#This Row],[month2]],Table4[[#This Row],[day]])</f>
        <v>46139</v>
      </c>
    </row>
    <row r="359" spans="1:14" ht="16" x14ac:dyDescent="0.35">
      <c r="A359" t="str">
        <f t="shared" si="10"/>
        <v>27</v>
      </c>
      <c r="B359">
        <f>_xlfn.SWITCH(Table4[[#This Row],[month]],"jan",1,"feb",2,"mar",3,"apr",4,"may",5,"jun",6,"jul",7,"aug",8,"sep",9,"oct",10,"nov",11,"dec",12,"no month")</f>
        <v>4</v>
      </c>
      <c r="C359" s="12" t="str">
        <f>LEFT('All Transactions'!$E359,3)</f>
        <v>Apr</v>
      </c>
      <c r="D359" s="12" t="str">
        <f t="shared" si="11"/>
        <v>2026</v>
      </c>
      <c r="E359" s="22" t="s">
        <v>1278</v>
      </c>
      <c r="F359" s="23" t="s">
        <v>445</v>
      </c>
      <c r="G359" s="18" t="s">
        <v>28</v>
      </c>
      <c r="H359" s="24">
        <v>10</v>
      </c>
      <c r="I359" s="25" t="s">
        <v>1289</v>
      </c>
      <c r="J359" s="25" t="s">
        <v>1290</v>
      </c>
      <c r="K359" s="26" t="s">
        <v>1291</v>
      </c>
      <c r="L359" s="25" t="s">
        <v>32</v>
      </c>
      <c r="M359" t="str">
        <f>TEXT(A359,"dddd")</f>
        <v>Friday</v>
      </c>
      <c r="N359" s="35">
        <f>DATE(Table4[[#This Row],[year]],Table4[[#This Row],[month2]],Table4[[#This Row],[day]])</f>
        <v>46139</v>
      </c>
    </row>
    <row r="360" spans="1:14" ht="16" x14ac:dyDescent="0.35">
      <c r="A360" t="str">
        <f t="shared" si="10"/>
        <v>26</v>
      </c>
      <c r="B360">
        <f>_xlfn.SWITCH(Table4[[#This Row],[month]],"jan",1,"feb",2,"mar",3,"apr",4,"may",5,"jun",6,"jul",7,"aug",8,"sep",9,"oct",10,"nov",11,"dec",12,"no month")</f>
        <v>4</v>
      </c>
      <c r="C360" s="12" t="str">
        <f>LEFT('All Transactions'!$E360,3)</f>
        <v>Apr</v>
      </c>
      <c r="D360" s="12" t="str">
        <f t="shared" si="11"/>
        <v>2026</v>
      </c>
      <c r="E360" s="16" t="s">
        <v>1292</v>
      </c>
      <c r="F360" s="17" t="s">
        <v>1293</v>
      </c>
      <c r="G360" s="18" t="s">
        <v>28</v>
      </c>
      <c r="H360" s="19">
        <v>807.5</v>
      </c>
      <c r="I360" s="20" t="s">
        <v>1294</v>
      </c>
      <c r="J360" s="20" t="s">
        <v>1295</v>
      </c>
      <c r="K360" s="21" t="s">
        <v>1296</v>
      </c>
      <c r="L360" s="20" t="s">
        <v>32</v>
      </c>
      <c r="M360" t="str">
        <f>TEXT(A360,"dddd")</f>
        <v>Thursday</v>
      </c>
      <c r="N360" s="35">
        <f>DATE(Table4[[#This Row],[year]],Table4[[#This Row],[month2]],Table4[[#This Row],[day]])</f>
        <v>46138</v>
      </c>
    </row>
    <row r="361" spans="1:14" ht="16" x14ac:dyDescent="0.35">
      <c r="A361" t="str">
        <f t="shared" si="10"/>
        <v>26</v>
      </c>
      <c r="B361">
        <f>_xlfn.SWITCH(Table4[[#This Row],[month]],"jan",1,"feb",2,"mar",3,"apr",4,"may",5,"jun",6,"jul",7,"aug",8,"sep",9,"oct",10,"nov",11,"dec",12,"no month")</f>
        <v>4</v>
      </c>
      <c r="C361" s="12" t="str">
        <f>LEFT('All Transactions'!$E361,3)</f>
        <v>Apr</v>
      </c>
      <c r="D361" s="12" t="str">
        <f t="shared" si="11"/>
        <v>2026</v>
      </c>
      <c r="E361" s="22" t="s">
        <v>1292</v>
      </c>
      <c r="F361" s="23" t="s">
        <v>669</v>
      </c>
      <c r="G361" s="18" t="s">
        <v>28</v>
      </c>
      <c r="H361" s="24">
        <v>1200</v>
      </c>
      <c r="I361" s="25" t="s">
        <v>1297</v>
      </c>
      <c r="J361" s="25" t="s">
        <v>1298</v>
      </c>
      <c r="K361" s="26" t="s">
        <v>1299</v>
      </c>
      <c r="L361" s="25" t="s">
        <v>32</v>
      </c>
      <c r="M361" t="str">
        <f>TEXT(A361,"dddd")</f>
        <v>Thursday</v>
      </c>
      <c r="N361" s="35">
        <f>DATE(Table4[[#This Row],[year]],Table4[[#This Row],[month2]],Table4[[#This Row],[day]])</f>
        <v>46138</v>
      </c>
    </row>
    <row r="362" spans="1:14" ht="16" x14ac:dyDescent="0.35">
      <c r="A362" t="str">
        <f t="shared" si="10"/>
        <v>26</v>
      </c>
      <c r="B362">
        <f>_xlfn.SWITCH(Table4[[#This Row],[month]],"jan",1,"feb",2,"mar",3,"apr",4,"may",5,"jun",6,"jul",7,"aug",8,"sep",9,"oct",10,"nov",11,"dec",12,"no month")</f>
        <v>4</v>
      </c>
      <c r="C362" s="12" t="str">
        <f>LEFT('All Transactions'!$E362,3)</f>
        <v>Apr</v>
      </c>
      <c r="D362" s="12" t="str">
        <f t="shared" si="11"/>
        <v>2026</v>
      </c>
      <c r="E362" s="16" t="s">
        <v>1292</v>
      </c>
      <c r="F362" s="17" t="s">
        <v>669</v>
      </c>
      <c r="G362" s="27" t="s">
        <v>54</v>
      </c>
      <c r="H362" s="19">
        <v>1200</v>
      </c>
      <c r="I362" s="20" t="s">
        <v>1090</v>
      </c>
      <c r="J362" s="20" t="s">
        <v>1300</v>
      </c>
      <c r="K362" s="21" t="s">
        <v>1301</v>
      </c>
      <c r="L362" s="20" t="s">
        <v>58</v>
      </c>
      <c r="M362" t="str">
        <f>TEXT(A362,"dddd")</f>
        <v>Thursday</v>
      </c>
      <c r="N362" s="35">
        <f>DATE(Table4[[#This Row],[year]],Table4[[#This Row],[month2]],Table4[[#This Row],[day]])</f>
        <v>46138</v>
      </c>
    </row>
    <row r="363" spans="1:14" ht="16" x14ac:dyDescent="0.35">
      <c r="A363" t="str">
        <f t="shared" si="10"/>
        <v>26</v>
      </c>
      <c r="B363">
        <f>_xlfn.SWITCH(Table4[[#This Row],[month]],"jan",1,"feb",2,"mar",3,"apr",4,"may",5,"jun",6,"jul",7,"aug",8,"sep",9,"oct",10,"nov",11,"dec",12,"no month")</f>
        <v>4</v>
      </c>
      <c r="C363" s="12" t="str">
        <f>LEFT('All Transactions'!$E363,3)</f>
        <v>Apr</v>
      </c>
      <c r="D363" s="12" t="str">
        <f t="shared" si="11"/>
        <v>2026</v>
      </c>
      <c r="E363" s="22" t="s">
        <v>1292</v>
      </c>
      <c r="F363" s="23" t="s">
        <v>1302</v>
      </c>
      <c r="G363" s="18" t="s">
        <v>28</v>
      </c>
      <c r="H363" s="24">
        <v>190</v>
      </c>
      <c r="I363" s="25" t="s">
        <v>1087</v>
      </c>
      <c r="J363" s="25" t="s">
        <v>1303</v>
      </c>
      <c r="K363" s="26" t="s">
        <v>1304</v>
      </c>
      <c r="L363" s="25" t="s">
        <v>32</v>
      </c>
      <c r="M363" t="str">
        <f>TEXT(A363,"dddd")</f>
        <v>Thursday</v>
      </c>
      <c r="N363" s="35">
        <f>DATE(Table4[[#This Row],[year]],Table4[[#This Row],[month2]],Table4[[#This Row],[day]])</f>
        <v>46138</v>
      </c>
    </row>
    <row r="364" spans="1:14" ht="16" x14ac:dyDescent="0.35">
      <c r="A364" t="str">
        <f t="shared" si="10"/>
        <v>26</v>
      </c>
      <c r="B364">
        <f>_xlfn.SWITCH(Table4[[#This Row],[month]],"jan",1,"feb",2,"mar",3,"apr",4,"may",5,"jun",6,"jul",7,"aug",8,"sep",9,"oct",10,"nov",11,"dec",12,"no month")</f>
        <v>4</v>
      </c>
      <c r="C364" s="12" t="str">
        <f>LEFT('All Transactions'!$E364,3)</f>
        <v>Apr</v>
      </c>
      <c r="D364" s="12" t="str">
        <f t="shared" si="11"/>
        <v>2026</v>
      </c>
      <c r="E364" s="16" t="s">
        <v>1292</v>
      </c>
      <c r="F364" s="17" t="s">
        <v>419</v>
      </c>
      <c r="G364" s="27" t="s">
        <v>54</v>
      </c>
      <c r="H364" s="19">
        <v>8200</v>
      </c>
      <c r="I364" s="20" t="s">
        <v>1090</v>
      </c>
      <c r="J364" s="20" t="s">
        <v>1305</v>
      </c>
      <c r="K364" s="21" t="s">
        <v>1306</v>
      </c>
      <c r="L364" s="20" t="s">
        <v>58</v>
      </c>
      <c r="M364" t="str">
        <f>TEXT(A364,"dddd")</f>
        <v>Thursday</v>
      </c>
      <c r="N364" s="35">
        <f>DATE(Table4[[#This Row],[year]],Table4[[#This Row],[month2]],Table4[[#This Row],[day]])</f>
        <v>46138</v>
      </c>
    </row>
    <row r="365" spans="1:14" ht="16" x14ac:dyDescent="0.35">
      <c r="A365" t="str">
        <f t="shared" si="10"/>
        <v>26</v>
      </c>
      <c r="B365">
        <f>_xlfn.SWITCH(Table4[[#This Row],[month]],"jan",1,"feb",2,"mar",3,"apr",4,"may",5,"jun",6,"jul",7,"aug",8,"sep",9,"oct",10,"nov",11,"dec",12,"no month")</f>
        <v>4</v>
      </c>
      <c r="C365" s="12" t="str">
        <f>LEFT('All Transactions'!$E365,3)</f>
        <v>Apr</v>
      </c>
      <c r="D365" s="12" t="str">
        <f t="shared" si="11"/>
        <v>2026</v>
      </c>
      <c r="E365" s="22" t="s">
        <v>1292</v>
      </c>
      <c r="F365" s="23" t="s">
        <v>73</v>
      </c>
      <c r="G365" s="18" t="s">
        <v>28</v>
      </c>
      <c r="H365" s="24">
        <v>50</v>
      </c>
      <c r="I365" s="25" t="s">
        <v>1307</v>
      </c>
      <c r="J365" s="25" t="s">
        <v>1308</v>
      </c>
      <c r="K365" s="26" t="s">
        <v>1309</v>
      </c>
      <c r="L365" s="25" t="s">
        <v>32</v>
      </c>
      <c r="M365" t="str">
        <f>TEXT(A365,"dddd")</f>
        <v>Thursday</v>
      </c>
      <c r="N365" s="35">
        <f>DATE(Table4[[#This Row],[year]],Table4[[#This Row],[month2]],Table4[[#This Row],[day]])</f>
        <v>46138</v>
      </c>
    </row>
    <row r="366" spans="1:14" ht="16" x14ac:dyDescent="0.35">
      <c r="A366" t="str">
        <f t="shared" si="10"/>
        <v>26</v>
      </c>
      <c r="B366">
        <f>_xlfn.SWITCH(Table4[[#This Row],[month]],"jan",1,"feb",2,"mar",3,"apr",4,"may",5,"jun",6,"jul",7,"aug",8,"sep",9,"oct",10,"nov",11,"dec",12,"no month")</f>
        <v>4</v>
      </c>
      <c r="C366" s="12" t="str">
        <f>LEFT('All Transactions'!$E366,3)</f>
        <v>Apr</v>
      </c>
      <c r="D366" s="12" t="str">
        <f t="shared" si="11"/>
        <v>2026</v>
      </c>
      <c r="E366" s="16" t="s">
        <v>1292</v>
      </c>
      <c r="F366" s="17" t="s">
        <v>1154</v>
      </c>
      <c r="G366" s="27" t="s">
        <v>54</v>
      </c>
      <c r="H366" s="19">
        <v>110</v>
      </c>
      <c r="I366" s="20" t="s">
        <v>1310</v>
      </c>
      <c r="J366" s="20" t="s">
        <v>1311</v>
      </c>
      <c r="K366" s="21" t="s">
        <v>1312</v>
      </c>
      <c r="L366" s="20" t="s">
        <v>58</v>
      </c>
      <c r="M366" t="str">
        <f>TEXT(A366,"dddd")</f>
        <v>Thursday</v>
      </c>
      <c r="N366" s="35">
        <f>DATE(Table4[[#This Row],[year]],Table4[[#This Row],[month2]],Table4[[#This Row],[day]])</f>
        <v>46138</v>
      </c>
    </row>
    <row r="367" spans="1:14" ht="16" x14ac:dyDescent="0.35">
      <c r="A367" t="str">
        <f t="shared" si="10"/>
        <v>25</v>
      </c>
      <c r="B367">
        <f>_xlfn.SWITCH(Table4[[#This Row],[month]],"jan",1,"feb",2,"mar",3,"apr",4,"may",5,"jun",6,"jul",7,"aug",8,"sep",9,"oct",10,"nov",11,"dec",12,"no month")</f>
        <v>4</v>
      </c>
      <c r="C367" s="12" t="str">
        <f>LEFT('All Transactions'!$E367,3)</f>
        <v>Apr</v>
      </c>
      <c r="D367" s="12" t="str">
        <f t="shared" si="11"/>
        <v>2026</v>
      </c>
      <c r="E367" s="22" t="s">
        <v>1313</v>
      </c>
      <c r="F367" s="23" t="s">
        <v>1314</v>
      </c>
      <c r="G367" s="27" t="s">
        <v>54</v>
      </c>
      <c r="H367" s="24">
        <v>103</v>
      </c>
      <c r="I367" s="25" t="s">
        <v>89</v>
      </c>
      <c r="J367" s="25" t="s">
        <v>1315</v>
      </c>
      <c r="K367" s="26" t="s">
        <v>1316</v>
      </c>
      <c r="L367" s="25" t="s">
        <v>58</v>
      </c>
      <c r="M367" t="str">
        <f>TEXT(A367,"dddd")</f>
        <v>Wednesday</v>
      </c>
      <c r="N367" s="35">
        <f>DATE(Table4[[#This Row],[year]],Table4[[#This Row],[month2]],Table4[[#This Row],[day]])</f>
        <v>46137</v>
      </c>
    </row>
    <row r="368" spans="1:14" ht="16" x14ac:dyDescent="0.35">
      <c r="A368" t="str">
        <f t="shared" si="10"/>
        <v>25</v>
      </c>
      <c r="B368">
        <f>_xlfn.SWITCH(Table4[[#This Row],[month]],"jan",1,"feb",2,"mar",3,"apr",4,"may",5,"jun",6,"jul",7,"aug",8,"sep",9,"oct",10,"nov",11,"dec",12,"no month")</f>
        <v>4</v>
      </c>
      <c r="C368" s="12" t="str">
        <f>LEFT('All Transactions'!$E368,3)</f>
        <v>Apr</v>
      </c>
      <c r="D368" s="12" t="str">
        <f t="shared" si="11"/>
        <v>2026</v>
      </c>
      <c r="E368" s="16" t="s">
        <v>1313</v>
      </c>
      <c r="F368" s="17" t="s">
        <v>1317</v>
      </c>
      <c r="G368" s="27" t="s">
        <v>54</v>
      </c>
      <c r="H368" s="19">
        <v>31</v>
      </c>
      <c r="I368" s="20" t="s">
        <v>1318</v>
      </c>
      <c r="J368" s="20" t="s">
        <v>1319</v>
      </c>
      <c r="K368" s="21" t="s">
        <v>1320</v>
      </c>
      <c r="L368" s="20" t="s">
        <v>58</v>
      </c>
      <c r="M368" t="str">
        <f>TEXT(A368,"dddd")</f>
        <v>Wednesday</v>
      </c>
      <c r="N368" s="35">
        <f>DATE(Table4[[#This Row],[year]],Table4[[#This Row],[month2]],Table4[[#This Row],[day]])</f>
        <v>46137</v>
      </c>
    </row>
    <row r="369" spans="1:14" ht="16" x14ac:dyDescent="0.35">
      <c r="A369" t="str">
        <f t="shared" si="10"/>
        <v>25</v>
      </c>
      <c r="B369">
        <f>_xlfn.SWITCH(Table4[[#This Row],[month]],"jan",1,"feb",2,"mar",3,"apr",4,"may",5,"jun",6,"jul",7,"aug",8,"sep",9,"oct",10,"nov",11,"dec",12,"no month")</f>
        <v>4</v>
      </c>
      <c r="C369" s="12" t="str">
        <f>LEFT('All Transactions'!$E369,3)</f>
        <v>Apr</v>
      </c>
      <c r="D369" s="12" t="str">
        <f t="shared" si="11"/>
        <v>2026</v>
      </c>
      <c r="E369" s="22" t="s">
        <v>1313</v>
      </c>
      <c r="F369" s="23" t="s">
        <v>1321</v>
      </c>
      <c r="G369" s="27" t="s">
        <v>54</v>
      </c>
      <c r="H369" s="24">
        <v>56</v>
      </c>
      <c r="I369" s="25" t="s">
        <v>1322</v>
      </c>
      <c r="J369" s="25" t="s">
        <v>1323</v>
      </c>
      <c r="K369" s="26" t="s">
        <v>1324</v>
      </c>
      <c r="L369" s="25" t="s">
        <v>58</v>
      </c>
      <c r="M369" t="str">
        <f>TEXT(A369,"dddd")</f>
        <v>Wednesday</v>
      </c>
      <c r="N369" s="35">
        <f>DATE(Table4[[#This Row],[year]],Table4[[#This Row],[month2]],Table4[[#This Row],[day]])</f>
        <v>46137</v>
      </c>
    </row>
    <row r="370" spans="1:14" ht="16" x14ac:dyDescent="0.35">
      <c r="A370" t="str">
        <f t="shared" si="10"/>
        <v>25</v>
      </c>
      <c r="B370">
        <f>_xlfn.SWITCH(Table4[[#This Row],[month]],"jan",1,"feb",2,"mar",3,"apr",4,"may",5,"jun",6,"jul",7,"aug",8,"sep",9,"oct",10,"nov",11,"dec",12,"no month")</f>
        <v>4</v>
      </c>
      <c r="C370" s="12" t="str">
        <f>LEFT('All Transactions'!$E370,3)</f>
        <v>Apr</v>
      </c>
      <c r="D370" s="12" t="str">
        <f t="shared" si="11"/>
        <v>2026</v>
      </c>
      <c r="E370" s="16" t="s">
        <v>1313</v>
      </c>
      <c r="F370" s="17" t="s">
        <v>951</v>
      </c>
      <c r="G370" s="27" t="s">
        <v>54</v>
      </c>
      <c r="H370" s="19">
        <v>119</v>
      </c>
      <c r="I370" s="20" t="s">
        <v>89</v>
      </c>
      <c r="J370" s="20" t="s">
        <v>1325</v>
      </c>
      <c r="K370" s="21" t="s">
        <v>1326</v>
      </c>
      <c r="L370" s="20" t="s">
        <v>58</v>
      </c>
      <c r="M370" t="str">
        <f>TEXT(A370,"dddd")</f>
        <v>Wednesday</v>
      </c>
      <c r="N370" s="35">
        <f>DATE(Table4[[#This Row],[year]],Table4[[#This Row],[month2]],Table4[[#This Row],[day]])</f>
        <v>46137</v>
      </c>
    </row>
    <row r="371" spans="1:14" ht="16" x14ac:dyDescent="0.35">
      <c r="A371" t="str">
        <f t="shared" si="10"/>
        <v>25</v>
      </c>
      <c r="B371">
        <f>_xlfn.SWITCH(Table4[[#This Row],[month]],"jan",1,"feb",2,"mar",3,"apr",4,"may",5,"jun",6,"jul",7,"aug",8,"sep",9,"oct",10,"nov",11,"dec",12,"no month")</f>
        <v>4</v>
      </c>
      <c r="C371" s="12" t="str">
        <f>LEFT('All Transactions'!$E371,3)</f>
        <v>Apr</v>
      </c>
      <c r="D371" s="12" t="str">
        <f t="shared" si="11"/>
        <v>2026</v>
      </c>
      <c r="E371" s="22" t="s">
        <v>1313</v>
      </c>
      <c r="F371" s="23" t="s">
        <v>1327</v>
      </c>
      <c r="G371" s="27" t="s">
        <v>54</v>
      </c>
      <c r="H371" s="24">
        <v>60</v>
      </c>
      <c r="I371" s="25" t="s">
        <v>1328</v>
      </c>
      <c r="J371" s="25" t="s">
        <v>1329</v>
      </c>
      <c r="K371" s="26" t="s">
        <v>1330</v>
      </c>
      <c r="L371" s="25" t="s">
        <v>58</v>
      </c>
      <c r="M371" t="str">
        <f>TEXT(A371,"dddd")</f>
        <v>Wednesday</v>
      </c>
      <c r="N371" s="35">
        <f>DATE(Table4[[#This Row],[year]],Table4[[#This Row],[month2]],Table4[[#This Row],[day]])</f>
        <v>46137</v>
      </c>
    </row>
    <row r="372" spans="1:14" ht="16" x14ac:dyDescent="0.35">
      <c r="A372" t="str">
        <f t="shared" si="10"/>
        <v>25</v>
      </c>
      <c r="B372">
        <f>_xlfn.SWITCH(Table4[[#This Row],[month]],"jan",1,"feb",2,"mar",3,"apr",4,"may",5,"jun",6,"jul",7,"aug",8,"sep",9,"oct",10,"nov",11,"dec",12,"no month")</f>
        <v>4</v>
      </c>
      <c r="C372" s="12" t="str">
        <f>LEFT('All Transactions'!$E372,3)</f>
        <v>Apr</v>
      </c>
      <c r="D372" s="12" t="str">
        <f t="shared" si="11"/>
        <v>2026</v>
      </c>
      <c r="E372" s="16" t="s">
        <v>1313</v>
      </c>
      <c r="F372" s="17" t="s">
        <v>415</v>
      </c>
      <c r="G372" s="27" t="s">
        <v>54</v>
      </c>
      <c r="H372" s="19">
        <v>135</v>
      </c>
      <c r="I372" s="20" t="s">
        <v>1331</v>
      </c>
      <c r="J372" s="20" t="s">
        <v>1332</v>
      </c>
      <c r="K372" s="21" t="s">
        <v>1333</v>
      </c>
      <c r="L372" s="20" t="s">
        <v>58</v>
      </c>
      <c r="M372" t="str">
        <f>TEXT(A372,"dddd")</f>
        <v>Wednesday</v>
      </c>
      <c r="N372" s="35">
        <f>DATE(Table4[[#This Row],[year]],Table4[[#This Row],[month2]],Table4[[#This Row],[day]])</f>
        <v>46137</v>
      </c>
    </row>
    <row r="373" spans="1:14" ht="16" x14ac:dyDescent="0.35">
      <c r="A373" t="str">
        <f t="shared" si="10"/>
        <v>25</v>
      </c>
      <c r="B373">
        <f>_xlfn.SWITCH(Table4[[#This Row],[month]],"jan",1,"feb",2,"mar",3,"apr",4,"may",5,"jun",6,"jul",7,"aug",8,"sep",9,"oct",10,"nov",11,"dec",12,"no month")</f>
        <v>4</v>
      </c>
      <c r="C373" s="12" t="str">
        <f>LEFT('All Transactions'!$E373,3)</f>
        <v>Apr</v>
      </c>
      <c r="D373" s="12" t="str">
        <f t="shared" si="11"/>
        <v>2026</v>
      </c>
      <c r="E373" s="22" t="s">
        <v>1313</v>
      </c>
      <c r="F373" s="23" t="s">
        <v>1334</v>
      </c>
      <c r="G373" s="18" t="s">
        <v>28</v>
      </c>
      <c r="H373" s="24">
        <v>150</v>
      </c>
      <c r="I373" s="25" t="s">
        <v>887</v>
      </c>
      <c r="J373" s="25" t="s">
        <v>1335</v>
      </c>
      <c r="K373" s="26" t="s">
        <v>1336</v>
      </c>
      <c r="L373" s="25" t="s">
        <v>32</v>
      </c>
      <c r="M373" t="str">
        <f>TEXT(A373,"dddd")</f>
        <v>Wednesday</v>
      </c>
      <c r="N373" s="35">
        <f>DATE(Table4[[#This Row],[year]],Table4[[#This Row],[month2]],Table4[[#This Row],[day]])</f>
        <v>46137</v>
      </c>
    </row>
    <row r="374" spans="1:14" ht="16" x14ac:dyDescent="0.35">
      <c r="A374" t="str">
        <f t="shared" si="10"/>
        <v>25</v>
      </c>
      <c r="B374">
        <f>_xlfn.SWITCH(Table4[[#This Row],[month]],"jan",1,"feb",2,"mar",3,"apr",4,"may",5,"jun",6,"jul",7,"aug",8,"sep",9,"oct",10,"nov",11,"dec",12,"no month")</f>
        <v>4</v>
      </c>
      <c r="C374" s="12" t="str">
        <f>LEFT('All Transactions'!$E374,3)</f>
        <v>Apr</v>
      </c>
      <c r="D374" s="12" t="str">
        <f t="shared" si="11"/>
        <v>2026</v>
      </c>
      <c r="E374" s="16" t="s">
        <v>1313</v>
      </c>
      <c r="F374" s="17" t="s">
        <v>1337</v>
      </c>
      <c r="G374" s="18" t="s">
        <v>28</v>
      </c>
      <c r="H374" s="19">
        <v>50</v>
      </c>
      <c r="I374" s="20" t="s">
        <v>1338</v>
      </c>
      <c r="J374" s="20" t="s">
        <v>1339</v>
      </c>
      <c r="K374" s="21" t="s">
        <v>1340</v>
      </c>
      <c r="L374" s="20" t="s">
        <v>32</v>
      </c>
      <c r="M374" t="str">
        <f>TEXT(A374,"dddd")</f>
        <v>Wednesday</v>
      </c>
      <c r="N374" s="35">
        <f>DATE(Table4[[#This Row],[year]],Table4[[#This Row],[month2]],Table4[[#This Row],[day]])</f>
        <v>46137</v>
      </c>
    </row>
    <row r="375" spans="1:14" ht="16" x14ac:dyDescent="0.35">
      <c r="A375" t="str">
        <f t="shared" si="10"/>
        <v>25</v>
      </c>
      <c r="B375">
        <f>_xlfn.SWITCH(Table4[[#This Row],[month]],"jan",1,"feb",2,"mar",3,"apr",4,"may",5,"jun",6,"jul",7,"aug",8,"sep",9,"oct",10,"nov",11,"dec",12,"no month")</f>
        <v>4</v>
      </c>
      <c r="C375" s="12" t="str">
        <f>LEFT('All Transactions'!$E375,3)</f>
        <v>Apr</v>
      </c>
      <c r="D375" s="12" t="str">
        <f t="shared" si="11"/>
        <v>2026</v>
      </c>
      <c r="E375" s="22" t="s">
        <v>1313</v>
      </c>
      <c r="F375" s="23" t="s">
        <v>1341</v>
      </c>
      <c r="G375" s="27" t="s">
        <v>54</v>
      </c>
      <c r="H375" s="24">
        <v>30</v>
      </c>
      <c r="I375" s="25" t="s">
        <v>947</v>
      </c>
      <c r="J375" s="25" t="s">
        <v>1342</v>
      </c>
      <c r="K375" s="26" t="s">
        <v>1343</v>
      </c>
      <c r="L375" s="25" t="s">
        <v>58</v>
      </c>
      <c r="M375" t="str">
        <f>TEXT(A375,"dddd")</f>
        <v>Wednesday</v>
      </c>
      <c r="N375" s="35">
        <f>DATE(Table4[[#This Row],[year]],Table4[[#This Row],[month2]],Table4[[#This Row],[day]])</f>
        <v>46137</v>
      </c>
    </row>
    <row r="376" spans="1:14" ht="16" x14ac:dyDescent="0.35">
      <c r="A376" t="str">
        <f t="shared" si="10"/>
        <v>25</v>
      </c>
      <c r="B376">
        <f>_xlfn.SWITCH(Table4[[#This Row],[month]],"jan",1,"feb",2,"mar",3,"apr",4,"may",5,"jun",6,"jul",7,"aug",8,"sep",9,"oct",10,"nov",11,"dec",12,"no month")</f>
        <v>4</v>
      </c>
      <c r="C376" s="12" t="str">
        <f>LEFT('All Transactions'!$E376,3)</f>
        <v>Apr</v>
      </c>
      <c r="D376" s="12" t="str">
        <f t="shared" si="11"/>
        <v>2026</v>
      </c>
      <c r="E376" s="16" t="s">
        <v>1313</v>
      </c>
      <c r="F376" s="17" t="s">
        <v>1344</v>
      </c>
      <c r="G376" s="18" t="s">
        <v>28</v>
      </c>
      <c r="H376" s="19">
        <v>19</v>
      </c>
      <c r="I376" s="20" t="s">
        <v>1345</v>
      </c>
      <c r="J376" s="20" t="s">
        <v>1346</v>
      </c>
      <c r="K376" s="21" t="s">
        <v>1347</v>
      </c>
      <c r="L376" s="20" t="s">
        <v>32</v>
      </c>
      <c r="M376" t="str">
        <f>TEXT(A376,"dddd")</f>
        <v>Wednesday</v>
      </c>
      <c r="N376" s="35">
        <f>DATE(Table4[[#This Row],[year]],Table4[[#This Row],[month2]],Table4[[#This Row],[day]])</f>
        <v>46137</v>
      </c>
    </row>
    <row r="377" spans="1:14" ht="16" x14ac:dyDescent="0.35">
      <c r="A377" t="str">
        <f t="shared" si="10"/>
        <v>25</v>
      </c>
      <c r="B377">
        <f>_xlfn.SWITCH(Table4[[#This Row],[month]],"jan",1,"feb",2,"mar",3,"apr",4,"may",5,"jun",6,"jul",7,"aug",8,"sep",9,"oct",10,"nov",11,"dec",12,"no month")</f>
        <v>4</v>
      </c>
      <c r="C377" s="12" t="str">
        <f>LEFT('All Transactions'!$E377,3)</f>
        <v>Apr</v>
      </c>
      <c r="D377" s="12" t="str">
        <f t="shared" si="11"/>
        <v>2026</v>
      </c>
      <c r="E377" s="22" t="s">
        <v>1313</v>
      </c>
      <c r="F377" s="23" t="s">
        <v>818</v>
      </c>
      <c r="G377" s="18" t="s">
        <v>28</v>
      </c>
      <c r="H377" s="24">
        <v>10</v>
      </c>
      <c r="I377" s="25" t="s">
        <v>201</v>
      </c>
      <c r="J377" s="25" t="s">
        <v>1348</v>
      </c>
      <c r="K377" s="26" t="s">
        <v>1349</v>
      </c>
      <c r="L377" s="25" t="s">
        <v>32</v>
      </c>
      <c r="M377" t="str">
        <f>TEXT(A377,"dddd")</f>
        <v>Wednesday</v>
      </c>
      <c r="N377" s="35">
        <f>DATE(Table4[[#This Row],[year]],Table4[[#This Row],[month2]],Table4[[#This Row],[day]])</f>
        <v>46137</v>
      </c>
    </row>
    <row r="378" spans="1:14" ht="16" x14ac:dyDescent="0.35">
      <c r="A378" t="str">
        <f t="shared" si="10"/>
        <v>25</v>
      </c>
      <c r="B378">
        <f>_xlfn.SWITCH(Table4[[#This Row],[month]],"jan",1,"feb",2,"mar",3,"apr",4,"may",5,"jun",6,"jul",7,"aug",8,"sep",9,"oct",10,"nov",11,"dec",12,"no month")</f>
        <v>4</v>
      </c>
      <c r="C378" s="12" t="str">
        <f>LEFT('All Transactions'!$E378,3)</f>
        <v>Apr</v>
      </c>
      <c r="D378" s="12" t="str">
        <f t="shared" si="11"/>
        <v>2026</v>
      </c>
      <c r="E378" s="16" t="s">
        <v>1313</v>
      </c>
      <c r="F378" s="17" t="s">
        <v>1350</v>
      </c>
      <c r="G378" s="27" t="s">
        <v>54</v>
      </c>
      <c r="H378" s="19">
        <v>120</v>
      </c>
      <c r="I378" s="20" t="s">
        <v>156</v>
      </c>
      <c r="J378" s="20" t="s">
        <v>1351</v>
      </c>
      <c r="K378" s="21" t="s">
        <v>1352</v>
      </c>
      <c r="L378" s="20" t="s">
        <v>58</v>
      </c>
      <c r="M378" t="str">
        <f>TEXT(A378,"dddd")</f>
        <v>Wednesday</v>
      </c>
      <c r="N378" s="35">
        <f>DATE(Table4[[#This Row],[year]],Table4[[#This Row],[month2]],Table4[[#This Row],[day]])</f>
        <v>46137</v>
      </c>
    </row>
    <row r="379" spans="1:14" ht="16" x14ac:dyDescent="0.35">
      <c r="A379" t="str">
        <f t="shared" si="10"/>
        <v>25</v>
      </c>
      <c r="B379">
        <f>_xlfn.SWITCH(Table4[[#This Row],[month]],"jan",1,"feb",2,"mar",3,"apr",4,"may",5,"jun",6,"jul",7,"aug",8,"sep",9,"oct",10,"nov",11,"dec",12,"no month")</f>
        <v>4</v>
      </c>
      <c r="C379" s="12" t="str">
        <f>LEFT('All Transactions'!$E379,3)</f>
        <v>Apr</v>
      </c>
      <c r="D379" s="12" t="str">
        <f t="shared" si="11"/>
        <v>2026</v>
      </c>
      <c r="E379" s="22" t="s">
        <v>1313</v>
      </c>
      <c r="F379" s="23" t="s">
        <v>1353</v>
      </c>
      <c r="G379" s="18" t="s">
        <v>28</v>
      </c>
      <c r="H379" s="24">
        <v>120.51</v>
      </c>
      <c r="I379" s="25" t="s">
        <v>536</v>
      </c>
      <c r="J379" s="25" t="s">
        <v>1354</v>
      </c>
      <c r="K379" s="26" t="s">
        <v>1355</v>
      </c>
      <c r="L379" s="25" t="s">
        <v>32</v>
      </c>
      <c r="M379" t="str">
        <f>TEXT(A379,"dddd")</f>
        <v>Wednesday</v>
      </c>
      <c r="N379" s="35">
        <f>DATE(Table4[[#This Row],[year]],Table4[[#This Row],[month2]],Table4[[#This Row],[day]])</f>
        <v>46137</v>
      </c>
    </row>
    <row r="380" spans="1:14" ht="16" x14ac:dyDescent="0.35">
      <c r="A380" t="str">
        <f t="shared" si="10"/>
        <v>24</v>
      </c>
      <c r="B380">
        <f>_xlfn.SWITCH(Table4[[#This Row],[month]],"jan",1,"feb",2,"mar",3,"apr",4,"may",5,"jun",6,"jul",7,"aug",8,"sep",9,"oct",10,"nov",11,"dec",12,"no month")</f>
        <v>4</v>
      </c>
      <c r="C380" s="12" t="str">
        <f>LEFT('All Transactions'!$E380,3)</f>
        <v>Apr</v>
      </c>
      <c r="D380" s="12" t="str">
        <f t="shared" si="11"/>
        <v>2026</v>
      </c>
      <c r="E380" s="16" t="s">
        <v>1356</v>
      </c>
      <c r="F380" s="17" t="s">
        <v>335</v>
      </c>
      <c r="G380" s="18" t="s">
        <v>28</v>
      </c>
      <c r="H380" s="19">
        <v>40</v>
      </c>
      <c r="I380" s="20" t="s">
        <v>1357</v>
      </c>
      <c r="J380" s="20" t="s">
        <v>1358</v>
      </c>
      <c r="K380" s="21" t="s">
        <v>1359</v>
      </c>
      <c r="L380" s="20" t="s">
        <v>32</v>
      </c>
      <c r="M380" t="str">
        <f>TEXT(A380,"dddd")</f>
        <v>Tuesday</v>
      </c>
      <c r="N380" s="35">
        <f>DATE(Table4[[#This Row],[year]],Table4[[#This Row],[month2]],Table4[[#This Row],[day]])</f>
        <v>46136</v>
      </c>
    </row>
    <row r="381" spans="1:14" ht="16" x14ac:dyDescent="0.35">
      <c r="A381" t="str">
        <f t="shared" si="10"/>
        <v>24</v>
      </c>
      <c r="B381">
        <f>_xlfn.SWITCH(Table4[[#This Row],[month]],"jan",1,"feb",2,"mar",3,"apr",4,"may",5,"jun",6,"jul",7,"aug",8,"sep",9,"oct",10,"nov",11,"dec",12,"no month")</f>
        <v>4</v>
      </c>
      <c r="C381" s="12" t="str">
        <f>LEFT('All Transactions'!$E381,3)</f>
        <v>Apr</v>
      </c>
      <c r="D381" s="12" t="str">
        <f t="shared" si="11"/>
        <v>2026</v>
      </c>
      <c r="E381" s="22" t="s">
        <v>1356</v>
      </c>
      <c r="F381" s="23" t="s">
        <v>548</v>
      </c>
      <c r="G381" s="27" t="s">
        <v>54</v>
      </c>
      <c r="H381" s="24">
        <v>47</v>
      </c>
      <c r="I381" s="25" t="s">
        <v>1360</v>
      </c>
      <c r="J381" s="25" t="s">
        <v>1361</v>
      </c>
      <c r="K381" s="26" t="s">
        <v>1362</v>
      </c>
      <c r="L381" s="25" t="s">
        <v>58</v>
      </c>
      <c r="M381" t="str">
        <f>TEXT(A381,"dddd")</f>
        <v>Tuesday</v>
      </c>
      <c r="N381" s="35">
        <f>DATE(Table4[[#This Row],[year]],Table4[[#This Row],[month2]],Table4[[#This Row],[day]])</f>
        <v>46136</v>
      </c>
    </row>
    <row r="382" spans="1:14" ht="16" x14ac:dyDescent="0.35">
      <c r="A382" t="str">
        <f t="shared" si="10"/>
        <v>24</v>
      </c>
      <c r="B382">
        <f>_xlfn.SWITCH(Table4[[#This Row],[month]],"jan",1,"feb",2,"mar",3,"apr",4,"may",5,"jun",6,"jul",7,"aug",8,"sep",9,"oct",10,"nov",11,"dec",12,"no month")</f>
        <v>4</v>
      </c>
      <c r="C382" s="12" t="str">
        <f>LEFT('All Transactions'!$E382,3)</f>
        <v>Apr</v>
      </c>
      <c r="D382" s="12" t="str">
        <f t="shared" si="11"/>
        <v>2026</v>
      </c>
      <c r="E382" s="16" t="s">
        <v>1356</v>
      </c>
      <c r="F382" s="17" t="s">
        <v>155</v>
      </c>
      <c r="G382" s="27" t="s">
        <v>54</v>
      </c>
      <c r="H382" s="19">
        <v>107</v>
      </c>
      <c r="I382" s="20" t="s">
        <v>1363</v>
      </c>
      <c r="J382" s="20" t="s">
        <v>1364</v>
      </c>
      <c r="K382" s="21" t="s">
        <v>1365</v>
      </c>
      <c r="L382" s="20" t="s">
        <v>58</v>
      </c>
      <c r="M382" t="str">
        <f>TEXT(A382,"dddd")</f>
        <v>Tuesday</v>
      </c>
      <c r="N382" s="35">
        <f>DATE(Table4[[#This Row],[year]],Table4[[#This Row],[month2]],Table4[[#This Row],[day]])</f>
        <v>46136</v>
      </c>
    </row>
    <row r="383" spans="1:14" ht="16" x14ac:dyDescent="0.35">
      <c r="A383" t="str">
        <f t="shared" si="10"/>
        <v>24</v>
      </c>
      <c r="B383">
        <f>_xlfn.SWITCH(Table4[[#This Row],[month]],"jan",1,"feb",2,"mar",3,"apr",4,"may",5,"jun",6,"jul",7,"aug",8,"sep",9,"oct",10,"nov",11,"dec",12,"no month")</f>
        <v>4</v>
      </c>
      <c r="C383" s="12" t="str">
        <f>LEFT('All Transactions'!$E383,3)</f>
        <v>Apr</v>
      </c>
      <c r="D383" s="12" t="str">
        <f t="shared" si="11"/>
        <v>2026</v>
      </c>
      <c r="E383" s="22" t="s">
        <v>1356</v>
      </c>
      <c r="F383" s="23" t="s">
        <v>388</v>
      </c>
      <c r="G383" s="27" t="s">
        <v>54</v>
      </c>
      <c r="H383" s="24">
        <v>55</v>
      </c>
      <c r="I383" s="25" t="s">
        <v>1366</v>
      </c>
      <c r="J383" s="25" t="s">
        <v>1367</v>
      </c>
      <c r="K383" s="26" t="s">
        <v>1368</v>
      </c>
      <c r="L383" s="25" t="s">
        <v>58</v>
      </c>
      <c r="M383" t="str">
        <f>TEXT(A383,"dddd")</f>
        <v>Tuesday</v>
      </c>
      <c r="N383" s="35">
        <f>DATE(Table4[[#This Row],[year]],Table4[[#This Row],[month2]],Table4[[#This Row],[day]])</f>
        <v>46136</v>
      </c>
    </row>
    <row r="384" spans="1:14" ht="16" x14ac:dyDescent="0.35">
      <c r="A384" t="str">
        <f t="shared" si="10"/>
        <v>24</v>
      </c>
      <c r="B384">
        <f>_xlfn.SWITCH(Table4[[#This Row],[month]],"jan",1,"feb",2,"mar",3,"apr",4,"may",5,"jun",6,"jul",7,"aug",8,"sep",9,"oct",10,"nov",11,"dec",12,"no month")</f>
        <v>4</v>
      </c>
      <c r="C384" s="12" t="str">
        <f>LEFT('All Transactions'!$E384,3)</f>
        <v>Apr</v>
      </c>
      <c r="D384" s="12" t="str">
        <f t="shared" si="11"/>
        <v>2026</v>
      </c>
      <c r="E384" s="16" t="s">
        <v>1356</v>
      </c>
      <c r="F384" s="17" t="s">
        <v>1369</v>
      </c>
      <c r="G384" s="27" t="s">
        <v>54</v>
      </c>
      <c r="H384" s="19">
        <v>76</v>
      </c>
      <c r="I384" s="20" t="s">
        <v>1370</v>
      </c>
      <c r="J384" s="20" t="s">
        <v>1371</v>
      </c>
      <c r="K384" s="21" t="s">
        <v>1372</v>
      </c>
      <c r="L384" s="20" t="s">
        <v>58</v>
      </c>
      <c r="M384" t="str">
        <f>TEXT(A384,"dddd")</f>
        <v>Tuesday</v>
      </c>
      <c r="N384" s="35">
        <f>DATE(Table4[[#This Row],[year]],Table4[[#This Row],[month2]],Table4[[#This Row],[day]])</f>
        <v>46136</v>
      </c>
    </row>
    <row r="385" spans="1:14" ht="16" x14ac:dyDescent="0.35">
      <c r="A385" t="str">
        <f t="shared" si="10"/>
        <v>24</v>
      </c>
      <c r="B385">
        <f>_xlfn.SWITCH(Table4[[#This Row],[month]],"jan",1,"feb",2,"mar",3,"apr",4,"may",5,"jun",6,"jul",7,"aug",8,"sep",9,"oct",10,"nov",11,"dec",12,"no month")</f>
        <v>4</v>
      </c>
      <c r="C385" s="12" t="str">
        <f>LEFT('All Transactions'!$E385,3)</f>
        <v>Apr</v>
      </c>
      <c r="D385" s="12" t="str">
        <f t="shared" si="11"/>
        <v>2026</v>
      </c>
      <c r="E385" s="22" t="s">
        <v>1356</v>
      </c>
      <c r="F385" s="23" t="s">
        <v>1321</v>
      </c>
      <c r="G385" s="27" t="s">
        <v>54</v>
      </c>
      <c r="H385" s="24">
        <v>100</v>
      </c>
      <c r="I385" s="25" t="s">
        <v>1373</v>
      </c>
      <c r="J385" s="25" t="s">
        <v>1374</v>
      </c>
      <c r="K385" s="26" t="s">
        <v>1375</v>
      </c>
      <c r="L385" s="25" t="s">
        <v>58</v>
      </c>
      <c r="M385" t="str">
        <f>TEXT(A385,"dddd")</f>
        <v>Tuesday</v>
      </c>
      <c r="N385" s="35">
        <f>DATE(Table4[[#This Row],[year]],Table4[[#This Row],[month2]],Table4[[#This Row],[day]])</f>
        <v>46136</v>
      </c>
    </row>
    <row r="386" spans="1:14" ht="16" x14ac:dyDescent="0.35">
      <c r="A386" t="str">
        <f t="shared" si="10"/>
        <v>24</v>
      </c>
      <c r="B386">
        <f>_xlfn.SWITCH(Table4[[#This Row],[month]],"jan",1,"feb",2,"mar",3,"apr",4,"may",5,"jun",6,"jul",7,"aug",8,"sep",9,"oct",10,"nov",11,"dec",12,"no month")</f>
        <v>4</v>
      </c>
      <c r="C386" s="12" t="str">
        <f>LEFT('All Transactions'!$E386,3)</f>
        <v>Apr</v>
      </c>
      <c r="D386" s="12" t="str">
        <f t="shared" si="11"/>
        <v>2026</v>
      </c>
      <c r="E386" s="16" t="s">
        <v>1356</v>
      </c>
      <c r="F386" s="17" t="s">
        <v>1161</v>
      </c>
      <c r="G386" s="27" t="s">
        <v>54</v>
      </c>
      <c r="H386" s="19">
        <v>107</v>
      </c>
      <c r="I386" s="20" t="s">
        <v>1376</v>
      </c>
      <c r="J386" s="20" t="s">
        <v>1377</v>
      </c>
      <c r="K386" s="21" t="s">
        <v>1378</v>
      </c>
      <c r="L386" s="20" t="s">
        <v>58</v>
      </c>
      <c r="M386" t="str">
        <f>TEXT(A386,"dddd")</f>
        <v>Tuesday</v>
      </c>
      <c r="N386" s="35">
        <f>DATE(Table4[[#This Row],[year]],Table4[[#This Row],[month2]],Table4[[#This Row],[day]])</f>
        <v>46136</v>
      </c>
    </row>
    <row r="387" spans="1:14" ht="16" x14ac:dyDescent="0.35">
      <c r="A387" t="str">
        <f t="shared" ref="A387:A450" si="12">MID(E387,5,2)</f>
        <v>24</v>
      </c>
      <c r="B387">
        <f>_xlfn.SWITCH(Table4[[#This Row],[month]],"jan",1,"feb",2,"mar",3,"apr",4,"may",5,"jun",6,"jul",7,"aug",8,"sep",9,"oct",10,"nov",11,"dec",12,"no month")</f>
        <v>4</v>
      </c>
      <c r="C387" s="12" t="str">
        <f>LEFT('All Transactions'!$E387,3)</f>
        <v>Apr</v>
      </c>
      <c r="D387" s="12" t="str">
        <f t="shared" ref="D387:D450" si="13">RIGHT(E387,4)</f>
        <v>2026</v>
      </c>
      <c r="E387" s="22" t="s">
        <v>1356</v>
      </c>
      <c r="F387" s="23" t="s">
        <v>1086</v>
      </c>
      <c r="G387" s="18" t="s">
        <v>28</v>
      </c>
      <c r="H387" s="24">
        <v>10</v>
      </c>
      <c r="I387" s="25" t="s">
        <v>1379</v>
      </c>
      <c r="J387" s="25" t="s">
        <v>1380</v>
      </c>
      <c r="K387" s="26" t="s">
        <v>1381</v>
      </c>
      <c r="L387" s="25" t="s">
        <v>32</v>
      </c>
      <c r="M387" t="str">
        <f>TEXT(A387,"dddd")</f>
        <v>Tuesday</v>
      </c>
      <c r="N387" s="35">
        <f>DATE(Table4[[#This Row],[year]],Table4[[#This Row],[month2]],Table4[[#This Row],[day]])</f>
        <v>46136</v>
      </c>
    </row>
    <row r="388" spans="1:14" ht="16" x14ac:dyDescent="0.35">
      <c r="A388" t="str">
        <f t="shared" si="12"/>
        <v>24</v>
      </c>
      <c r="B388">
        <f>_xlfn.SWITCH(Table4[[#This Row],[month]],"jan",1,"feb",2,"mar",3,"apr",4,"may",5,"jun",6,"jul",7,"aug",8,"sep",9,"oct",10,"nov",11,"dec",12,"no month")</f>
        <v>4</v>
      </c>
      <c r="C388" s="12" t="str">
        <f>LEFT('All Transactions'!$E388,3)</f>
        <v>Apr</v>
      </c>
      <c r="D388" s="12" t="str">
        <f t="shared" si="13"/>
        <v>2026</v>
      </c>
      <c r="E388" s="16" t="s">
        <v>1356</v>
      </c>
      <c r="F388" s="17" t="s">
        <v>1327</v>
      </c>
      <c r="G388" s="27" t="s">
        <v>54</v>
      </c>
      <c r="H388" s="19">
        <v>160</v>
      </c>
      <c r="I388" s="20" t="s">
        <v>1382</v>
      </c>
      <c r="J388" s="20" t="s">
        <v>1383</v>
      </c>
      <c r="K388" s="21" t="s">
        <v>1384</v>
      </c>
      <c r="L388" s="20" t="s">
        <v>58</v>
      </c>
      <c r="M388" t="str">
        <f>TEXT(A388,"dddd")</f>
        <v>Tuesday</v>
      </c>
      <c r="N388" s="35">
        <f>DATE(Table4[[#This Row],[year]],Table4[[#This Row],[month2]],Table4[[#This Row],[day]])</f>
        <v>46136</v>
      </c>
    </row>
    <row r="389" spans="1:14" ht="16" x14ac:dyDescent="0.35">
      <c r="A389" t="str">
        <f t="shared" si="12"/>
        <v>24</v>
      </c>
      <c r="B389">
        <f>_xlfn.SWITCH(Table4[[#This Row],[month]],"jan",1,"feb",2,"mar",3,"apr",4,"may",5,"jun",6,"jul",7,"aug",8,"sep",9,"oct",10,"nov",11,"dec",12,"no month")</f>
        <v>4</v>
      </c>
      <c r="C389" s="12" t="str">
        <f>LEFT('All Transactions'!$E389,3)</f>
        <v>Apr</v>
      </c>
      <c r="D389" s="12" t="str">
        <f t="shared" si="13"/>
        <v>2026</v>
      </c>
      <c r="E389" s="22" t="s">
        <v>1356</v>
      </c>
      <c r="F389" s="23" t="s">
        <v>1385</v>
      </c>
      <c r="G389" s="18" t="s">
        <v>28</v>
      </c>
      <c r="H389" s="24">
        <v>10</v>
      </c>
      <c r="I389" s="25" t="s">
        <v>167</v>
      </c>
      <c r="J389" s="25" t="s">
        <v>1386</v>
      </c>
      <c r="K389" s="26" t="s">
        <v>1387</v>
      </c>
      <c r="L389" s="25" t="s">
        <v>32</v>
      </c>
      <c r="M389" t="str">
        <f>TEXT(A389,"dddd")</f>
        <v>Tuesday</v>
      </c>
      <c r="N389" s="35">
        <f>DATE(Table4[[#This Row],[year]],Table4[[#This Row],[month2]],Table4[[#This Row],[day]])</f>
        <v>46136</v>
      </c>
    </row>
    <row r="390" spans="1:14" ht="16" x14ac:dyDescent="0.35">
      <c r="A390" t="str">
        <f t="shared" si="12"/>
        <v>24</v>
      </c>
      <c r="B390">
        <f>_xlfn.SWITCH(Table4[[#This Row],[month]],"jan",1,"feb",2,"mar",3,"apr",4,"may",5,"jun",6,"jul",7,"aug",8,"sep",9,"oct",10,"nov",11,"dec",12,"no month")</f>
        <v>4</v>
      </c>
      <c r="C390" s="12" t="str">
        <f>LEFT('All Transactions'!$E390,3)</f>
        <v>Apr</v>
      </c>
      <c r="D390" s="12" t="str">
        <f t="shared" si="13"/>
        <v>2026</v>
      </c>
      <c r="E390" s="16" t="s">
        <v>1356</v>
      </c>
      <c r="F390" s="17" t="s">
        <v>1388</v>
      </c>
      <c r="G390" s="18" t="s">
        <v>28</v>
      </c>
      <c r="H390" s="19">
        <v>170</v>
      </c>
      <c r="I390" s="20" t="s">
        <v>167</v>
      </c>
      <c r="J390" s="20" t="s">
        <v>1389</v>
      </c>
      <c r="K390" s="21" t="s">
        <v>1390</v>
      </c>
      <c r="L390" s="20" t="s">
        <v>32</v>
      </c>
      <c r="M390" t="str">
        <f>TEXT(A390,"dddd")</f>
        <v>Tuesday</v>
      </c>
      <c r="N390" s="35">
        <f>DATE(Table4[[#This Row],[year]],Table4[[#This Row],[month2]],Table4[[#This Row],[day]])</f>
        <v>46136</v>
      </c>
    </row>
    <row r="391" spans="1:14" ht="16" x14ac:dyDescent="0.35">
      <c r="A391" t="str">
        <f t="shared" si="12"/>
        <v>24</v>
      </c>
      <c r="B391">
        <f>_xlfn.SWITCH(Table4[[#This Row],[month]],"jan",1,"feb",2,"mar",3,"apr",4,"may",5,"jun",6,"jul",7,"aug",8,"sep",9,"oct",10,"nov",11,"dec",12,"no month")</f>
        <v>4</v>
      </c>
      <c r="C391" s="12" t="str">
        <f>LEFT('All Transactions'!$E391,3)</f>
        <v>Apr</v>
      </c>
      <c r="D391" s="12" t="str">
        <f t="shared" si="13"/>
        <v>2026</v>
      </c>
      <c r="E391" s="22" t="s">
        <v>1356</v>
      </c>
      <c r="F391" s="23" t="s">
        <v>320</v>
      </c>
      <c r="G391" s="18" t="s">
        <v>28</v>
      </c>
      <c r="H391" s="24">
        <v>12</v>
      </c>
      <c r="I391" s="25" t="s">
        <v>191</v>
      </c>
      <c r="J391" s="25" t="s">
        <v>1391</v>
      </c>
      <c r="K391" s="26" t="s">
        <v>1392</v>
      </c>
      <c r="L391" s="25" t="s">
        <v>32</v>
      </c>
      <c r="M391" t="str">
        <f>TEXT(A391,"dddd")</f>
        <v>Tuesday</v>
      </c>
      <c r="N391" s="35">
        <f>DATE(Table4[[#This Row],[year]],Table4[[#This Row],[month2]],Table4[[#This Row],[day]])</f>
        <v>46136</v>
      </c>
    </row>
    <row r="392" spans="1:14" ht="16" x14ac:dyDescent="0.35">
      <c r="A392" t="str">
        <f t="shared" si="12"/>
        <v>24</v>
      </c>
      <c r="B392">
        <f>_xlfn.SWITCH(Table4[[#This Row],[month]],"jan",1,"feb",2,"mar",3,"apr",4,"may",5,"jun",6,"jul",7,"aug",8,"sep",9,"oct",10,"nov",11,"dec",12,"no month")</f>
        <v>4</v>
      </c>
      <c r="C392" s="12" t="str">
        <f>LEFT('All Transactions'!$E392,3)</f>
        <v>Apr</v>
      </c>
      <c r="D392" s="12" t="str">
        <f t="shared" si="13"/>
        <v>2026</v>
      </c>
      <c r="E392" s="16" t="s">
        <v>1356</v>
      </c>
      <c r="F392" s="17" t="s">
        <v>1393</v>
      </c>
      <c r="G392" s="27" t="s">
        <v>54</v>
      </c>
      <c r="H392" s="19">
        <v>200</v>
      </c>
      <c r="I392" s="20" t="s">
        <v>156</v>
      </c>
      <c r="J392" s="20" t="s">
        <v>1394</v>
      </c>
      <c r="K392" s="21" t="s">
        <v>1395</v>
      </c>
      <c r="L392" s="20" t="s">
        <v>58</v>
      </c>
      <c r="M392" t="str">
        <f>TEXT(A392,"dddd")</f>
        <v>Tuesday</v>
      </c>
      <c r="N392" s="35">
        <f>DATE(Table4[[#This Row],[year]],Table4[[#This Row],[month2]],Table4[[#This Row],[day]])</f>
        <v>46136</v>
      </c>
    </row>
    <row r="393" spans="1:14" ht="16" x14ac:dyDescent="0.35">
      <c r="A393" t="str">
        <f t="shared" si="12"/>
        <v>24</v>
      </c>
      <c r="B393">
        <f>_xlfn.SWITCH(Table4[[#This Row],[month]],"jan",1,"feb",2,"mar",3,"apr",4,"may",5,"jun",6,"jul",7,"aug",8,"sep",9,"oct",10,"nov",11,"dec",12,"no month")</f>
        <v>4</v>
      </c>
      <c r="C393" s="12" t="str">
        <f>LEFT('All Transactions'!$E393,3)</f>
        <v>Apr</v>
      </c>
      <c r="D393" s="12" t="str">
        <f t="shared" si="13"/>
        <v>2026</v>
      </c>
      <c r="E393" s="22" t="s">
        <v>1356</v>
      </c>
      <c r="F393" s="23" t="s">
        <v>1396</v>
      </c>
      <c r="G393" s="18" t="s">
        <v>28</v>
      </c>
      <c r="H393" s="24">
        <v>30</v>
      </c>
      <c r="I393" s="25" t="s">
        <v>800</v>
      </c>
      <c r="J393" s="25" t="s">
        <v>1397</v>
      </c>
      <c r="K393" s="26" t="s">
        <v>1398</v>
      </c>
      <c r="L393" s="25" t="s">
        <v>32</v>
      </c>
      <c r="M393" t="str">
        <f>TEXT(A393,"dddd")</f>
        <v>Tuesday</v>
      </c>
      <c r="N393" s="35">
        <f>DATE(Table4[[#This Row],[year]],Table4[[#This Row],[month2]],Table4[[#This Row],[day]])</f>
        <v>46136</v>
      </c>
    </row>
    <row r="394" spans="1:14" ht="16" x14ac:dyDescent="0.35">
      <c r="A394" t="str">
        <f t="shared" si="12"/>
        <v>24</v>
      </c>
      <c r="B394">
        <f>_xlfn.SWITCH(Table4[[#This Row],[month]],"jan",1,"feb",2,"mar",3,"apr",4,"may",5,"jun",6,"jul",7,"aug",8,"sep",9,"oct",10,"nov",11,"dec",12,"no month")</f>
        <v>4</v>
      </c>
      <c r="C394" s="12" t="str">
        <f>LEFT('All Transactions'!$E394,3)</f>
        <v>Apr</v>
      </c>
      <c r="D394" s="12" t="str">
        <f t="shared" si="13"/>
        <v>2026</v>
      </c>
      <c r="E394" s="16" t="s">
        <v>1356</v>
      </c>
      <c r="F394" s="17" t="s">
        <v>1399</v>
      </c>
      <c r="G394" s="18" t="s">
        <v>28</v>
      </c>
      <c r="H394" s="19">
        <v>200</v>
      </c>
      <c r="I394" s="20" t="s">
        <v>1400</v>
      </c>
      <c r="J394" s="20" t="s">
        <v>1401</v>
      </c>
      <c r="K394" s="21" t="s">
        <v>1402</v>
      </c>
      <c r="L394" s="20" t="s">
        <v>32</v>
      </c>
      <c r="M394" t="str">
        <f>TEXT(A394,"dddd")</f>
        <v>Tuesday</v>
      </c>
      <c r="N394" s="35">
        <f>DATE(Table4[[#This Row],[year]],Table4[[#This Row],[month2]],Table4[[#This Row],[day]])</f>
        <v>46136</v>
      </c>
    </row>
    <row r="395" spans="1:14" ht="16" x14ac:dyDescent="0.35">
      <c r="A395" t="str">
        <f t="shared" si="12"/>
        <v>24</v>
      </c>
      <c r="B395">
        <f>_xlfn.SWITCH(Table4[[#This Row],[month]],"jan",1,"feb",2,"mar",3,"apr",4,"may",5,"jun",6,"jul",7,"aug",8,"sep",9,"oct",10,"nov",11,"dec",12,"no month")</f>
        <v>4</v>
      </c>
      <c r="C395" s="12" t="str">
        <f>LEFT('All Transactions'!$E395,3)</f>
        <v>Apr</v>
      </c>
      <c r="D395" s="12" t="str">
        <f t="shared" si="13"/>
        <v>2026</v>
      </c>
      <c r="E395" s="22" t="s">
        <v>1356</v>
      </c>
      <c r="F395" s="23" t="s">
        <v>1403</v>
      </c>
      <c r="G395" s="18" t="s">
        <v>28</v>
      </c>
      <c r="H395" s="24">
        <v>200</v>
      </c>
      <c r="I395" s="25" t="s">
        <v>1404</v>
      </c>
      <c r="J395" s="25" t="s">
        <v>1405</v>
      </c>
      <c r="K395" s="26" t="s">
        <v>1406</v>
      </c>
      <c r="L395" s="25" t="s">
        <v>32</v>
      </c>
      <c r="M395" t="str">
        <f>TEXT(A395,"dddd")</f>
        <v>Tuesday</v>
      </c>
      <c r="N395" s="35">
        <f>DATE(Table4[[#This Row],[year]],Table4[[#This Row],[month2]],Table4[[#This Row],[day]])</f>
        <v>46136</v>
      </c>
    </row>
    <row r="396" spans="1:14" ht="16" x14ac:dyDescent="0.35">
      <c r="A396" t="str">
        <f t="shared" si="12"/>
        <v>24</v>
      </c>
      <c r="B396">
        <f>_xlfn.SWITCH(Table4[[#This Row],[month]],"jan",1,"feb",2,"mar",3,"apr",4,"may",5,"jun",6,"jul",7,"aug",8,"sep",9,"oct",10,"nov",11,"dec",12,"no month")</f>
        <v>4</v>
      </c>
      <c r="C396" s="12" t="str">
        <f>LEFT('All Transactions'!$E396,3)</f>
        <v>Apr</v>
      </c>
      <c r="D396" s="12" t="str">
        <f t="shared" si="13"/>
        <v>2026</v>
      </c>
      <c r="E396" s="16" t="s">
        <v>1356</v>
      </c>
      <c r="F396" s="17" t="s">
        <v>1407</v>
      </c>
      <c r="G396" s="18" t="s">
        <v>28</v>
      </c>
      <c r="H396" s="19">
        <v>1500</v>
      </c>
      <c r="I396" s="20" t="s">
        <v>1408</v>
      </c>
      <c r="J396" s="20" t="s">
        <v>1409</v>
      </c>
      <c r="K396" s="21" t="s">
        <v>1410</v>
      </c>
      <c r="L396" s="20" t="s">
        <v>32</v>
      </c>
      <c r="M396" t="str">
        <f>TEXT(A396,"dddd")</f>
        <v>Tuesday</v>
      </c>
      <c r="N396" s="35">
        <f>DATE(Table4[[#This Row],[year]],Table4[[#This Row],[month2]],Table4[[#This Row],[day]])</f>
        <v>46136</v>
      </c>
    </row>
    <row r="397" spans="1:14" ht="16" x14ac:dyDescent="0.35">
      <c r="A397" t="str">
        <f t="shared" si="12"/>
        <v>24</v>
      </c>
      <c r="B397">
        <f>_xlfn.SWITCH(Table4[[#This Row],[month]],"jan",1,"feb",2,"mar",3,"apr",4,"may",5,"jun",6,"jul",7,"aug",8,"sep",9,"oct",10,"nov",11,"dec",12,"no month")</f>
        <v>4</v>
      </c>
      <c r="C397" s="12" t="str">
        <f>LEFT('All Transactions'!$E397,3)</f>
        <v>Apr</v>
      </c>
      <c r="D397" s="12" t="str">
        <f t="shared" si="13"/>
        <v>2026</v>
      </c>
      <c r="E397" s="22" t="s">
        <v>1356</v>
      </c>
      <c r="F397" s="23" t="s">
        <v>1411</v>
      </c>
      <c r="G397" s="27" t="s">
        <v>54</v>
      </c>
      <c r="H397" s="24">
        <v>2000</v>
      </c>
      <c r="I397" s="25" t="s">
        <v>1090</v>
      </c>
      <c r="J397" s="25" t="s">
        <v>1412</v>
      </c>
      <c r="K397" s="26" t="s">
        <v>1413</v>
      </c>
      <c r="L397" s="25" t="s">
        <v>58</v>
      </c>
      <c r="M397" t="str">
        <f>TEXT(A397,"dddd")</f>
        <v>Tuesday</v>
      </c>
      <c r="N397" s="35">
        <f>DATE(Table4[[#This Row],[year]],Table4[[#This Row],[month2]],Table4[[#This Row],[day]])</f>
        <v>46136</v>
      </c>
    </row>
    <row r="398" spans="1:14" ht="16" x14ac:dyDescent="0.35">
      <c r="A398" t="str">
        <f t="shared" si="12"/>
        <v>24</v>
      </c>
      <c r="B398">
        <f>_xlfn.SWITCH(Table4[[#This Row],[month]],"jan",1,"feb",2,"mar",3,"apr",4,"may",5,"jun",6,"jul",7,"aug",8,"sep",9,"oct",10,"nov",11,"dec",12,"no month")</f>
        <v>4</v>
      </c>
      <c r="C398" s="12" t="str">
        <f>LEFT('All Transactions'!$E398,3)</f>
        <v>Apr</v>
      </c>
      <c r="D398" s="12" t="str">
        <f t="shared" si="13"/>
        <v>2026</v>
      </c>
      <c r="E398" s="16" t="s">
        <v>1356</v>
      </c>
      <c r="F398" s="17" t="s">
        <v>1414</v>
      </c>
      <c r="G398" s="18" t="s">
        <v>28</v>
      </c>
      <c r="H398" s="19">
        <v>100</v>
      </c>
      <c r="I398" s="20" t="s">
        <v>167</v>
      </c>
      <c r="J398" s="20" t="s">
        <v>1415</v>
      </c>
      <c r="K398" s="21" t="s">
        <v>1416</v>
      </c>
      <c r="L398" s="20" t="s">
        <v>32</v>
      </c>
      <c r="M398" t="str">
        <f>TEXT(A398,"dddd")</f>
        <v>Tuesday</v>
      </c>
      <c r="N398" s="35">
        <f>DATE(Table4[[#This Row],[year]],Table4[[#This Row],[month2]],Table4[[#This Row],[day]])</f>
        <v>46136</v>
      </c>
    </row>
    <row r="399" spans="1:14" ht="16" x14ac:dyDescent="0.35">
      <c r="A399" t="str">
        <f t="shared" si="12"/>
        <v>24</v>
      </c>
      <c r="B399">
        <f>_xlfn.SWITCH(Table4[[#This Row],[month]],"jan",1,"feb",2,"mar",3,"apr",4,"may",5,"jun",6,"jul",7,"aug",8,"sep",9,"oct",10,"nov",11,"dec",12,"no month")</f>
        <v>4</v>
      </c>
      <c r="C399" s="12" t="str">
        <f>LEFT('All Transactions'!$E399,3)</f>
        <v>Apr</v>
      </c>
      <c r="D399" s="12" t="str">
        <f t="shared" si="13"/>
        <v>2026</v>
      </c>
      <c r="E399" s="22" t="s">
        <v>1356</v>
      </c>
      <c r="F399" s="23" t="s">
        <v>1417</v>
      </c>
      <c r="G399" s="27" t="s">
        <v>54</v>
      </c>
      <c r="H399" s="24">
        <v>136</v>
      </c>
      <c r="I399" s="25" t="s">
        <v>89</v>
      </c>
      <c r="J399" s="25" t="s">
        <v>1418</v>
      </c>
      <c r="K399" s="26" t="s">
        <v>1419</v>
      </c>
      <c r="L399" s="25" t="s">
        <v>58</v>
      </c>
      <c r="M399" t="str">
        <f>TEXT(A399,"dddd")</f>
        <v>Tuesday</v>
      </c>
      <c r="N399" s="35">
        <f>DATE(Table4[[#This Row],[year]],Table4[[#This Row],[month2]],Table4[[#This Row],[day]])</f>
        <v>46136</v>
      </c>
    </row>
    <row r="400" spans="1:14" ht="16" x14ac:dyDescent="0.35">
      <c r="A400" t="str">
        <f t="shared" si="12"/>
        <v>23</v>
      </c>
      <c r="B400">
        <f>_xlfn.SWITCH(Table4[[#This Row],[month]],"jan",1,"feb",2,"mar",3,"apr",4,"may",5,"jun",6,"jul",7,"aug",8,"sep",9,"oct",10,"nov",11,"dec",12,"no month")</f>
        <v>4</v>
      </c>
      <c r="C400" s="12" t="str">
        <f>LEFT('All Transactions'!$E400,3)</f>
        <v>Apr</v>
      </c>
      <c r="D400" s="12" t="str">
        <f t="shared" si="13"/>
        <v>2026</v>
      </c>
      <c r="E400" s="16" t="s">
        <v>1420</v>
      </c>
      <c r="F400" s="17" t="s">
        <v>1421</v>
      </c>
      <c r="G400" s="18" t="s">
        <v>28</v>
      </c>
      <c r="H400" s="19">
        <v>90</v>
      </c>
      <c r="I400" s="20" t="s">
        <v>374</v>
      </c>
      <c r="J400" s="20" t="s">
        <v>1422</v>
      </c>
      <c r="K400" s="21" t="s">
        <v>1423</v>
      </c>
      <c r="L400" s="20" t="s">
        <v>32</v>
      </c>
      <c r="M400" t="str">
        <f>TEXT(A400,"dddd")</f>
        <v>Monday</v>
      </c>
      <c r="N400" s="35">
        <f>DATE(Table4[[#This Row],[year]],Table4[[#This Row],[month2]],Table4[[#This Row],[day]])</f>
        <v>46135</v>
      </c>
    </row>
    <row r="401" spans="1:14" ht="16" x14ac:dyDescent="0.35">
      <c r="A401" t="str">
        <f t="shared" si="12"/>
        <v>23</v>
      </c>
      <c r="B401">
        <f>_xlfn.SWITCH(Table4[[#This Row],[month]],"jan",1,"feb",2,"mar",3,"apr",4,"may",5,"jun",6,"jul",7,"aug",8,"sep",9,"oct",10,"nov",11,"dec",12,"no month")</f>
        <v>4</v>
      </c>
      <c r="C401" s="12" t="str">
        <f>LEFT('All Transactions'!$E401,3)</f>
        <v>Apr</v>
      </c>
      <c r="D401" s="12" t="str">
        <f t="shared" si="13"/>
        <v>2026</v>
      </c>
      <c r="E401" s="22" t="s">
        <v>1420</v>
      </c>
      <c r="F401" s="23" t="s">
        <v>1424</v>
      </c>
      <c r="G401" s="27" t="s">
        <v>54</v>
      </c>
      <c r="H401" s="24">
        <v>40</v>
      </c>
      <c r="I401" s="25" t="s">
        <v>1425</v>
      </c>
      <c r="J401" s="25" t="s">
        <v>1426</v>
      </c>
      <c r="K401" s="26" t="s">
        <v>1427</v>
      </c>
      <c r="L401" s="25" t="s">
        <v>58</v>
      </c>
      <c r="M401" t="str">
        <f>TEXT(A401,"dddd")</f>
        <v>Monday</v>
      </c>
      <c r="N401" s="35">
        <f>DATE(Table4[[#This Row],[year]],Table4[[#This Row],[month2]],Table4[[#This Row],[day]])</f>
        <v>46135</v>
      </c>
    </row>
    <row r="402" spans="1:14" ht="16" x14ac:dyDescent="0.35">
      <c r="A402" t="str">
        <f t="shared" si="12"/>
        <v>23</v>
      </c>
      <c r="B402">
        <f>_xlfn.SWITCH(Table4[[#This Row],[month]],"jan",1,"feb",2,"mar",3,"apr",4,"may",5,"jun",6,"jul",7,"aug",8,"sep",9,"oct",10,"nov",11,"dec",12,"no month")</f>
        <v>4</v>
      </c>
      <c r="C402" s="12" t="str">
        <f>LEFT('All Transactions'!$E402,3)</f>
        <v>Apr</v>
      </c>
      <c r="D402" s="12" t="str">
        <f t="shared" si="13"/>
        <v>2026</v>
      </c>
      <c r="E402" s="16" t="s">
        <v>1420</v>
      </c>
      <c r="F402" s="17" t="s">
        <v>561</v>
      </c>
      <c r="G402" s="18" t="s">
        <v>28</v>
      </c>
      <c r="H402" s="19">
        <v>10</v>
      </c>
      <c r="I402" s="20" t="s">
        <v>1428</v>
      </c>
      <c r="J402" s="20" t="s">
        <v>1429</v>
      </c>
      <c r="K402" s="21" t="s">
        <v>1430</v>
      </c>
      <c r="L402" s="20" t="s">
        <v>32</v>
      </c>
      <c r="M402" t="str">
        <f>TEXT(A402,"dddd")</f>
        <v>Monday</v>
      </c>
      <c r="N402" s="35">
        <f>DATE(Table4[[#This Row],[year]],Table4[[#This Row],[month2]],Table4[[#This Row],[day]])</f>
        <v>46135</v>
      </c>
    </row>
    <row r="403" spans="1:14" ht="16" x14ac:dyDescent="0.35">
      <c r="A403" t="str">
        <f t="shared" si="12"/>
        <v>23</v>
      </c>
      <c r="B403">
        <f>_xlfn.SWITCH(Table4[[#This Row],[month]],"jan",1,"feb",2,"mar",3,"apr",4,"may",5,"jun",6,"jul",7,"aug",8,"sep",9,"oct",10,"nov",11,"dec",12,"no month")</f>
        <v>4</v>
      </c>
      <c r="C403" s="12" t="str">
        <f>LEFT('All Transactions'!$E403,3)</f>
        <v>Apr</v>
      </c>
      <c r="D403" s="12" t="str">
        <f t="shared" si="13"/>
        <v>2026</v>
      </c>
      <c r="E403" s="22" t="s">
        <v>1420</v>
      </c>
      <c r="F403" s="23" t="s">
        <v>1431</v>
      </c>
      <c r="G403" s="27" t="s">
        <v>54</v>
      </c>
      <c r="H403" s="24">
        <v>120</v>
      </c>
      <c r="I403" s="25" t="s">
        <v>1432</v>
      </c>
      <c r="J403" s="25" t="s">
        <v>1433</v>
      </c>
      <c r="K403" s="26" t="s">
        <v>1434</v>
      </c>
      <c r="L403" s="25" t="s">
        <v>58</v>
      </c>
      <c r="M403" t="str">
        <f>TEXT(A403,"dddd")</f>
        <v>Monday</v>
      </c>
      <c r="N403" s="35">
        <f>DATE(Table4[[#This Row],[year]],Table4[[#This Row],[month2]],Table4[[#This Row],[day]])</f>
        <v>46135</v>
      </c>
    </row>
    <row r="404" spans="1:14" ht="16" x14ac:dyDescent="0.35">
      <c r="A404" t="str">
        <f t="shared" si="12"/>
        <v>23</v>
      </c>
      <c r="B404">
        <f>_xlfn.SWITCH(Table4[[#This Row],[month]],"jan",1,"feb",2,"mar",3,"apr",4,"may",5,"jun",6,"jul",7,"aug",8,"sep",9,"oct",10,"nov",11,"dec",12,"no month")</f>
        <v>4</v>
      </c>
      <c r="C404" s="12" t="str">
        <f>LEFT('All Transactions'!$E404,3)</f>
        <v>Apr</v>
      </c>
      <c r="D404" s="12" t="str">
        <f t="shared" si="13"/>
        <v>2026</v>
      </c>
      <c r="E404" s="16" t="s">
        <v>1420</v>
      </c>
      <c r="F404" s="17" t="s">
        <v>951</v>
      </c>
      <c r="G404" s="18" t="s">
        <v>28</v>
      </c>
      <c r="H404" s="19">
        <v>20</v>
      </c>
      <c r="I404" s="20" t="s">
        <v>1435</v>
      </c>
      <c r="J404" s="20" t="s">
        <v>1436</v>
      </c>
      <c r="K404" s="21" t="s">
        <v>1437</v>
      </c>
      <c r="L404" s="20" t="s">
        <v>32</v>
      </c>
      <c r="M404" t="str">
        <f>TEXT(A404,"dddd")</f>
        <v>Monday</v>
      </c>
      <c r="N404" s="35">
        <f>DATE(Table4[[#This Row],[year]],Table4[[#This Row],[month2]],Table4[[#This Row],[day]])</f>
        <v>46135</v>
      </c>
    </row>
    <row r="405" spans="1:14" ht="16" x14ac:dyDescent="0.35">
      <c r="A405" t="str">
        <f t="shared" si="12"/>
        <v>23</v>
      </c>
      <c r="B405">
        <f>_xlfn.SWITCH(Table4[[#This Row],[month]],"jan",1,"feb",2,"mar",3,"apr",4,"may",5,"jun",6,"jul",7,"aug",8,"sep",9,"oct",10,"nov",11,"dec",12,"no month")</f>
        <v>4</v>
      </c>
      <c r="C405" s="12" t="str">
        <f>LEFT('All Transactions'!$E405,3)</f>
        <v>Apr</v>
      </c>
      <c r="D405" s="12" t="str">
        <f t="shared" si="13"/>
        <v>2026</v>
      </c>
      <c r="E405" s="22" t="s">
        <v>1420</v>
      </c>
      <c r="F405" s="23" t="s">
        <v>1438</v>
      </c>
      <c r="G405" s="27" t="s">
        <v>54</v>
      </c>
      <c r="H405" s="24">
        <v>54</v>
      </c>
      <c r="I405" s="25" t="s">
        <v>1439</v>
      </c>
      <c r="J405" s="25" t="s">
        <v>1440</v>
      </c>
      <c r="K405" s="26" t="s">
        <v>1441</v>
      </c>
      <c r="L405" s="25" t="s">
        <v>58</v>
      </c>
      <c r="M405" t="str">
        <f>TEXT(A405,"dddd")</f>
        <v>Monday</v>
      </c>
      <c r="N405" s="35">
        <f>DATE(Table4[[#This Row],[year]],Table4[[#This Row],[month2]],Table4[[#This Row],[day]])</f>
        <v>46135</v>
      </c>
    </row>
    <row r="406" spans="1:14" ht="16" x14ac:dyDescent="0.35">
      <c r="A406" t="str">
        <f t="shared" si="12"/>
        <v>23</v>
      </c>
      <c r="B406">
        <f>_xlfn.SWITCH(Table4[[#This Row],[month]],"jan",1,"feb",2,"mar",3,"apr",4,"may",5,"jun",6,"jul",7,"aug",8,"sep",9,"oct",10,"nov",11,"dec",12,"no month")</f>
        <v>4</v>
      </c>
      <c r="C406" s="12" t="str">
        <f>LEFT('All Transactions'!$E406,3)</f>
        <v>Apr</v>
      </c>
      <c r="D406" s="12" t="str">
        <f t="shared" si="13"/>
        <v>2026</v>
      </c>
      <c r="E406" s="16" t="s">
        <v>1420</v>
      </c>
      <c r="F406" s="17" t="s">
        <v>449</v>
      </c>
      <c r="G406" s="27" t="s">
        <v>54</v>
      </c>
      <c r="H406" s="19">
        <v>200</v>
      </c>
      <c r="I406" s="20" t="s">
        <v>1442</v>
      </c>
      <c r="J406" s="20" t="s">
        <v>1443</v>
      </c>
      <c r="K406" s="21" t="s">
        <v>1444</v>
      </c>
      <c r="L406" s="20" t="s">
        <v>58</v>
      </c>
      <c r="M406" t="str">
        <f>TEXT(A406,"dddd")</f>
        <v>Monday</v>
      </c>
      <c r="N406" s="35">
        <f>DATE(Table4[[#This Row],[year]],Table4[[#This Row],[month2]],Table4[[#This Row],[day]])</f>
        <v>46135</v>
      </c>
    </row>
    <row r="407" spans="1:14" ht="16" x14ac:dyDescent="0.35">
      <c r="A407" t="str">
        <f t="shared" si="12"/>
        <v>23</v>
      </c>
      <c r="B407">
        <f>_xlfn.SWITCH(Table4[[#This Row],[month]],"jan",1,"feb",2,"mar",3,"apr",4,"may",5,"jun",6,"jul",7,"aug",8,"sep",9,"oct",10,"nov",11,"dec",12,"no month")</f>
        <v>4</v>
      </c>
      <c r="C407" s="12" t="str">
        <f>LEFT('All Transactions'!$E407,3)</f>
        <v>Apr</v>
      </c>
      <c r="D407" s="12" t="str">
        <f t="shared" si="13"/>
        <v>2026</v>
      </c>
      <c r="E407" s="22" t="s">
        <v>1420</v>
      </c>
      <c r="F407" s="23" t="s">
        <v>1445</v>
      </c>
      <c r="G407" s="27" t="s">
        <v>54</v>
      </c>
      <c r="H407" s="24">
        <v>47</v>
      </c>
      <c r="I407" s="25" t="s">
        <v>1446</v>
      </c>
      <c r="J407" s="25" t="s">
        <v>1447</v>
      </c>
      <c r="K407" s="26" t="s">
        <v>1448</v>
      </c>
      <c r="L407" s="25" t="s">
        <v>58</v>
      </c>
      <c r="M407" t="str">
        <f>TEXT(A407,"dddd")</f>
        <v>Monday</v>
      </c>
      <c r="N407" s="35">
        <f>DATE(Table4[[#This Row],[year]],Table4[[#This Row],[month2]],Table4[[#This Row],[day]])</f>
        <v>46135</v>
      </c>
    </row>
    <row r="408" spans="1:14" ht="16" x14ac:dyDescent="0.35">
      <c r="A408" t="str">
        <f t="shared" si="12"/>
        <v>23</v>
      </c>
      <c r="B408">
        <f>_xlfn.SWITCH(Table4[[#This Row],[month]],"jan",1,"feb",2,"mar",3,"apr",4,"may",5,"jun",6,"jul",7,"aug",8,"sep",9,"oct",10,"nov",11,"dec",12,"no month")</f>
        <v>4</v>
      </c>
      <c r="C408" s="12" t="str">
        <f>LEFT('All Transactions'!$E408,3)</f>
        <v>Apr</v>
      </c>
      <c r="D408" s="12" t="str">
        <f t="shared" si="13"/>
        <v>2026</v>
      </c>
      <c r="E408" s="16" t="s">
        <v>1420</v>
      </c>
      <c r="F408" s="17" t="s">
        <v>1449</v>
      </c>
      <c r="G408" s="27" t="s">
        <v>54</v>
      </c>
      <c r="H408" s="19">
        <v>105</v>
      </c>
      <c r="I408" s="20" t="s">
        <v>1450</v>
      </c>
      <c r="J408" s="20" t="s">
        <v>1451</v>
      </c>
      <c r="K408" s="21" t="s">
        <v>1452</v>
      </c>
      <c r="L408" s="20" t="s">
        <v>58</v>
      </c>
      <c r="M408" t="str">
        <f>TEXT(A408,"dddd")</f>
        <v>Monday</v>
      </c>
      <c r="N408" s="35">
        <f>DATE(Table4[[#This Row],[year]],Table4[[#This Row],[month2]],Table4[[#This Row],[day]])</f>
        <v>46135</v>
      </c>
    </row>
    <row r="409" spans="1:14" ht="16" x14ac:dyDescent="0.35">
      <c r="A409" t="str">
        <f t="shared" si="12"/>
        <v>23</v>
      </c>
      <c r="B409">
        <f>_xlfn.SWITCH(Table4[[#This Row],[month]],"jan",1,"feb",2,"mar",3,"apr",4,"may",5,"jun",6,"jul",7,"aug",8,"sep",9,"oct",10,"nov",11,"dec",12,"no month")</f>
        <v>4</v>
      </c>
      <c r="C409" s="12" t="str">
        <f>LEFT('All Transactions'!$E409,3)</f>
        <v>Apr</v>
      </c>
      <c r="D409" s="12" t="str">
        <f t="shared" si="13"/>
        <v>2026</v>
      </c>
      <c r="E409" s="22" t="s">
        <v>1420</v>
      </c>
      <c r="F409" s="23" t="s">
        <v>1453</v>
      </c>
      <c r="G409" s="27" t="s">
        <v>54</v>
      </c>
      <c r="H409" s="24">
        <v>98</v>
      </c>
      <c r="I409" s="25" t="s">
        <v>1454</v>
      </c>
      <c r="J409" s="25" t="s">
        <v>1455</v>
      </c>
      <c r="K409" s="26" t="s">
        <v>1456</v>
      </c>
      <c r="L409" s="25" t="s">
        <v>58</v>
      </c>
      <c r="M409" t="str">
        <f>TEXT(A409,"dddd")</f>
        <v>Monday</v>
      </c>
      <c r="N409" s="35">
        <f>DATE(Table4[[#This Row],[year]],Table4[[#This Row],[month2]],Table4[[#This Row],[day]])</f>
        <v>46135</v>
      </c>
    </row>
    <row r="410" spans="1:14" ht="16" x14ac:dyDescent="0.35">
      <c r="A410" t="str">
        <f t="shared" si="12"/>
        <v>23</v>
      </c>
      <c r="B410">
        <f>_xlfn.SWITCH(Table4[[#This Row],[month]],"jan",1,"feb",2,"mar",3,"apr",4,"may",5,"jun",6,"jul",7,"aug",8,"sep",9,"oct",10,"nov",11,"dec",12,"no month")</f>
        <v>4</v>
      </c>
      <c r="C410" s="12" t="str">
        <f>LEFT('All Transactions'!$E410,3)</f>
        <v>Apr</v>
      </c>
      <c r="D410" s="12" t="str">
        <f t="shared" si="13"/>
        <v>2026</v>
      </c>
      <c r="E410" s="16" t="s">
        <v>1420</v>
      </c>
      <c r="F410" s="17" t="s">
        <v>1457</v>
      </c>
      <c r="G410" s="18" t="s">
        <v>28</v>
      </c>
      <c r="H410" s="19">
        <v>150</v>
      </c>
      <c r="I410" s="20" t="s">
        <v>1458</v>
      </c>
      <c r="J410" s="20" t="s">
        <v>1459</v>
      </c>
      <c r="K410" s="21" t="s">
        <v>1460</v>
      </c>
      <c r="L410" s="20" t="s">
        <v>32</v>
      </c>
      <c r="M410" t="str">
        <f>TEXT(A410,"dddd")</f>
        <v>Monday</v>
      </c>
      <c r="N410" s="35">
        <f>DATE(Table4[[#This Row],[year]],Table4[[#This Row],[month2]],Table4[[#This Row],[day]])</f>
        <v>46135</v>
      </c>
    </row>
    <row r="411" spans="1:14" ht="16" x14ac:dyDescent="0.35">
      <c r="A411" t="str">
        <f t="shared" si="12"/>
        <v>23</v>
      </c>
      <c r="B411">
        <f>_xlfn.SWITCH(Table4[[#This Row],[month]],"jan",1,"feb",2,"mar",3,"apr",4,"may",5,"jun",6,"jul",7,"aug",8,"sep",9,"oct",10,"nov",11,"dec",12,"no month")</f>
        <v>4</v>
      </c>
      <c r="C411" s="12" t="str">
        <f>LEFT('All Transactions'!$E411,3)</f>
        <v>Apr</v>
      </c>
      <c r="D411" s="12" t="str">
        <f t="shared" si="13"/>
        <v>2026</v>
      </c>
      <c r="E411" s="22" t="s">
        <v>1420</v>
      </c>
      <c r="F411" s="23" t="s">
        <v>1461</v>
      </c>
      <c r="G411" s="18" t="s">
        <v>28</v>
      </c>
      <c r="H411" s="24">
        <v>20</v>
      </c>
      <c r="I411" s="25" t="s">
        <v>201</v>
      </c>
      <c r="J411" s="25" t="s">
        <v>1462</v>
      </c>
      <c r="K411" s="26" t="s">
        <v>1463</v>
      </c>
      <c r="L411" s="25" t="s">
        <v>32</v>
      </c>
      <c r="M411" t="str">
        <f>TEXT(A411,"dddd")</f>
        <v>Monday</v>
      </c>
      <c r="N411" s="35">
        <f>DATE(Table4[[#This Row],[year]],Table4[[#This Row],[month2]],Table4[[#This Row],[day]])</f>
        <v>46135</v>
      </c>
    </row>
    <row r="412" spans="1:14" ht="16" x14ac:dyDescent="0.35">
      <c r="A412" t="str">
        <f t="shared" si="12"/>
        <v>23</v>
      </c>
      <c r="B412">
        <f>_xlfn.SWITCH(Table4[[#This Row],[month]],"jan",1,"feb",2,"mar",3,"apr",4,"may",5,"jun",6,"jul",7,"aug",8,"sep",9,"oct",10,"nov",11,"dec",12,"no month")</f>
        <v>4</v>
      </c>
      <c r="C412" s="12" t="str">
        <f>LEFT('All Transactions'!$E412,3)</f>
        <v>Apr</v>
      </c>
      <c r="D412" s="12" t="str">
        <f t="shared" si="13"/>
        <v>2026</v>
      </c>
      <c r="E412" s="16" t="s">
        <v>1420</v>
      </c>
      <c r="F412" s="17" t="s">
        <v>1464</v>
      </c>
      <c r="G412" s="18" t="s">
        <v>28</v>
      </c>
      <c r="H412" s="19">
        <v>35</v>
      </c>
      <c r="I412" s="20" t="s">
        <v>1465</v>
      </c>
      <c r="J412" s="20" t="s">
        <v>1466</v>
      </c>
      <c r="K412" s="21" t="s">
        <v>1467</v>
      </c>
      <c r="L412" s="20" t="s">
        <v>32</v>
      </c>
      <c r="M412" t="str">
        <f>TEXT(A412,"dddd")</f>
        <v>Monday</v>
      </c>
      <c r="N412" s="35">
        <f>DATE(Table4[[#This Row],[year]],Table4[[#This Row],[month2]],Table4[[#This Row],[day]])</f>
        <v>46135</v>
      </c>
    </row>
    <row r="413" spans="1:14" ht="16" x14ac:dyDescent="0.35">
      <c r="A413" t="str">
        <f t="shared" si="12"/>
        <v>23</v>
      </c>
      <c r="B413">
        <f>_xlfn.SWITCH(Table4[[#This Row],[month]],"jan",1,"feb",2,"mar",3,"apr",4,"may",5,"jun",6,"jul",7,"aug",8,"sep",9,"oct",10,"nov",11,"dec",12,"no month")</f>
        <v>4</v>
      </c>
      <c r="C413" s="12" t="str">
        <f>LEFT('All Transactions'!$E413,3)</f>
        <v>Apr</v>
      </c>
      <c r="D413" s="12" t="str">
        <f t="shared" si="13"/>
        <v>2026</v>
      </c>
      <c r="E413" s="22" t="s">
        <v>1420</v>
      </c>
      <c r="F413" s="23" t="s">
        <v>1468</v>
      </c>
      <c r="G413" s="18" t="s">
        <v>28</v>
      </c>
      <c r="H413" s="24">
        <v>22</v>
      </c>
      <c r="I413" s="25" t="s">
        <v>191</v>
      </c>
      <c r="J413" s="25" t="s">
        <v>1469</v>
      </c>
      <c r="K413" s="26" t="s">
        <v>1470</v>
      </c>
      <c r="L413" s="25" t="s">
        <v>32</v>
      </c>
      <c r="M413" t="str">
        <f>TEXT(A413,"dddd")</f>
        <v>Monday</v>
      </c>
      <c r="N413" s="35">
        <f>DATE(Table4[[#This Row],[year]],Table4[[#This Row],[month2]],Table4[[#This Row],[day]])</f>
        <v>46135</v>
      </c>
    </row>
    <row r="414" spans="1:14" ht="16" x14ac:dyDescent="0.35">
      <c r="A414" t="str">
        <f t="shared" si="12"/>
        <v>23</v>
      </c>
      <c r="B414">
        <f>_xlfn.SWITCH(Table4[[#This Row],[month]],"jan",1,"feb",2,"mar",3,"apr",4,"may",5,"jun",6,"jul",7,"aug",8,"sep",9,"oct",10,"nov",11,"dec",12,"no month")</f>
        <v>4</v>
      </c>
      <c r="C414" s="12" t="str">
        <f>LEFT('All Transactions'!$E414,3)</f>
        <v>Apr</v>
      </c>
      <c r="D414" s="12" t="str">
        <f t="shared" si="13"/>
        <v>2026</v>
      </c>
      <c r="E414" s="16" t="s">
        <v>1420</v>
      </c>
      <c r="F414" s="17" t="s">
        <v>978</v>
      </c>
      <c r="G414" s="18" t="s">
        <v>28</v>
      </c>
      <c r="H414" s="19">
        <v>60</v>
      </c>
      <c r="I414" s="20" t="s">
        <v>1471</v>
      </c>
      <c r="J414" s="20" t="s">
        <v>1472</v>
      </c>
      <c r="K414" s="21" t="s">
        <v>1473</v>
      </c>
      <c r="L414" s="20" t="s">
        <v>32</v>
      </c>
      <c r="M414" t="str">
        <f>TEXT(A414,"dddd")</f>
        <v>Monday</v>
      </c>
      <c r="N414" s="35">
        <f>DATE(Table4[[#This Row],[year]],Table4[[#This Row],[month2]],Table4[[#This Row],[day]])</f>
        <v>46135</v>
      </c>
    </row>
    <row r="415" spans="1:14" ht="16" x14ac:dyDescent="0.35">
      <c r="A415" t="str">
        <f t="shared" si="12"/>
        <v>23</v>
      </c>
      <c r="B415">
        <f>_xlfn.SWITCH(Table4[[#This Row],[month]],"jan",1,"feb",2,"mar",3,"apr",4,"may",5,"jun",6,"jul",7,"aug",8,"sep",9,"oct",10,"nov",11,"dec",12,"no month")</f>
        <v>4</v>
      </c>
      <c r="C415" s="12" t="str">
        <f>LEFT('All Transactions'!$E415,3)</f>
        <v>Apr</v>
      </c>
      <c r="D415" s="12" t="str">
        <f t="shared" si="13"/>
        <v>2026</v>
      </c>
      <c r="E415" s="22" t="s">
        <v>1420</v>
      </c>
      <c r="F415" s="23" t="s">
        <v>1474</v>
      </c>
      <c r="G415" s="18" t="s">
        <v>28</v>
      </c>
      <c r="H415" s="24">
        <v>10</v>
      </c>
      <c r="I415" s="25" t="s">
        <v>1475</v>
      </c>
      <c r="J415" s="25" t="s">
        <v>1476</v>
      </c>
      <c r="K415" s="26" t="s">
        <v>1477</v>
      </c>
      <c r="L415" s="25" t="s">
        <v>32</v>
      </c>
      <c r="M415" t="str">
        <f>TEXT(A415,"dddd")</f>
        <v>Monday</v>
      </c>
      <c r="N415" s="35">
        <f>DATE(Table4[[#This Row],[year]],Table4[[#This Row],[month2]],Table4[[#This Row],[day]])</f>
        <v>46135</v>
      </c>
    </row>
    <row r="416" spans="1:14" ht="16" x14ac:dyDescent="0.35">
      <c r="A416" t="str">
        <f t="shared" si="12"/>
        <v>23</v>
      </c>
      <c r="B416">
        <f>_xlfn.SWITCH(Table4[[#This Row],[month]],"jan",1,"feb",2,"mar",3,"apr",4,"may",5,"jun",6,"jul",7,"aug",8,"sep",9,"oct",10,"nov",11,"dec",12,"no month")</f>
        <v>4</v>
      </c>
      <c r="C416" s="12" t="str">
        <f>LEFT('All Transactions'!$E416,3)</f>
        <v>Apr</v>
      </c>
      <c r="D416" s="12" t="str">
        <f t="shared" si="13"/>
        <v>2026</v>
      </c>
      <c r="E416" s="16" t="s">
        <v>1420</v>
      </c>
      <c r="F416" s="17" t="s">
        <v>1478</v>
      </c>
      <c r="G416" s="27" t="s">
        <v>54</v>
      </c>
      <c r="H416" s="19">
        <v>72</v>
      </c>
      <c r="I416" s="20" t="s">
        <v>89</v>
      </c>
      <c r="J416" s="20" t="s">
        <v>1479</v>
      </c>
      <c r="K416" s="21" t="s">
        <v>1480</v>
      </c>
      <c r="L416" s="20" t="s">
        <v>58</v>
      </c>
      <c r="M416" t="str">
        <f>TEXT(A416,"dddd")</f>
        <v>Monday</v>
      </c>
      <c r="N416" s="35">
        <f>DATE(Table4[[#This Row],[year]],Table4[[#This Row],[month2]],Table4[[#This Row],[day]])</f>
        <v>46135</v>
      </c>
    </row>
    <row r="417" spans="1:14" ht="16" x14ac:dyDescent="0.35">
      <c r="A417" t="str">
        <f t="shared" si="12"/>
        <v>23</v>
      </c>
      <c r="B417">
        <f>_xlfn.SWITCH(Table4[[#This Row],[month]],"jan",1,"feb",2,"mar",3,"apr",4,"may",5,"jun",6,"jul",7,"aug",8,"sep",9,"oct",10,"nov",11,"dec",12,"no month")</f>
        <v>4</v>
      </c>
      <c r="C417" s="12" t="str">
        <f>LEFT('All Transactions'!$E417,3)</f>
        <v>Apr</v>
      </c>
      <c r="D417" s="12" t="str">
        <f t="shared" si="13"/>
        <v>2026</v>
      </c>
      <c r="E417" s="22" t="s">
        <v>1420</v>
      </c>
      <c r="F417" s="23" t="s">
        <v>1481</v>
      </c>
      <c r="G417" s="18" t="s">
        <v>28</v>
      </c>
      <c r="H417" s="24">
        <v>30</v>
      </c>
      <c r="I417" s="25" t="s">
        <v>800</v>
      </c>
      <c r="J417" s="25" t="s">
        <v>1482</v>
      </c>
      <c r="K417" s="26" t="s">
        <v>1483</v>
      </c>
      <c r="L417" s="25" t="s">
        <v>32</v>
      </c>
      <c r="M417" t="str">
        <f>TEXT(A417,"dddd")</f>
        <v>Monday</v>
      </c>
      <c r="N417" s="35">
        <f>DATE(Table4[[#This Row],[year]],Table4[[#This Row],[month2]],Table4[[#This Row],[day]])</f>
        <v>46135</v>
      </c>
    </row>
    <row r="418" spans="1:14" ht="16" x14ac:dyDescent="0.35">
      <c r="A418" t="str">
        <f t="shared" si="12"/>
        <v>22</v>
      </c>
      <c r="B418">
        <f>_xlfn.SWITCH(Table4[[#This Row],[month]],"jan",1,"feb",2,"mar",3,"apr",4,"may",5,"jun",6,"jul",7,"aug",8,"sep",9,"oct",10,"nov",11,"dec",12,"no month")</f>
        <v>4</v>
      </c>
      <c r="C418" s="12" t="str">
        <f>LEFT('All Transactions'!$E418,3)</f>
        <v>Apr</v>
      </c>
      <c r="D418" s="12" t="str">
        <f t="shared" si="13"/>
        <v>2026</v>
      </c>
      <c r="E418" s="16" t="s">
        <v>1484</v>
      </c>
      <c r="F418" s="17" t="s">
        <v>1485</v>
      </c>
      <c r="G418" s="18" t="s">
        <v>28</v>
      </c>
      <c r="H418" s="19">
        <v>30</v>
      </c>
      <c r="I418" s="20" t="s">
        <v>800</v>
      </c>
      <c r="J418" s="20" t="s">
        <v>1486</v>
      </c>
      <c r="K418" s="21" t="s">
        <v>1487</v>
      </c>
      <c r="L418" s="20" t="s">
        <v>32</v>
      </c>
      <c r="M418" t="str">
        <f>TEXT(A418,"dddd")</f>
        <v>Sunday</v>
      </c>
      <c r="N418" s="35">
        <f>DATE(Table4[[#This Row],[year]],Table4[[#This Row],[month2]],Table4[[#This Row],[day]])</f>
        <v>46134</v>
      </c>
    </row>
    <row r="419" spans="1:14" ht="16" x14ac:dyDescent="0.35">
      <c r="A419" t="str">
        <f t="shared" si="12"/>
        <v>22</v>
      </c>
      <c r="B419">
        <f>_xlfn.SWITCH(Table4[[#This Row],[month]],"jan",1,"feb",2,"mar",3,"apr",4,"may",5,"jun",6,"jul",7,"aug",8,"sep",9,"oct",10,"nov",11,"dec",12,"no month")</f>
        <v>4</v>
      </c>
      <c r="C419" s="12" t="str">
        <f>LEFT('All Transactions'!$E419,3)</f>
        <v>Apr</v>
      </c>
      <c r="D419" s="12" t="str">
        <f t="shared" si="13"/>
        <v>2026</v>
      </c>
      <c r="E419" s="22" t="s">
        <v>1484</v>
      </c>
      <c r="F419" s="23" t="s">
        <v>1488</v>
      </c>
      <c r="G419" s="27" t="s">
        <v>54</v>
      </c>
      <c r="H419" s="24">
        <v>169</v>
      </c>
      <c r="I419" s="25" t="s">
        <v>1489</v>
      </c>
      <c r="J419" s="25" t="s">
        <v>1490</v>
      </c>
      <c r="K419" s="26" t="s">
        <v>1491</v>
      </c>
      <c r="L419" s="25" t="s">
        <v>58</v>
      </c>
      <c r="M419" t="str">
        <f>TEXT(A419,"dddd")</f>
        <v>Sunday</v>
      </c>
      <c r="N419" s="35">
        <f>DATE(Table4[[#This Row],[year]],Table4[[#This Row],[month2]],Table4[[#This Row],[day]])</f>
        <v>46134</v>
      </c>
    </row>
    <row r="420" spans="1:14" ht="16" x14ac:dyDescent="0.35">
      <c r="A420" t="str">
        <f t="shared" si="12"/>
        <v>22</v>
      </c>
      <c r="B420">
        <f>_xlfn.SWITCH(Table4[[#This Row],[month]],"jan",1,"feb",2,"mar",3,"apr",4,"may",5,"jun",6,"jul",7,"aug",8,"sep",9,"oct",10,"nov",11,"dec",12,"no month")</f>
        <v>4</v>
      </c>
      <c r="C420" s="12" t="str">
        <f>LEFT('All Transactions'!$E420,3)</f>
        <v>Apr</v>
      </c>
      <c r="D420" s="12" t="str">
        <f t="shared" si="13"/>
        <v>2026</v>
      </c>
      <c r="E420" s="16" t="s">
        <v>1484</v>
      </c>
      <c r="F420" s="17" t="s">
        <v>1492</v>
      </c>
      <c r="G420" s="27" t="s">
        <v>54</v>
      </c>
      <c r="H420" s="19">
        <v>180</v>
      </c>
      <c r="I420" s="20" t="s">
        <v>1493</v>
      </c>
      <c r="J420" s="20" t="s">
        <v>1494</v>
      </c>
      <c r="K420" s="21" t="s">
        <v>1495</v>
      </c>
      <c r="L420" s="20" t="s">
        <v>58</v>
      </c>
      <c r="M420" t="str">
        <f>TEXT(A420,"dddd")</f>
        <v>Sunday</v>
      </c>
      <c r="N420" s="35">
        <f>DATE(Table4[[#This Row],[year]],Table4[[#This Row],[month2]],Table4[[#This Row],[day]])</f>
        <v>46134</v>
      </c>
    </row>
    <row r="421" spans="1:14" ht="16" x14ac:dyDescent="0.35">
      <c r="A421" t="str">
        <f t="shared" si="12"/>
        <v>22</v>
      </c>
      <c r="B421">
        <f>_xlfn.SWITCH(Table4[[#This Row],[month]],"jan",1,"feb",2,"mar",3,"apr",4,"may",5,"jun",6,"jul",7,"aug",8,"sep",9,"oct",10,"nov",11,"dec",12,"no month")</f>
        <v>4</v>
      </c>
      <c r="C421" s="12" t="str">
        <f>LEFT('All Transactions'!$E421,3)</f>
        <v>Apr</v>
      </c>
      <c r="D421" s="12" t="str">
        <f t="shared" si="13"/>
        <v>2026</v>
      </c>
      <c r="E421" s="22" t="s">
        <v>1484</v>
      </c>
      <c r="F421" s="23" t="s">
        <v>1496</v>
      </c>
      <c r="G421" s="18" t="s">
        <v>28</v>
      </c>
      <c r="H421" s="24">
        <v>20</v>
      </c>
      <c r="I421" s="25" t="s">
        <v>1497</v>
      </c>
      <c r="J421" s="25" t="s">
        <v>1498</v>
      </c>
      <c r="K421" s="26" t="s">
        <v>1499</v>
      </c>
      <c r="L421" s="25" t="s">
        <v>32</v>
      </c>
      <c r="M421" t="str">
        <f>TEXT(A421,"dddd")</f>
        <v>Sunday</v>
      </c>
      <c r="N421" s="35">
        <f>DATE(Table4[[#This Row],[year]],Table4[[#This Row],[month2]],Table4[[#This Row],[day]])</f>
        <v>46134</v>
      </c>
    </row>
    <row r="422" spans="1:14" ht="16" x14ac:dyDescent="0.35">
      <c r="A422" t="str">
        <f t="shared" si="12"/>
        <v>22</v>
      </c>
      <c r="B422">
        <f>_xlfn.SWITCH(Table4[[#This Row],[month]],"jan",1,"feb",2,"mar",3,"apr",4,"may",5,"jun",6,"jul",7,"aug",8,"sep",9,"oct",10,"nov",11,"dec",12,"no month")</f>
        <v>4</v>
      </c>
      <c r="C422" s="12" t="str">
        <f>LEFT('All Transactions'!$E422,3)</f>
        <v>Apr</v>
      </c>
      <c r="D422" s="12" t="str">
        <f t="shared" si="13"/>
        <v>2026</v>
      </c>
      <c r="E422" s="16" t="s">
        <v>1484</v>
      </c>
      <c r="F422" s="17" t="s">
        <v>1500</v>
      </c>
      <c r="G422" s="27" t="s">
        <v>54</v>
      </c>
      <c r="H422" s="19">
        <v>60</v>
      </c>
      <c r="I422" s="20" t="s">
        <v>1501</v>
      </c>
      <c r="J422" s="20" t="s">
        <v>1502</v>
      </c>
      <c r="K422" s="21" t="s">
        <v>1503</v>
      </c>
      <c r="L422" s="20" t="s">
        <v>58</v>
      </c>
      <c r="M422" t="str">
        <f>TEXT(A422,"dddd")</f>
        <v>Sunday</v>
      </c>
      <c r="N422" s="35">
        <f>DATE(Table4[[#This Row],[year]],Table4[[#This Row],[month2]],Table4[[#This Row],[day]])</f>
        <v>46134</v>
      </c>
    </row>
    <row r="423" spans="1:14" ht="16" x14ac:dyDescent="0.35">
      <c r="A423" t="str">
        <f t="shared" si="12"/>
        <v>22</v>
      </c>
      <c r="B423">
        <f>_xlfn.SWITCH(Table4[[#This Row],[month]],"jan",1,"feb",2,"mar",3,"apr",4,"may",5,"jun",6,"jul",7,"aug",8,"sep",9,"oct",10,"nov",11,"dec",12,"no month")</f>
        <v>4</v>
      </c>
      <c r="C423" s="12" t="str">
        <f>LEFT('All Transactions'!$E423,3)</f>
        <v>Apr</v>
      </c>
      <c r="D423" s="12" t="str">
        <f t="shared" si="13"/>
        <v>2026</v>
      </c>
      <c r="E423" s="22" t="s">
        <v>1484</v>
      </c>
      <c r="F423" s="23" t="s">
        <v>1504</v>
      </c>
      <c r="G423" s="27" t="s">
        <v>54</v>
      </c>
      <c r="H423" s="24">
        <v>140</v>
      </c>
      <c r="I423" s="25" t="s">
        <v>1110</v>
      </c>
      <c r="J423" s="25" t="s">
        <v>1505</v>
      </c>
      <c r="K423" s="26" t="s">
        <v>1506</v>
      </c>
      <c r="L423" s="25" t="s">
        <v>58</v>
      </c>
      <c r="M423" t="str">
        <f>TEXT(A423,"dddd")</f>
        <v>Sunday</v>
      </c>
      <c r="N423" s="35">
        <f>DATE(Table4[[#This Row],[year]],Table4[[#This Row],[month2]],Table4[[#This Row],[day]])</f>
        <v>46134</v>
      </c>
    </row>
    <row r="424" spans="1:14" ht="16" x14ac:dyDescent="0.35">
      <c r="A424" t="str">
        <f t="shared" si="12"/>
        <v>22</v>
      </c>
      <c r="B424">
        <f>_xlfn.SWITCH(Table4[[#This Row],[month]],"jan",1,"feb",2,"mar",3,"apr",4,"may",5,"jun",6,"jul",7,"aug",8,"sep",9,"oct",10,"nov",11,"dec",12,"no month")</f>
        <v>4</v>
      </c>
      <c r="C424" s="12" t="str">
        <f>LEFT('All Transactions'!$E424,3)</f>
        <v>Apr</v>
      </c>
      <c r="D424" s="12" t="str">
        <f t="shared" si="13"/>
        <v>2026</v>
      </c>
      <c r="E424" s="16" t="s">
        <v>1484</v>
      </c>
      <c r="F424" s="17" t="s">
        <v>669</v>
      </c>
      <c r="G424" s="27" t="s">
        <v>54</v>
      </c>
      <c r="H424" s="19">
        <v>125</v>
      </c>
      <c r="I424" s="20" t="s">
        <v>1507</v>
      </c>
      <c r="J424" s="20" t="s">
        <v>1508</v>
      </c>
      <c r="K424" s="21" t="s">
        <v>1509</v>
      </c>
      <c r="L424" s="20" t="s">
        <v>58</v>
      </c>
      <c r="M424" t="str">
        <f>TEXT(A424,"dddd")</f>
        <v>Sunday</v>
      </c>
      <c r="N424" s="35">
        <f>DATE(Table4[[#This Row],[year]],Table4[[#This Row],[month2]],Table4[[#This Row],[day]])</f>
        <v>46134</v>
      </c>
    </row>
    <row r="425" spans="1:14" ht="16" x14ac:dyDescent="0.35">
      <c r="A425" t="str">
        <f t="shared" si="12"/>
        <v>22</v>
      </c>
      <c r="B425">
        <f>_xlfn.SWITCH(Table4[[#This Row],[month]],"jan",1,"feb",2,"mar",3,"apr",4,"may",5,"jun",6,"jul",7,"aug",8,"sep",9,"oct",10,"nov",11,"dec",12,"no month")</f>
        <v>4</v>
      </c>
      <c r="C425" s="12" t="str">
        <f>LEFT('All Transactions'!$E425,3)</f>
        <v>Apr</v>
      </c>
      <c r="D425" s="12" t="str">
        <f t="shared" si="13"/>
        <v>2026</v>
      </c>
      <c r="E425" s="22" t="s">
        <v>1484</v>
      </c>
      <c r="F425" s="23" t="s">
        <v>1086</v>
      </c>
      <c r="G425" s="18" t="s">
        <v>28</v>
      </c>
      <c r="H425" s="24">
        <v>20</v>
      </c>
      <c r="I425" s="25" t="s">
        <v>1510</v>
      </c>
      <c r="J425" s="25" t="s">
        <v>1511</v>
      </c>
      <c r="K425" s="26" t="s">
        <v>1512</v>
      </c>
      <c r="L425" s="25" t="s">
        <v>32</v>
      </c>
      <c r="M425" t="str">
        <f>TEXT(A425,"dddd")</f>
        <v>Sunday</v>
      </c>
      <c r="N425" s="35">
        <f>DATE(Table4[[#This Row],[year]],Table4[[#This Row],[month2]],Table4[[#This Row],[day]])</f>
        <v>46134</v>
      </c>
    </row>
    <row r="426" spans="1:14" ht="16" x14ac:dyDescent="0.35">
      <c r="A426" t="str">
        <f t="shared" si="12"/>
        <v>22</v>
      </c>
      <c r="B426">
        <f>_xlfn.SWITCH(Table4[[#This Row],[month]],"jan",1,"feb",2,"mar",3,"apr",4,"may",5,"jun",6,"jul",7,"aug",8,"sep",9,"oct",10,"nov",11,"dec",12,"no month")</f>
        <v>4</v>
      </c>
      <c r="C426" s="12" t="str">
        <f>LEFT('All Transactions'!$E426,3)</f>
        <v>Apr</v>
      </c>
      <c r="D426" s="12" t="str">
        <f t="shared" si="13"/>
        <v>2026</v>
      </c>
      <c r="E426" s="16" t="s">
        <v>1484</v>
      </c>
      <c r="F426" s="17" t="s">
        <v>1513</v>
      </c>
      <c r="G426" s="27" t="s">
        <v>54</v>
      </c>
      <c r="H426" s="19">
        <v>68</v>
      </c>
      <c r="I426" s="20" t="s">
        <v>1514</v>
      </c>
      <c r="J426" s="20" t="s">
        <v>1515</v>
      </c>
      <c r="K426" s="21" t="s">
        <v>1516</v>
      </c>
      <c r="L426" s="20" t="s">
        <v>58</v>
      </c>
      <c r="M426" t="str">
        <f>TEXT(A426,"dddd")</f>
        <v>Sunday</v>
      </c>
      <c r="N426" s="35">
        <f>DATE(Table4[[#This Row],[year]],Table4[[#This Row],[month2]],Table4[[#This Row],[day]])</f>
        <v>46134</v>
      </c>
    </row>
    <row r="427" spans="1:14" ht="16" x14ac:dyDescent="0.35">
      <c r="A427" t="str">
        <f t="shared" si="12"/>
        <v>22</v>
      </c>
      <c r="B427">
        <f>_xlfn.SWITCH(Table4[[#This Row],[month]],"jan",1,"feb",2,"mar",3,"apr",4,"may",5,"jun",6,"jul",7,"aug",8,"sep",9,"oct",10,"nov",11,"dec",12,"no month")</f>
        <v>4</v>
      </c>
      <c r="C427" s="12" t="str">
        <f>LEFT('All Transactions'!$E427,3)</f>
        <v>Apr</v>
      </c>
      <c r="D427" s="12" t="str">
        <f t="shared" si="13"/>
        <v>2026</v>
      </c>
      <c r="E427" s="22" t="s">
        <v>1484</v>
      </c>
      <c r="F427" s="23" t="s">
        <v>1453</v>
      </c>
      <c r="G427" s="18" t="s">
        <v>28</v>
      </c>
      <c r="H427" s="24">
        <v>170</v>
      </c>
      <c r="I427" s="25" t="s">
        <v>1517</v>
      </c>
      <c r="J427" s="25" t="s">
        <v>1518</v>
      </c>
      <c r="K427" s="26" t="s">
        <v>1519</v>
      </c>
      <c r="L427" s="25" t="s">
        <v>32</v>
      </c>
      <c r="M427" t="str">
        <f>TEXT(A427,"dddd")</f>
        <v>Sunday</v>
      </c>
      <c r="N427" s="35">
        <f>DATE(Table4[[#This Row],[year]],Table4[[#This Row],[month2]],Table4[[#This Row],[day]])</f>
        <v>46134</v>
      </c>
    </row>
    <row r="428" spans="1:14" ht="16" x14ac:dyDescent="0.35">
      <c r="A428" t="str">
        <f t="shared" si="12"/>
        <v>22</v>
      </c>
      <c r="B428">
        <f>_xlfn.SWITCH(Table4[[#This Row],[month]],"jan",1,"feb",2,"mar",3,"apr",4,"may",5,"jun",6,"jul",7,"aug",8,"sep",9,"oct",10,"nov",11,"dec",12,"no month")</f>
        <v>4</v>
      </c>
      <c r="C428" s="12" t="str">
        <f>LEFT('All Transactions'!$E428,3)</f>
        <v>Apr</v>
      </c>
      <c r="D428" s="12" t="str">
        <f t="shared" si="13"/>
        <v>2026</v>
      </c>
      <c r="E428" s="16" t="s">
        <v>1484</v>
      </c>
      <c r="F428" s="17" t="s">
        <v>1520</v>
      </c>
      <c r="G428" s="18" t="s">
        <v>28</v>
      </c>
      <c r="H428" s="19">
        <v>10</v>
      </c>
      <c r="I428" s="20" t="s">
        <v>1521</v>
      </c>
      <c r="J428" s="20" t="s">
        <v>1522</v>
      </c>
      <c r="K428" s="21" t="s">
        <v>1523</v>
      </c>
      <c r="L428" s="20" t="s">
        <v>32</v>
      </c>
      <c r="M428" t="str">
        <f>TEXT(A428,"dddd")</f>
        <v>Sunday</v>
      </c>
      <c r="N428" s="35">
        <f>DATE(Table4[[#This Row],[year]],Table4[[#This Row],[month2]],Table4[[#This Row],[day]])</f>
        <v>46134</v>
      </c>
    </row>
    <row r="429" spans="1:14" ht="16" x14ac:dyDescent="0.35">
      <c r="A429" t="str">
        <f t="shared" si="12"/>
        <v>22</v>
      </c>
      <c r="B429">
        <f>_xlfn.SWITCH(Table4[[#This Row],[month]],"jan",1,"feb",2,"mar",3,"apr",4,"may",5,"jun",6,"jul",7,"aug",8,"sep",9,"oct",10,"nov",11,"dec",12,"no month")</f>
        <v>4</v>
      </c>
      <c r="C429" s="12" t="str">
        <f>LEFT('All Transactions'!$E429,3)</f>
        <v>Apr</v>
      </c>
      <c r="D429" s="12" t="str">
        <f t="shared" si="13"/>
        <v>2026</v>
      </c>
      <c r="E429" s="22" t="s">
        <v>1484</v>
      </c>
      <c r="F429" s="23" t="s">
        <v>1524</v>
      </c>
      <c r="G429" s="18" t="s">
        <v>28</v>
      </c>
      <c r="H429" s="24">
        <v>40</v>
      </c>
      <c r="I429" s="25" t="s">
        <v>1525</v>
      </c>
      <c r="J429" s="25" t="s">
        <v>1526</v>
      </c>
      <c r="K429" s="26" t="s">
        <v>1527</v>
      </c>
      <c r="L429" s="25" t="s">
        <v>32</v>
      </c>
      <c r="M429" t="str">
        <f>TEXT(A429,"dddd")</f>
        <v>Sunday</v>
      </c>
      <c r="N429" s="35">
        <f>DATE(Table4[[#This Row],[year]],Table4[[#This Row],[month2]],Table4[[#This Row],[day]])</f>
        <v>46134</v>
      </c>
    </row>
    <row r="430" spans="1:14" ht="16" x14ac:dyDescent="0.35">
      <c r="A430" t="str">
        <f t="shared" si="12"/>
        <v>22</v>
      </c>
      <c r="B430">
        <f>_xlfn.SWITCH(Table4[[#This Row],[month]],"jan",1,"feb",2,"mar",3,"apr",4,"may",5,"jun",6,"jul",7,"aug",8,"sep",9,"oct",10,"nov",11,"dec",12,"no month")</f>
        <v>4</v>
      </c>
      <c r="C430" s="12" t="str">
        <f>LEFT('All Transactions'!$E430,3)</f>
        <v>Apr</v>
      </c>
      <c r="D430" s="12" t="str">
        <f t="shared" si="13"/>
        <v>2026</v>
      </c>
      <c r="E430" s="16" t="s">
        <v>1484</v>
      </c>
      <c r="F430" s="17" t="s">
        <v>1528</v>
      </c>
      <c r="G430" s="18" t="s">
        <v>28</v>
      </c>
      <c r="H430" s="19">
        <v>30</v>
      </c>
      <c r="I430" s="20" t="s">
        <v>1529</v>
      </c>
      <c r="J430" s="20" t="s">
        <v>1530</v>
      </c>
      <c r="K430" s="21" t="s">
        <v>1531</v>
      </c>
      <c r="L430" s="20" t="s">
        <v>32</v>
      </c>
      <c r="M430" t="str">
        <f>TEXT(A430,"dddd")</f>
        <v>Sunday</v>
      </c>
      <c r="N430" s="35">
        <f>DATE(Table4[[#This Row],[year]],Table4[[#This Row],[month2]],Table4[[#This Row],[day]])</f>
        <v>46134</v>
      </c>
    </row>
    <row r="431" spans="1:14" ht="16" x14ac:dyDescent="0.35">
      <c r="A431" t="str">
        <f t="shared" si="12"/>
        <v>21</v>
      </c>
      <c r="B431">
        <f>_xlfn.SWITCH(Table4[[#This Row],[month]],"jan",1,"feb",2,"mar",3,"apr",4,"may",5,"jun",6,"jul",7,"aug",8,"sep",9,"oct",10,"nov",11,"dec",12,"no month")</f>
        <v>4</v>
      </c>
      <c r="C431" s="12" t="str">
        <f>LEFT('All Transactions'!$E431,3)</f>
        <v>Apr</v>
      </c>
      <c r="D431" s="12" t="str">
        <f t="shared" si="13"/>
        <v>2026</v>
      </c>
      <c r="E431" s="22" t="s">
        <v>1532</v>
      </c>
      <c r="F431" s="23" t="s">
        <v>1533</v>
      </c>
      <c r="G431" s="27" t="s">
        <v>54</v>
      </c>
      <c r="H431" s="24">
        <v>150</v>
      </c>
      <c r="I431" s="25" t="s">
        <v>947</v>
      </c>
      <c r="J431" s="25" t="s">
        <v>1534</v>
      </c>
      <c r="K431" s="26" t="s">
        <v>1535</v>
      </c>
      <c r="L431" s="25" t="s">
        <v>58</v>
      </c>
      <c r="M431" t="str">
        <f>TEXT(A431,"dddd")</f>
        <v>Saturday</v>
      </c>
      <c r="N431" s="35">
        <f>DATE(Table4[[#This Row],[year]],Table4[[#This Row],[month2]],Table4[[#This Row],[day]])</f>
        <v>46133</v>
      </c>
    </row>
    <row r="432" spans="1:14" ht="16" x14ac:dyDescent="0.35">
      <c r="A432" t="str">
        <f t="shared" si="12"/>
        <v>21</v>
      </c>
      <c r="B432">
        <f>_xlfn.SWITCH(Table4[[#This Row],[month]],"jan",1,"feb",2,"mar",3,"apr",4,"may",5,"jun",6,"jul",7,"aug",8,"sep",9,"oct",10,"nov",11,"dec",12,"no month")</f>
        <v>4</v>
      </c>
      <c r="C432" s="12" t="str">
        <f>LEFT('All Transactions'!$E432,3)</f>
        <v>Apr</v>
      </c>
      <c r="D432" s="12" t="str">
        <f t="shared" si="13"/>
        <v>2026</v>
      </c>
      <c r="E432" s="16" t="s">
        <v>1532</v>
      </c>
      <c r="F432" s="17" t="s">
        <v>1536</v>
      </c>
      <c r="G432" s="18" t="s">
        <v>28</v>
      </c>
      <c r="H432" s="19">
        <v>25</v>
      </c>
      <c r="I432" s="20" t="s">
        <v>1537</v>
      </c>
      <c r="J432" s="20" t="s">
        <v>1538</v>
      </c>
      <c r="K432" s="21" t="s">
        <v>1539</v>
      </c>
      <c r="L432" s="20" t="s">
        <v>32</v>
      </c>
      <c r="M432" t="str">
        <f>TEXT(A432,"dddd")</f>
        <v>Saturday</v>
      </c>
      <c r="N432" s="35">
        <f>DATE(Table4[[#This Row],[year]],Table4[[#This Row],[month2]],Table4[[#This Row],[day]])</f>
        <v>46133</v>
      </c>
    </row>
    <row r="433" spans="1:14" ht="16" x14ac:dyDescent="0.35">
      <c r="A433" t="str">
        <f t="shared" si="12"/>
        <v>21</v>
      </c>
      <c r="B433">
        <f>_xlfn.SWITCH(Table4[[#This Row],[month]],"jan",1,"feb",2,"mar",3,"apr",4,"may",5,"jun",6,"jul",7,"aug",8,"sep",9,"oct",10,"nov",11,"dec",12,"no month")</f>
        <v>4</v>
      </c>
      <c r="C433" s="12" t="str">
        <f>LEFT('All Transactions'!$E433,3)</f>
        <v>Apr</v>
      </c>
      <c r="D433" s="12" t="str">
        <f t="shared" si="13"/>
        <v>2026</v>
      </c>
      <c r="E433" s="22" t="s">
        <v>1532</v>
      </c>
      <c r="F433" s="23" t="s">
        <v>1411</v>
      </c>
      <c r="G433" s="18" t="s">
        <v>28</v>
      </c>
      <c r="H433" s="24">
        <v>10</v>
      </c>
      <c r="I433" s="25" t="s">
        <v>1465</v>
      </c>
      <c r="J433" s="25" t="s">
        <v>1540</v>
      </c>
      <c r="K433" s="26" t="s">
        <v>1541</v>
      </c>
      <c r="L433" s="25" t="s">
        <v>32</v>
      </c>
      <c r="M433" t="str">
        <f>TEXT(A433,"dddd")</f>
        <v>Saturday</v>
      </c>
      <c r="N433" s="35">
        <f>DATE(Table4[[#This Row],[year]],Table4[[#This Row],[month2]],Table4[[#This Row],[day]])</f>
        <v>46133</v>
      </c>
    </row>
    <row r="434" spans="1:14" ht="16" x14ac:dyDescent="0.35">
      <c r="A434" t="str">
        <f t="shared" si="12"/>
        <v>21</v>
      </c>
      <c r="B434">
        <f>_xlfn.SWITCH(Table4[[#This Row],[month]],"jan",1,"feb",2,"mar",3,"apr",4,"may",5,"jun",6,"jul",7,"aug",8,"sep",9,"oct",10,"nov",11,"dec",12,"no month")</f>
        <v>4</v>
      </c>
      <c r="C434" s="12" t="str">
        <f>LEFT('All Transactions'!$E434,3)</f>
        <v>Apr</v>
      </c>
      <c r="D434" s="12" t="str">
        <f t="shared" si="13"/>
        <v>2026</v>
      </c>
      <c r="E434" s="16" t="s">
        <v>1532</v>
      </c>
      <c r="F434" s="17" t="s">
        <v>1542</v>
      </c>
      <c r="G434" s="18" t="s">
        <v>28</v>
      </c>
      <c r="H434" s="19">
        <v>60</v>
      </c>
      <c r="I434" s="20" t="s">
        <v>1465</v>
      </c>
      <c r="J434" s="20" t="s">
        <v>1543</v>
      </c>
      <c r="K434" s="21" t="s">
        <v>1544</v>
      </c>
      <c r="L434" s="20" t="s">
        <v>32</v>
      </c>
      <c r="M434" t="str">
        <f>TEXT(A434,"dddd")</f>
        <v>Saturday</v>
      </c>
      <c r="N434" s="35">
        <f>DATE(Table4[[#This Row],[year]],Table4[[#This Row],[month2]],Table4[[#This Row],[day]])</f>
        <v>46133</v>
      </c>
    </row>
    <row r="435" spans="1:14" ht="16" x14ac:dyDescent="0.35">
      <c r="A435" t="str">
        <f t="shared" si="12"/>
        <v>20</v>
      </c>
      <c r="B435">
        <f>_xlfn.SWITCH(Table4[[#This Row],[month]],"jan",1,"feb",2,"mar",3,"apr",4,"may",5,"jun",6,"jul",7,"aug",8,"sep",9,"oct",10,"nov",11,"dec",12,"no month")</f>
        <v>4</v>
      </c>
      <c r="C435" s="12" t="str">
        <f>LEFT('All Transactions'!$E435,3)</f>
        <v>Apr</v>
      </c>
      <c r="D435" s="12" t="str">
        <f t="shared" si="13"/>
        <v>2026</v>
      </c>
      <c r="E435" s="22" t="s">
        <v>1545</v>
      </c>
      <c r="F435" s="23" t="s">
        <v>672</v>
      </c>
      <c r="G435" s="18" t="s">
        <v>28</v>
      </c>
      <c r="H435" s="24">
        <v>10</v>
      </c>
      <c r="I435" s="25" t="s">
        <v>325</v>
      </c>
      <c r="J435" s="25" t="s">
        <v>1546</v>
      </c>
      <c r="K435" s="26" t="s">
        <v>1547</v>
      </c>
      <c r="L435" s="25" t="s">
        <v>32</v>
      </c>
      <c r="M435" t="str">
        <f>TEXT(A435,"dddd")</f>
        <v>Friday</v>
      </c>
      <c r="N435" s="35">
        <f>DATE(Table4[[#This Row],[year]],Table4[[#This Row],[month2]],Table4[[#This Row],[day]])</f>
        <v>46132</v>
      </c>
    </row>
    <row r="436" spans="1:14" ht="16" x14ac:dyDescent="0.35">
      <c r="A436" t="str">
        <f t="shared" si="12"/>
        <v>20</v>
      </c>
      <c r="B436">
        <f>_xlfn.SWITCH(Table4[[#This Row],[month]],"jan",1,"feb",2,"mar",3,"apr",4,"may",5,"jun",6,"jul",7,"aug",8,"sep",9,"oct",10,"nov",11,"dec",12,"no month")</f>
        <v>4</v>
      </c>
      <c r="C436" s="12" t="str">
        <f>LEFT('All Transactions'!$E436,3)</f>
        <v>Apr</v>
      </c>
      <c r="D436" s="12" t="str">
        <f t="shared" si="13"/>
        <v>2026</v>
      </c>
      <c r="E436" s="16" t="s">
        <v>1545</v>
      </c>
      <c r="F436" s="17" t="s">
        <v>969</v>
      </c>
      <c r="G436" s="18" t="s">
        <v>28</v>
      </c>
      <c r="H436" s="19">
        <v>302</v>
      </c>
      <c r="I436" s="20" t="s">
        <v>1548</v>
      </c>
      <c r="J436" s="20" t="s">
        <v>1549</v>
      </c>
      <c r="K436" s="21" t="s">
        <v>1550</v>
      </c>
      <c r="L436" s="20" t="s">
        <v>32</v>
      </c>
      <c r="M436" t="str">
        <f>TEXT(A436,"dddd")</f>
        <v>Friday</v>
      </c>
      <c r="N436" s="35">
        <f>DATE(Table4[[#This Row],[year]],Table4[[#This Row],[month2]],Table4[[#This Row],[day]])</f>
        <v>46132</v>
      </c>
    </row>
    <row r="437" spans="1:14" ht="16" x14ac:dyDescent="0.35">
      <c r="A437" t="str">
        <f t="shared" si="12"/>
        <v>20</v>
      </c>
      <c r="B437">
        <f>_xlfn.SWITCH(Table4[[#This Row],[month]],"jan",1,"feb",2,"mar",3,"apr",4,"may",5,"jun",6,"jul",7,"aug",8,"sep",9,"oct",10,"nov",11,"dec",12,"no month")</f>
        <v>4</v>
      </c>
      <c r="C437" s="12" t="str">
        <f>LEFT('All Transactions'!$E437,3)</f>
        <v>Apr</v>
      </c>
      <c r="D437" s="12" t="str">
        <f t="shared" si="13"/>
        <v>2026</v>
      </c>
      <c r="E437" s="22" t="s">
        <v>1545</v>
      </c>
      <c r="F437" s="23" t="s">
        <v>1551</v>
      </c>
      <c r="G437" s="18" t="s">
        <v>28</v>
      </c>
      <c r="H437" s="24">
        <v>300</v>
      </c>
      <c r="I437" s="25" t="s">
        <v>1525</v>
      </c>
      <c r="J437" s="25" t="s">
        <v>1552</v>
      </c>
      <c r="K437" s="26" t="s">
        <v>1553</v>
      </c>
      <c r="L437" s="25" t="s">
        <v>32</v>
      </c>
      <c r="M437" t="str">
        <f>TEXT(A437,"dddd")</f>
        <v>Friday</v>
      </c>
      <c r="N437" s="35">
        <f>DATE(Table4[[#This Row],[year]],Table4[[#This Row],[month2]],Table4[[#This Row],[day]])</f>
        <v>46132</v>
      </c>
    </row>
    <row r="438" spans="1:14" ht="16" x14ac:dyDescent="0.35">
      <c r="A438" t="str">
        <f t="shared" si="12"/>
        <v>20</v>
      </c>
      <c r="B438">
        <f>_xlfn.SWITCH(Table4[[#This Row],[month]],"jan",1,"feb",2,"mar",3,"apr",4,"may",5,"jun",6,"jul",7,"aug",8,"sep",9,"oct",10,"nov",11,"dec",12,"no month")</f>
        <v>4</v>
      </c>
      <c r="C438" s="12" t="str">
        <f>LEFT('All Transactions'!$E438,3)</f>
        <v>Apr</v>
      </c>
      <c r="D438" s="12" t="str">
        <f t="shared" si="13"/>
        <v>2026</v>
      </c>
      <c r="E438" s="16" t="s">
        <v>1545</v>
      </c>
      <c r="F438" s="17" t="s">
        <v>1554</v>
      </c>
      <c r="G438" s="18" t="s">
        <v>28</v>
      </c>
      <c r="H438" s="19">
        <v>100</v>
      </c>
      <c r="I438" s="20" t="s">
        <v>117</v>
      </c>
      <c r="J438" s="20" t="s">
        <v>1555</v>
      </c>
      <c r="K438" s="21" t="s">
        <v>1556</v>
      </c>
      <c r="L438" s="20" t="s">
        <v>32</v>
      </c>
      <c r="M438" t="str">
        <f>TEXT(A438,"dddd")</f>
        <v>Friday</v>
      </c>
      <c r="N438" s="35">
        <f>DATE(Table4[[#This Row],[year]],Table4[[#This Row],[month2]],Table4[[#This Row],[day]])</f>
        <v>46132</v>
      </c>
    </row>
    <row r="439" spans="1:14" ht="16" x14ac:dyDescent="0.35">
      <c r="A439" t="str">
        <f t="shared" si="12"/>
        <v>20</v>
      </c>
      <c r="B439">
        <f>_xlfn.SWITCH(Table4[[#This Row],[month]],"jan",1,"feb",2,"mar",3,"apr",4,"may",5,"jun",6,"jul",7,"aug",8,"sep",9,"oct",10,"nov",11,"dec",12,"no month")</f>
        <v>4</v>
      </c>
      <c r="C439" s="12" t="str">
        <f>LEFT('All Transactions'!$E439,3)</f>
        <v>Apr</v>
      </c>
      <c r="D439" s="12" t="str">
        <f t="shared" si="13"/>
        <v>2026</v>
      </c>
      <c r="E439" s="22" t="s">
        <v>1545</v>
      </c>
      <c r="F439" s="23" t="s">
        <v>1557</v>
      </c>
      <c r="G439" s="18" t="s">
        <v>28</v>
      </c>
      <c r="H439" s="24">
        <v>50</v>
      </c>
      <c r="I439" s="25" t="s">
        <v>167</v>
      </c>
      <c r="J439" s="25" t="s">
        <v>1558</v>
      </c>
      <c r="K439" s="26" t="s">
        <v>1559</v>
      </c>
      <c r="L439" s="25" t="s">
        <v>32</v>
      </c>
      <c r="M439" t="str">
        <f>TEXT(A439,"dddd")</f>
        <v>Friday</v>
      </c>
      <c r="N439" s="35">
        <f>DATE(Table4[[#This Row],[year]],Table4[[#This Row],[month2]],Table4[[#This Row],[day]])</f>
        <v>46132</v>
      </c>
    </row>
    <row r="440" spans="1:14" ht="16" x14ac:dyDescent="0.35">
      <c r="A440" t="str">
        <f t="shared" si="12"/>
        <v>19</v>
      </c>
      <c r="B440">
        <f>_xlfn.SWITCH(Table4[[#This Row],[month]],"jan",1,"feb",2,"mar",3,"apr",4,"may",5,"jun",6,"jul",7,"aug",8,"sep",9,"oct",10,"nov",11,"dec",12,"no month")</f>
        <v>4</v>
      </c>
      <c r="C440" s="12" t="str">
        <f>LEFT('All Transactions'!$E440,3)</f>
        <v>Apr</v>
      </c>
      <c r="D440" s="12" t="str">
        <f t="shared" si="13"/>
        <v>2026</v>
      </c>
      <c r="E440" s="16" t="s">
        <v>1560</v>
      </c>
      <c r="F440" s="17" t="s">
        <v>1561</v>
      </c>
      <c r="G440" s="18" t="s">
        <v>28</v>
      </c>
      <c r="H440" s="19">
        <v>18</v>
      </c>
      <c r="I440" s="20" t="s">
        <v>201</v>
      </c>
      <c r="J440" s="20" t="s">
        <v>1562</v>
      </c>
      <c r="K440" s="21" t="s">
        <v>1563</v>
      </c>
      <c r="L440" s="20" t="s">
        <v>32</v>
      </c>
      <c r="M440" t="str">
        <f>TEXT(A440,"dddd")</f>
        <v>Thursday</v>
      </c>
      <c r="N440" s="35">
        <f>DATE(Table4[[#This Row],[year]],Table4[[#This Row],[month2]],Table4[[#This Row],[day]])</f>
        <v>46131</v>
      </c>
    </row>
    <row r="441" spans="1:14" ht="16" x14ac:dyDescent="0.35">
      <c r="A441" t="str">
        <f t="shared" si="12"/>
        <v>19</v>
      </c>
      <c r="B441">
        <f>_xlfn.SWITCH(Table4[[#This Row],[month]],"jan",1,"feb",2,"mar",3,"apr",4,"may",5,"jun",6,"jul",7,"aug",8,"sep",9,"oct",10,"nov",11,"dec",12,"no month")</f>
        <v>4</v>
      </c>
      <c r="C441" s="12" t="str">
        <f>LEFT('All Transactions'!$E441,3)</f>
        <v>Apr</v>
      </c>
      <c r="D441" s="12" t="str">
        <f t="shared" si="13"/>
        <v>2026</v>
      </c>
      <c r="E441" s="22" t="s">
        <v>1560</v>
      </c>
      <c r="F441" s="23" t="s">
        <v>1564</v>
      </c>
      <c r="G441" s="18" t="s">
        <v>28</v>
      </c>
      <c r="H441" s="24">
        <v>20</v>
      </c>
      <c r="I441" s="25" t="s">
        <v>1565</v>
      </c>
      <c r="J441" s="25" t="s">
        <v>1566</v>
      </c>
      <c r="K441" s="26" t="s">
        <v>1567</v>
      </c>
      <c r="L441" s="25" t="s">
        <v>32</v>
      </c>
      <c r="M441" t="str">
        <f>TEXT(A441,"dddd")</f>
        <v>Thursday</v>
      </c>
      <c r="N441" s="35">
        <f>DATE(Table4[[#This Row],[year]],Table4[[#This Row],[month2]],Table4[[#This Row],[day]])</f>
        <v>46131</v>
      </c>
    </row>
    <row r="442" spans="1:14" ht="16" x14ac:dyDescent="0.35">
      <c r="A442" t="str">
        <f t="shared" si="12"/>
        <v>19</v>
      </c>
      <c r="B442">
        <f>_xlfn.SWITCH(Table4[[#This Row],[month]],"jan",1,"feb",2,"mar",3,"apr",4,"may",5,"jun",6,"jul",7,"aug",8,"sep",9,"oct",10,"nov",11,"dec",12,"no month")</f>
        <v>4</v>
      </c>
      <c r="C442" s="12" t="str">
        <f>LEFT('All Transactions'!$E442,3)</f>
        <v>Apr</v>
      </c>
      <c r="D442" s="12" t="str">
        <f t="shared" si="13"/>
        <v>2026</v>
      </c>
      <c r="E442" s="16" t="s">
        <v>1560</v>
      </c>
      <c r="F442" s="17" t="s">
        <v>1568</v>
      </c>
      <c r="G442" s="18" t="s">
        <v>28</v>
      </c>
      <c r="H442" s="19">
        <v>10</v>
      </c>
      <c r="I442" s="20" t="s">
        <v>325</v>
      </c>
      <c r="J442" s="20" t="s">
        <v>1569</v>
      </c>
      <c r="K442" s="21" t="s">
        <v>1570</v>
      </c>
      <c r="L442" s="20" t="s">
        <v>32</v>
      </c>
      <c r="M442" t="str">
        <f>TEXT(A442,"dddd")</f>
        <v>Thursday</v>
      </c>
      <c r="N442" s="35">
        <f>DATE(Table4[[#This Row],[year]],Table4[[#This Row],[month2]],Table4[[#This Row],[day]])</f>
        <v>46131</v>
      </c>
    </row>
    <row r="443" spans="1:14" ht="16" x14ac:dyDescent="0.35">
      <c r="A443" t="str">
        <f t="shared" si="12"/>
        <v>19</v>
      </c>
      <c r="B443">
        <f>_xlfn.SWITCH(Table4[[#This Row],[month]],"jan",1,"feb",2,"mar",3,"apr",4,"may",5,"jun",6,"jul",7,"aug",8,"sep",9,"oct",10,"nov",11,"dec",12,"no month")</f>
        <v>4</v>
      </c>
      <c r="C443" s="12" t="str">
        <f>LEFT('All Transactions'!$E443,3)</f>
        <v>Apr</v>
      </c>
      <c r="D443" s="12" t="str">
        <f t="shared" si="13"/>
        <v>2026</v>
      </c>
      <c r="E443" s="22" t="s">
        <v>1560</v>
      </c>
      <c r="F443" s="23" t="s">
        <v>1571</v>
      </c>
      <c r="G443" s="18" t="s">
        <v>28</v>
      </c>
      <c r="H443" s="24">
        <v>35</v>
      </c>
      <c r="I443" s="25" t="s">
        <v>1572</v>
      </c>
      <c r="J443" s="25" t="s">
        <v>1573</v>
      </c>
      <c r="K443" s="26" t="s">
        <v>1574</v>
      </c>
      <c r="L443" s="25" t="s">
        <v>32</v>
      </c>
      <c r="M443" t="str">
        <f>TEXT(A443,"dddd")</f>
        <v>Thursday</v>
      </c>
      <c r="N443" s="35">
        <f>DATE(Table4[[#This Row],[year]],Table4[[#This Row],[month2]],Table4[[#This Row],[day]])</f>
        <v>46131</v>
      </c>
    </row>
    <row r="444" spans="1:14" ht="16" x14ac:dyDescent="0.35">
      <c r="A444" t="str">
        <f t="shared" si="12"/>
        <v>19</v>
      </c>
      <c r="B444">
        <f>_xlfn.SWITCH(Table4[[#This Row],[month]],"jan",1,"feb",2,"mar",3,"apr",4,"may",5,"jun",6,"jul",7,"aug",8,"sep",9,"oct",10,"nov",11,"dec",12,"no month")</f>
        <v>4</v>
      </c>
      <c r="C444" s="12" t="str">
        <f>LEFT('All Transactions'!$E444,3)</f>
        <v>Apr</v>
      </c>
      <c r="D444" s="12" t="str">
        <f t="shared" si="13"/>
        <v>2026</v>
      </c>
      <c r="E444" s="16" t="s">
        <v>1560</v>
      </c>
      <c r="F444" s="17" t="s">
        <v>1575</v>
      </c>
      <c r="G444" s="18" t="s">
        <v>28</v>
      </c>
      <c r="H444" s="19">
        <v>100</v>
      </c>
      <c r="I444" s="20" t="s">
        <v>167</v>
      </c>
      <c r="J444" s="20" t="s">
        <v>1576</v>
      </c>
      <c r="K444" s="21" t="s">
        <v>1577</v>
      </c>
      <c r="L444" s="20" t="s">
        <v>32</v>
      </c>
      <c r="M444" t="str">
        <f>TEXT(A444,"dddd")</f>
        <v>Thursday</v>
      </c>
      <c r="N444" s="35">
        <f>DATE(Table4[[#This Row],[year]],Table4[[#This Row],[month2]],Table4[[#This Row],[day]])</f>
        <v>46131</v>
      </c>
    </row>
    <row r="445" spans="1:14" ht="16" x14ac:dyDescent="0.35">
      <c r="A445" t="str">
        <f t="shared" si="12"/>
        <v>19</v>
      </c>
      <c r="B445">
        <f>_xlfn.SWITCH(Table4[[#This Row],[month]],"jan",1,"feb",2,"mar",3,"apr",4,"may",5,"jun",6,"jul",7,"aug",8,"sep",9,"oct",10,"nov",11,"dec",12,"no month")</f>
        <v>4</v>
      </c>
      <c r="C445" s="12" t="str">
        <f>LEFT('All Transactions'!$E445,3)</f>
        <v>Apr</v>
      </c>
      <c r="D445" s="12" t="str">
        <f t="shared" si="13"/>
        <v>2026</v>
      </c>
      <c r="E445" s="22" t="s">
        <v>1560</v>
      </c>
      <c r="F445" s="23" t="s">
        <v>1578</v>
      </c>
      <c r="G445" s="18" t="s">
        <v>28</v>
      </c>
      <c r="H445" s="24">
        <v>1250</v>
      </c>
      <c r="I445" s="25" t="s">
        <v>191</v>
      </c>
      <c r="J445" s="25" t="s">
        <v>1579</v>
      </c>
      <c r="K445" s="26" t="s">
        <v>1580</v>
      </c>
      <c r="L445" s="25" t="s">
        <v>32</v>
      </c>
      <c r="M445" t="str">
        <f>TEXT(A445,"dddd")</f>
        <v>Thursday</v>
      </c>
      <c r="N445" s="35">
        <f>DATE(Table4[[#This Row],[year]],Table4[[#This Row],[month2]],Table4[[#This Row],[day]])</f>
        <v>46131</v>
      </c>
    </row>
    <row r="446" spans="1:14" ht="16" x14ac:dyDescent="0.35">
      <c r="A446" t="str">
        <f t="shared" si="12"/>
        <v>19</v>
      </c>
      <c r="B446">
        <f>_xlfn.SWITCH(Table4[[#This Row],[month]],"jan",1,"feb",2,"mar",3,"apr",4,"may",5,"jun",6,"jul",7,"aug",8,"sep",9,"oct",10,"nov",11,"dec",12,"no month")</f>
        <v>4</v>
      </c>
      <c r="C446" s="12" t="str">
        <f>LEFT('All Transactions'!$E446,3)</f>
        <v>Apr</v>
      </c>
      <c r="D446" s="12" t="str">
        <f t="shared" si="13"/>
        <v>2026</v>
      </c>
      <c r="E446" s="16" t="s">
        <v>1560</v>
      </c>
      <c r="F446" s="17" t="s">
        <v>1581</v>
      </c>
      <c r="G446" s="18" t="s">
        <v>28</v>
      </c>
      <c r="H446" s="19">
        <v>150</v>
      </c>
      <c r="I446" s="20" t="s">
        <v>1582</v>
      </c>
      <c r="J446" s="20" t="s">
        <v>1583</v>
      </c>
      <c r="K446" s="21" t="s">
        <v>1584</v>
      </c>
      <c r="L446" s="20" t="s">
        <v>32</v>
      </c>
      <c r="M446" t="str">
        <f>TEXT(A446,"dddd")</f>
        <v>Thursday</v>
      </c>
      <c r="N446" s="35">
        <f>DATE(Table4[[#This Row],[year]],Table4[[#This Row],[month2]],Table4[[#This Row],[day]])</f>
        <v>46131</v>
      </c>
    </row>
    <row r="447" spans="1:14" ht="16" x14ac:dyDescent="0.35">
      <c r="A447" t="str">
        <f t="shared" si="12"/>
        <v>19</v>
      </c>
      <c r="B447">
        <f>_xlfn.SWITCH(Table4[[#This Row],[month]],"jan",1,"feb",2,"mar",3,"apr",4,"may",5,"jun",6,"jul",7,"aug",8,"sep",9,"oct",10,"nov",11,"dec",12,"no month")</f>
        <v>4</v>
      </c>
      <c r="C447" s="12" t="str">
        <f>LEFT('All Transactions'!$E447,3)</f>
        <v>Apr</v>
      </c>
      <c r="D447" s="12" t="str">
        <f t="shared" si="13"/>
        <v>2026</v>
      </c>
      <c r="E447" s="22" t="s">
        <v>1560</v>
      </c>
      <c r="F447" s="23" t="s">
        <v>1585</v>
      </c>
      <c r="G447" s="27" t="s">
        <v>54</v>
      </c>
      <c r="H447" s="24">
        <v>1400</v>
      </c>
      <c r="I447" s="25" t="s">
        <v>1586</v>
      </c>
      <c r="J447" s="25" t="s">
        <v>1587</v>
      </c>
      <c r="K447" s="26" t="s">
        <v>1588</v>
      </c>
      <c r="L447" s="25" t="s">
        <v>58</v>
      </c>
      <c r="M447" t="str">
        <f>TEXT(A447,"dddd")</f>
        <v>Thursday</v>
      </c>
      <c r="N447" s="35">
        <f>DATE(Table4[[#This Row],[year]],Table4[[#This Row],[month2]],Table4[[#This Row],[day]])</f>
        <v>46131</v>
      </c>
    </row>
    <row r="448" spans="1:14" ht="16" x14ac:dyDescent="0.35">
      <c r="A448" t="str">
        <f t="shared" si="12"/>
        <v>19</v>
      </c>
      <c r="B448">
        <f>_xlfn.SWITCH(Table4[[#This Row],[month]],"jan",1,"feb",2,"mar",3,"apr",4,"may",5,"jun",6,"jul",7,"aug",8,"sep",9,"oct",10,"nov",11,"dec",12,"no month")</f>
        <v>4</v>
      </c>
      <c r="C448" s="12" t="str">
        <f>LEFT('All Transactions'!$E448,3)</f>
        <v>Apr</v>
      </c>
      <c r="D448" s="12" t="str">
        <f t="shared" si="13"/>
        <v>2026</v>
      </c>
      <c r="E448" s="16" t="s">
        <v>1560</v>
      </c>
      <c r="F448" s="17" t="s">
        <v>1589</v>
      </c>
      <c r="G448" s="18" t="s">
        <v>28</v>
      </c>
      <c r="H448" s="19">
        <v>60</v>
      </c>
      <c r="I448" s="20" t="s">
        <v>800</v>
      </c>
      <c r="J448" s="20" t="s">
        <v>1590</v>
      </c>
      <c r="K448" s="21" t="s">
        <v>1591</v>
      </c>
      <c r="L448" s="20" t="s">
        <v>32</v>
      </c>
      <c r="M448" t="str">
        <f>TEXT(A448,"dddd")</f>
        <v>Thursday</v>
      </c>
      <c r="N448" s="35">
        <f>DATE(Table4[[#This Row],[year]],Table4[[#This Row],[month2]],Table4[[#This Row],[day]])</f>
        <v>46131</v>
      </c>
    </row>
    <row r="449" spans="1:14" ht="16" x14ac:dyDescent="0.35">
      <c r="A449" t="str">
        <f t="shared" si="12"/>
        <v>19</v>
      </c>
      <c r="B449">
        <f>_xlfn.SWITCH(Table4[[#This Row],[month]],"jan",1,"feb",2,"mar",3,"apr",4,"may",5,"jun",6,"jul",7,"aug",8,"sep",9,"oct",10,"nov",11,"dec",12,"no month")</f>
        <v>4</v>
      </c>
      <c r="C449" s="12" t="str">
        <f>LEFT('All Transactions'!$E449,3)</f>
        <v>Apr</v>
      </c>
      <c r="D449" s="12" t="str">
        <f t="shared" si="13"/>
        <v>2026</v>
      </c>
      <c r="E449" s="22" t="s">
        <v>1560</v>
      </c>
      <c r="F449" s="23" t="s">
        <v>1592</v>
      </c>
      <c r="G449" s="18" t="s">
        <v>28</v>
      </c>
      <c r="H449" s="24">
        <v>100</v>
      </c>
      <c r="I449" s="25" t="s">
        <v>1593</v>
      </c>
      <c r="J449" s="25" t="s">
        <v>1594</v>
      </c>
      <c r="K449" s="26" t="s">
        <v>1595</v>
      </c>
      <c r="L449" s="25" t="s">
        <v>32</v>
      </c>
      <c r="M449" t="str">
        <f>TEXT(A449,"dddd")</f>
        <v>Thursday</v>
      </c>
      <c r="N449" s="35">
        <f>DATE(Table4[[#This Row],[year]],Table4[[#This Row],[month2]],Table4[[#This Row],[day]])</f>
        <v>46131</v>
      </c>
    </row>
    <row r="450" spans="1:14" ht="16" x14ac:dyDescent="0.35">
      <c r="A450" t="str">
        <f t="shared" si="12"/>
        <v>18</v>
      </c>
      <c r="B450">
        <f>_xlfn.SWITCH(Table4[[#This Row],[month]],"jan",1,"feb",2,"mar",3,"apr",4,"may",5,"jun",6,"jul",7,"aug",8,"sep",9,"oct",10,"nov",11,"dec",12,"no month")</f>
        <v>4</v>
      </c>
      <c r="C450" s="12" t="str">
        <f>LEFT('All Transactions'!$E450,3)</f>
        <v>Apr</v>
      </c>
      <c r="D450" s="12" t="str">
        <f t="shared" si="13"/>
        <v>2026</v>
      </c>
      <c r="E450" s="16" t="s">
        <v>1596</v>
      </c>
      <c r="F450" s="17" t="s">
        <v>1597</v>
      </c>
      <c r="G450" s="18" t="s">
        <v>28</v>
      </c>
      <c r="H450" s="19">
        <v>70</v>
      </c>
      <c r="I450" s="20" t="s">
        <v>1598</v>
      </c>
      <c r="J450" s="20" t="s">
        <v>1599</v>
      </c>
      <c r="K450" s="21" t="s">
        <v>1600</v>
      </c>
      <c r="L450" s="20" t="s">
        <v>32</v>
      </c>
      <c r="M450" t="str">
        <f>TEXT(A450,"dddd")</f>
        <v>Wednesday</v>
      </c>
      <c r="N450" s="35">
        <f>DATE(Table4[[#This Row],[year]],Table4[[#This Row],[month2]],Table4[[#This Row],[day]])</f>
        <v>46130</v>
      </c>
    </row>
    <row r="451" spans="1:14" ht="16" x14ac:dyDescent="0.35">
      <c r="A451" t="str">
        <f t="shared" ref="A451:A514" si="14">MID(E451,5,2)</f>
        <v>18</v>
      </c>
      <c r="B451">
        <f>_xlfn.SWITCH(Table4[[#This Row],[month]],"jan",1,"feb",2,"mar",3,"apr",4,"may",5,"jun",6,"jul",7,"aug",8,"sep",9,"oct",10,"nov",11,"dec",12,"no month")</f>
        <v>4</v>
      </c>
      <c r="C451" s="12" t="str">
        <f>LEFT('All Transactions'!$E451,3)</f>
        <v>Apr</v>
      </c>
      <c r="D451" s="12" t="str">
        <f t="shared" ref="D451:D514" si="15">RIGHT(E451,4)</f>
        <v>2026</v>
      </c>
      <c r="E451" s="22" t="s">
        <v>1596</v>
      </c>
      <c r="F451" s="23" t="s">
        <v>1601</v>
      </c>
      <c r="G451" s="18" t="s">
        <v>28</v>
      </c>
      <c r="H451" s="24">
        <v>45</v>
      </c>
      <c r="I451" s="25" t="s">
        <v>1602</v>
      </c>
      <c r="J451" s="25" t="s">
        <v>1603</v>
      </c>
      <c r="K451" s="26" t="s">
        <v>1604</v>
      </c>
      <c r="L451" s="25" t="s">
        <v>32</v>
      </c>
      <c r="M451" t="str">
        <f>TEXT(A451,"dddd")</f>
        <v>Wednesday</v>
      </c>
      <c r="N451" s="35">
        <f>DATE(Table4[[#This Row],[year]],Table4[[#This Row],[month2]],Table4[[#This Row],[day]])</f>
        <v>46130</v>
      </c>
    </row>
    <row r="452" spans="1:14" ht="16" x14ac:dyDescent="0.35">
      <c r="A452" t="str">
        <f t="shared" si="14"/>
        <v>18</v>
      </c>
      <c r="B452">
        <f>_xlfn.SWITCH(Table4[[#This Row],[month]],"jan",1,"feb",2,"mar",3,"apr",4,"may",5,"jun",6,"jul",7,"aug",8,"sep",9,"oct",10,"nov",11,"dec",12,"no month")</f>
        <v>4</v>
      </c>
      <c r="C452" s="12" t="str">
        <f>LEFT('All Transactions'!$E452,3)</f>
        <v>Apr</v>
      </c>
      <c r="D452" s="12" t="str">
        <f t="shared" si="15"/>
        <v>2026</v>
      </c>
      <c r="E452" s="16" t="s">
        <v>1596</v>
      </c>
      <c r="F452" s="17" t="s">
        <v>1605</v>
      </c>
      <c r="G452" s="18" t="s">
        <v>28</v>
      </c>
      <c r="H452" s="19">
        <v>65</v>
      </c>
      <c r="I452" s="20" t="s">
        <v>1598</v>
      </c>
      <c r="J452" s="20" t="s">
        <v>1606</v>
      </c>
      <c r="K452" s="21" t="s">
        <v>1607</v>
      </c>
      <c r="L452" s="20" t="s">
        <v>32</v>
      </c>
      <c r="M452" t="str">
        <f>TEXT(A452,"dddd")</f>
        <v>Wednesday</v>
      </c>
      <c r="N452" s="35">
        <f>DATE(Table4[[#This Row],[year]],Table4[[#This Row],[month2]],Table4[[#This Row],[day]])</f>
        <v>46130</v>
      </c>
    </row>
    <row r="453" spans="1:14" ht="16" x14ac:dyDescent="0.35">
      <c r="A453" t="str">
        <f t="shared" si="14"/>
        <v>18</v>
      </c>
      <c r="B453">
        <f>_xlfn.SWITCH(Table4[[#This Row],[month]],"jan",1,"feb",2,"mar",3,"apr",4,"may",5,"jun",6,"jul",7,"aug",8,"sep",9,"oct",10,"nov",11,"dec",12,"no month")</f>
        <v>4</v>
      </c>
      <c r="C453" s="12" t="str">
        <f>LEFT('All Transactions'!$E453,3)</f>
        <v>Apr</v>
      </c>
      <c r="D453" s="12" t="str">
        <f t="shared" si="15"/>
        <v>2026</v>
      </c>
      <c r="E453" s="22" t="s">
        <v>1596</v>
      </c>
      <c r="F453" s="23" t="s">
        <v>324</v>
      </c>
      <c r="G453" s="27" t="s">
        <v>54</v>
      </c>
      <c r="H453" s="24">
        <v>150</v>
      </c>
      <c r="I453" s="25" t="s">
        <v>1608</v>
      </c>
      <c r="J453" s="25" t="s">
        <v>1609</v>
      </c>
      <c r="K453" s="26" t="s">
        <v>1610</v>
      </c>
      <c r="L453" s="25" t="s">
        <v>58</v>
      </c>
      <c r="M453" t="str">
        <f>TEXT(A453,"dddd")</f>
        <v>Wednesday</v>
      </c>
      <c r="N453" s="35">
        <f>DATE(Table4[[#This Row],[year]],Table4[[#This Row],[month2]],Table4[[#This Row],[day]])</f>
        <v>46130</v>
      </c>
    </row>
    <row r="454" spans="1:14" ht="16" x14ac:dyDescent="0.35">
      <c r="A454" t="str">
        <f t="shared" si="14"/>
        <v>18</v>
      </c>
      <c r="B454">
        <f>_xlfn.SWITCH(Table4[[#This Row],[month]],"jan",1,"feb",2,"mar",3,"apr",4,"may",5,"jun",6,"jul",7,"aug",8,"sep",9,"oct",10,"nov",11,"dec",12,"no month")</f>
        <v>4</v>
      </c>
      <c r="C454" s="12" t="str">
        <f>LEFT('All Transactions'!$E454,3)</f>
        <v>Apr</v>
      </c>
      <c r="D454" s="12" t="str">
        <f t="shared" si="15"/>
        <v>2026</v>
      </c>
      <c r="E454" s="16" t="s">
        <v>1596</v>
      </c>
      <c r="F454" s="17" t="s">
        <v>1611</v>
      </c>
      <c r="G454" s="18" t="s">
        <v>28</v>
      </c>
      <c r="H454" s="19">
        <v>80</v>
      </c>
      <c r="I454" s="20" t="s">
        <v>1612</v>
      </c>
      <c r="J454" s="20" t="s">
        <v>1613</v>
      </c>
      <c r="K454" s="21" t="s">
        <v>1614</v>
      </c>
      <c r="L454" s="20" t="s">
        <v>32</v>
      </c>
      <c r="M454" t="str">
        <f>TEXT(A454,"dddd")</f>
        <v>Wednesday</v>
      </c>
      <c r="N454" s="35">
        <f>DATE(Table4[[#This Row],[year]],Table4[[#This Row],[month2]],Table4[[#This Row],[day]])</f>
        <v>46130</v>
      </c>
    </row>
    <row r="455" spans="1:14" ht="16" x14ac:dyDescent="0.35">
      <c r="A455" t="str">
        <f t="shared" si="14"/>
        <v>18</v>
      </c>
      <c r="B455">
        <f>_xlfn.SWITCH(Table4[[#This Row],[month]],"jan",1,"feb",2,"mar",3,"apr",4,"may",5,"jun",6,"jul",7,"aug",8,"sep",9,"oct",10,"nov",11,"dec",12,"no month")</f>
        <v>4</v>
      </c>
      <c r="C455" s="12" t="str">
        <f>LEFT('All Transactions'!$E455,3)</f>
        <v>Apr</v>
      </c>
      <c r="D455" s="12" t="str">
        <f t="shared" si="15"/>
        <v>2026</v>
      </c>
      <c r="E455" s="22" t="s">
        <v>1596</v>
      </c>
      <c r="F455" s="23" t="s">
        <v>1615</v>
      </c>
      <c r="G455" s="27" t="s">
        <v>54</v>
      </c>
      <c r="H455" s="24">
        <v>150</v>
      </c>
      <c r="I455" s="25" t="s">
        <v>947</v>
      </c>
      <c r="J455" s="25" t="s">
        <v>1616</v>
      </c>
      <c r="K455" s="26" t="s">
        <v>1617</v>
      </c>
      <c r="L455" s="25" t="s">
        <v>58</v>
      </c>
      <c r="M455" t="str">
        <f>TEXT(A455,"dddd")</f>
        <v>Wednesday</v>
      </c>
      <c r="N455" s="35">
        <f>DATE(Table4[[#This Row],[year]],Table4[[#This Row],[month2]],Table4[[#This Row],[day]])</f>
        <v>46130</v>
      </c>
    </row>
    <row r="456" spans="1:14" ht="16" x14ac:dyDescent="0.35">
      <c r="A456" t="str">
        <f t="shared" si="14"/>
        <v>18</v>
      </c>
      <c r="B456">
        <f>_xlfn.SWITCH(Table4[[#This Row],[month]],"jan",1,"feb",2,"mar",3,"apr",4,"may",5,"jun",6,"jul",7,"aug",8,"sep",9,"oct",10,"nov",11,"dec",12,"no month")</f>
        <v>4</v>
      </c>
      <c r="C456" s="12" t="str">
        <f>LEFT('All Transactions'!$E456,3)</f>
        <v>Apr</v>
      </c>
      <c r="D456" s="12" t="str">
        <f t="shared" si="15"/>
        <v>2026</v>
      </c>
      <c r="E456" s="16" t="s">
        <v>1596</v>
      </c>
      <c r="F456" s="17" t="s">
        <v>1618</v>
      </c>
      <c r="G456" s="18" t="s">
        <v>28</v>
      </c>
      <c r="H456" s="19">
        <v>150</v>
      </c>
      <c r="I456" s="20" t="s">
        <v>167</v>
      </c>
      <c r="J456" s="20" t="s">
        <v>1619</v>
      </c>
      <c r="K456" s="21" t="s">
        <v>1620</v>
      </c>
      <c r="L456" s="20" t="s">
        <v>32</v>
      </c>
      <c r="M456" t="str">
        <f>TEXT(A456,"dddd")</f>
        <v>Wednesday</v>
      </c>
      <c r="N456" s="35">
        <f>DATE(Table4[[#This Row],[year]],Table4[[#This Row],[month2]],Table4[[#This Row],[day]])</f>
        <v>46130</v>
      </c>
    </row>
    <row r="457" spans="1:14" ht="16" x14ac:dyDescent="0.35">
      <c r="A457" t="str">
        <f t="shared" si="14"/>
        <v>18</v>
      </c>
      <c r="B457">
        <f>_xlfn.SWITCH(Table4[[#This Row],[month]],"jan",1,"feb",2,"mar",3,"apr",4,"may",5,"jun",6,"jul",7,"aug",8,"sep",9,"oct",10,"nov",11,"dec",12,"no month")</f>
        <v>4</v>
      </c>
      <c r="C457" s="12" t="str">
        <f>LEFT('All Transactions'!$E457,3)</f>
        <v>Apr</v>
      </c>
      <c r="D457" s="12" t="str">
        <f t="shared" si="15"/>
        <v>2026</v>
      </c>
      <c r="E457" s="22" t="s">
        <v>1596</v>
      </c>
      <c r="F457" s="23" t="s">
        <v>1621</v>
      </c>
      <c r="G457" s="18" t="s">
        <v>28</v>
      </c>
      <c r="H457" s="24">
        <v>40</v>
      </c>
      <c r="I457" s="25" t="s">
        <v>1622</v>
      </c>
      <c r="J457" s="25" t="s">
        <v>1623</v>
      </c>
      <c r="K457" s="26" t="s">
        <v>1624</v>
      </c>
      <c r="L457" s="25" t="s">
        <v>32</v>
      </c>
      <c r="M457" t="str">
        <f>TEXT(A457,"dddd")</f>
        <v>Wednesday</v>
      </c>
      <c r="N457" s="35">
        <f>DATE(Table4[[#This Row],[year]],Table4[[#This Row],[month2]],Table4[[#This Row],[day]])</f>
        <v>46130</v>
      </c>
    </row>
    <row r="458" spans="1:14" ht="16" x14ac:dyDescent="0.35">
      <c r="A458" t="str">
        <f t="shared" si="14"/>
        <v>18</v>
      </c>
      <c r="B458">
        <f>_xlfn.SWITCH(Table4[[#This Row],[month]],"jan",1,"feb",2,"mar",3,"apr",4,"may",5,"jun",6,"jul",7,"aug",8,"sep",9,"oct",10,"nov",11,"dec",12,"no month")</f>
        <v>4</v>
      </c>
      <c r="C458" s="12" t="str">
        <f>LEFT('All Transactions'!$E458,3)</f>
        <v>Apr</v>
      </c>
      <c r="D458" s="12" t="str">
        <f t="shared" si="15"/>
        <v>2026</v>
      </c>
      <c r="E458" s="16" t="s">
        <v>1596</v>
      </c>
      <c r="F458" s="17" t="s">
        <v>1625</v>
      </c>
      <c r="G458" s="18" t="s">
        <v>28</v>
      </c>
      <c r="H458" s="19">
        <v>120</v>
      </c>
      <c r="I458" s="20" t="s">
        <v>1622</v>
      </c>
      <c r="J458" s="20" t="s">
        <v>1626</v>
      </c>
      <c r="K458" s="21" t="s">
        <v>1627</v>
      </c>
      <c r="L458" s="20" t="s">
        <v>32</v>
      </c>
      <c r="M458" t="str">
        <f>TEXT(A458,"dddd")</f>
        <v>Wednesday</v>
      </c>
      <c r="N458" s="35">
        <f>DATE(Table4[[#This Row],[year]],Table4[[#This Row],[month2]],Table4[[#This Row],[day]])</f>
        <v>46130</v>
      </c>
    </row>
    <row r="459" spans="1:14" ht="16" x14ac:dyDescent="0.35">
      <c r="A459" t="str">
        <f t="shared" si="14"/>
        <v>17</v>
      </c>
      <c r="B459">
        <f>_xlfn.SWITCH(Table4[[#This Row],[month]],"jan",1,"feb",2,"mar",3,"apr",4,"may",5,"jun",6,"jul",7,"aug",8,"sep",9,"oct",10,"nov",11,"dec",12,"no month")</f>
        <v>4</v>
      </c>
      <c r="C459" s="12" t="str">
        <f>LEFT('All Transactions'!$E459,3)</f>
        <v>Apr</v>
      </c>
      <c r="D459" s="12" t="str">
        <f t="shared" si="15"/>
        <v>2026</v>
      </c>
      <c r="E459" s="22" t="s">
        <v>1628</v>
      </c>
      <c r="F459" s="23" t="s">
        <v>1629</v>
      </c>
      <c r="G459" s="18" t="s">
        <v>28</v>
      </c>
      <c r="H459" s="24">
        <v>44</v>
      </c>
      <c r="I459" s="25" t="s">
        <v>1630</v>
      </c>
      <c r="J459" s="25" t="s">
        <v>1631</v>
      </c>
      <c r="K459" s="26" t="s">
        <v>1632</v>
      </c>
      <c r="L459" s="25" t="s">
        <v>32</v>
      </c>
      <c r="M459" t="str">
        <f>TEXT(A459,"dddd")</f>
        <v>Tuesday</v>
      </c>
      <c r="N459" s="35">
        <f>DATE(Table4[[#This Row],[year]],Table4[[#This Row],[month2]],Table4[[#This Row],[day]])</f>
        <v>46129</v>
      </c>
    </row>
    <row r="460" spans="1:14" ht="16" x14ac:dyDescent="0.35">
      <c r="A460" t="str">
        <f t="shared" si="14"/>
        <v>17</v>
      </c>
      <c r="B460">
        <f>_xlfn.SWITCH(Table4[[#This Row],[month]],"jan",1,"feb",2,"mar",3,"apr",4,"may",5,"jun",6,"jul",7,"aug",8,"sep",9,"oct",10,"nov",11,"dec",12,"no month")</f>
        <v>4</v>
      </c>
      <c r="C460" s="12" t="str">
        <f>LEFT('All Transactions'!$E460,3)</f>
        <v>Apr</v>
      </c>
      <c r="D460" s="12" t="str">
        <f t="shared" si="15"/>
        <v>2026</v>
      </c>
      <c r="E460" s="16" t="s">
        <v>1628</v>
      </c>
      <c r="F460" s="17" t="s">
        <v>1633</v>
      </c>
      <c r="G460" s="18" t="s">
        <v>28</v>
      </c>
      <c r="H460" s="19">
        <v>50</v>
      </c>
      <c r="I460" s="20" t="s">
        <v>1602</v>
      </c>
      <c r="J460" s="20" t="s">
        <v>1634</v>
      </c>
      <c r="K460" s="21" t="s">
        <v>1635</v>
      </c>
      <c r="L460" s="20" t="s">
        <v>32</v>
      </c>
      <c r="M460" t="str">
        <f>TEXT(A460,"dddd")</f>
        <v>Tuesday</v>
      </c>
      <c r="N460" s="35">
        <f>DATE(Table4[[#This Row],[year]],Table4[[#This Row],[month2]],Table4[[#This Row],[day]])</f>
        <v>46129</v>
      </c>
    </row>
    <row r="461" spans="1:14" ht="16" x14ac:dyDescent="0.35">
      <c r="A461" t="str">
        <f t="shared" si="14"/>
        <v>16</v>
      </c>
      <c r="B461">
        <f>_xlfn.SWITCH(Table4[[#This Row],[month]],"jan",1,"feb",2,"mar",3,"apr",4,"may",5,"jun",6,"jul",7,"aug",8,"sep",9,"oct",10,"nov",11,"dec",12,"no month")</f>
        <v>4</v>
      </c>
      <c r="C461" s="12" t="str">
        <f>LEFT('All Transactions'!$E461,3)</f>
        <v>Apr</v>
      </c>
      <c r="D461" s="12" t="str">
        <f t="shared" si="15"/>
        <v>2026</v>
      </c>
      <c r="E461" s="22" t="s">
        <v>1636</v>
      </c>
      <c r="F461" s="23" t="s">
        <v>1637</v>
      </c>
      <c r="G461" s="18" t="s">
        <v>28</v>
      </c>
      <c r="H461" s="24">
        <v>84</v>
      </c>
      <c r="I461" s="25" t="s">
        <v>1638</v>
      </c>
      <c r="J461" s="25" t="s">
        <v>1639</v>
      </c>
      <c r="K461" s="26" t="s">
        <v>1640</v>
      </c>
      <c r="L461" s="25" t="s">
        <v>32</v>
      </c>
      <c r="M461" t="str">
        <f>TEXT(A461,"dddd")</f>
        <v>Monday</v>
      </c>
      <c r="N461" s="35">
        <f>DATE(Table4[[#This Row],[year]],Table4[[#This Row],[month2]],Table4[[#This Row],[day]])</f>
        <v>46128</v>
      </c>
    </row>
    <row r="462" spans="1:14" ht="16" x14ac:dyDescent="0.35">
      <c r="A462" t="str">
        <f t="shared" si="14"/>
        <v>16</v>
      </c>
      <c r="B462">
        <f>_xlfn.SWITCH(Table4[[#This Row],[month]],"jan",1,"feb",2,"mar",3,"apr",4,"may",5,"jun",6,"jul",7,"aug",8,"sep",9,"oct",10,"nov",11,"dec",12,"no month")</f>
        <v>4</v>
      </c>
      <c r="C462" s="12" t="str">
        <f>LEFT('All Transactions'!$E462,3)</f>
        <v>Apr</v>
      </c>
      <c r="D462" s="12" t="str">
        <f t="shared" si="15"/>
        <v>2026</v>
      </c>
      <c r="E462" s="16" t="s">
        <v>1636</v>
      </c>
      <c r="F462" s="17" t="s">
        <v>1641</v>
      </c>
      <c r="G462" s="27" t="s">
        <v>54</v>
      </c>
      <c r="H462" s="19">
        <v>2000</v>
      </c>
      <c r="I462" s="20" t="s">
        <v>1642</v>
      </c>
      <c r="J462" s="20" t="s">
        <v>1643</v>
      </c>
      <c r="K462" s="21" t="s">
        <v>1644</v>
      </c>
      <c r="L462" s="20" t="s">
        <v>58</v>
      </c>
      <c r="M462" t="str">
        <f>TEXT(A462,"dddd")</f>
        <v>Monday</v>
      </c>
      <c r="N462" s="35">
        <f>DATE(Table4[[#This Row],[year]],Table4[[#This Row],[month2]],Table4[[#This Row],[day]])</f>
        <v>46128</v>
      </c>
    </row>
    <row r="463" spans="1:14" ht="16" x14ac:dyDescent="0.35">
      <c r="A463" t="str">
        <f t="shared" si="14"/>
        <v>16</v>
      </c>
      <c r="B463">
        <f>_xlfn.SWITCH(Table4[[#This Row],[month]],"jan",1,"feb",2,"mar",3,"apr",4,"may",5,"jun",6,"jul",7,"aug",8,"sep",9,"oct",10,"nov",11,"dec",12,"no month")</f>
        <v>4</v>
      </c>
      <c r="C463" s="12" t="str">
        <f>LEFT('All Transactions'!$E463,3)</f>
        <v>Apr</v>
      </c>
      <c r="D463" s="12" t="str">
        <f t="shared" si="15"/>
        <v>2026</v>
      </c>
      <c r="E463" s="22" t="s">
        <v>1636</v>
      </c>
      <c r="F463" s="23" t="s">
        <v>1645</v>
      </c>
      <c r="G463" s="18" t="s">
        <v>28</v>
      </c>
      <c r="H463" s="24">
        <v>5</v>
      </c>
      <c r="I463" s="25" t="s">
        <v>1646</v>
      </c>
      <c r="J463" s="25" t="s">
        <v>1647</v>
      </c>
      <c r="K463" s="26" t="s">
        <v>1648</v>
      </c>
      <c r="L463" s="25" t="s">
        <v>32</v>
      </c>
      <c r="M463" t="str">
        <f>TEXT(A463,"dddd")</f>
        <v>Monday</v>
      </c>
      <c r="N463" s="35">
        <f>DATE(Table4[[#This Row],[year]],Table4[[#This Row],[month2]],Table4[[#This Row],[day]])</f>
        <v>46128</v>
      </c>
    </row>
    <row r="464" spans="1:14" ht="16" x14ac:dyDescent="0.35">
      <c r="A464" t="str">
        <f t="shared" si="14"/>
        <v>16</v>
      </c>
      <c r="B464">
        <f>_xlfn.SWITCH(Table4[[#This Row],[month]],"jan",1,"feb",2,"mar",3,"apr",4,"may",5,"jun",6,"jul",7,"aug",8,"sep",9,"oct",10,"nov",11,"dec",12,"no month")</f>
        <v>4</v>
      </c>
      <c r="C464" s="12" t="str">
        <f>LEFT('All Transactions'!$E464,3)</f>
        <v>Apr</v>
      </c>
      <c r="D464" s="12" t="str">
        <f t="shared" si="15"/>
        <v>2026</v>
      </c>
      <c r="E464" s="16" t="s">
        <v>1636</v>
      </c>
      <c r="F464" s="17" t="s">
        <v>1649</v>
      </c>
      <c r="G464" s="18" t="s">
        <v>28</v>
      </c>
      <c r="H464" s="19">
        <v>5</v>
      </c>
      <c r="I464" s="20" t="s">
        <v>1650</v>
      </c>
      <c r="J464" s="20" t="s">
        <v>1651</v>
      </c>
      <c r="K464" s="21" t="s">
        <v>1652</v>
      </c>
      <c r="L464" s="20" t="s">
        <v>32</v>
      </c>
      <c r="M464" t="str">
        <f>TEXT(A464,"dddd")</f>
        <v>Monday</v>
      </c>
      <c r="N464" s="35">
        <f>DATE(Table4[[#This Row],[year]],Table4[[#This Row],[month2]],Table4[[#This Row],[day]])</f>
        <v>46128</v>
      </c>
    </row>
    <row r="465" spans="1:14" ht="16" x14ac:dyDescent="0.35">
      <c r="A465" t="str">
        <f t="shared" si="14"/>
        <v>16</v>
      </c>
      <c r="B465">
        <f>_xlfn.SWITCH(Table4[[#This Row],[month]],"jan",1,"feb",2,"mar",3,"apr",4,"may",5,"jun",6,"jul",7,"aug",8,"sep",9,"oct",10,"nov",11,"dec",12,"no month")</f>
        <v>4</v>
      </c>
      <c r="C465" s="12" t="str">
        <f>LEFT('All Transactions'!$E465,3)</f>
        <v>Apr</v>
      </c>
      <c r="D465" s="12" t="str">
        <f t="shared" si="15"/>
        <v>2026</v>
      </c>
      <c r="E465" s="22" t="s">
        <v>1636</v>
      </c>
      <c r="F465" s="23" t="s">
        <v>1653</v>
      </c>
      <c r="G465" s="18" t="s">
        <v>28</v>
      </c>
      <c r="H465" s="24">
        <v>5</v>
      </c>
      <c r="I465" s="25" t="s">
        <v>1650</v>
      </c>
      <c r="J465" s="25" t="s">
        <v>1654</v>
      </c>
      <c r="K465" s="26" t="s">
        <v>1655</v>
      </c>
      <c r="L465" s="25" t="s">
        <v>32</v>
      </c>
      <c r="M465" t="str">
        <f>TEXT(A465,"dddd")</f>
        <v>Monday</v>
      </c>
      <c r="N465" s="35">
        <f>DATE(Table4[[#This Row],[year]],Table4[[#This Row],[month2]],Table4[[#This Row],[day]])</f>
        <v>46128</v>
      </c>
    </row>
    <row r="466" spans="1:14" ht="16" x14ac:dyDescent="0.35">
      <c r="A466" t="str">
        <f t="shared" si="14"/>
        <v>15</v>
      </c>
      <c r="B466">
        <f>_xlfn.SWITCH(Table4[[#This Row],[month]],"jan",1,"feb",2,"mar",3,"apr",4,"may",5,"jun",6,"jul",7,"aug",8,"sep",9,"oct",10,"nov",11,"dec",12,"no month")</f>
        <v>4</v>
      </c>
      <c r="C466" s="12" t="str">
        <f>LEFT('All Transactions'!$E466,3)</f>
        <v>Apr</v>
      </c>
      <c r="D466" s="12" t="str">
        <f t="shared" si="15"/>
        <v>2026</v>
      </c>
      <c r="E466" s="16" t="s">
        <v>1656</v>
      </c>
      <c r="F466" s="17" t="s">
        <v>1629</v>
      </c>
      <c r="G466" s="18" t="s">
        <v>28</v>
      </c>
      <c r="H466" s="19">
        <v>60</v>
      </c>
      <c r="I466" s="20" t="s">
        <v>1657</v>
      </c>
      <c r="J466" s="20" t="s">
        <v>1658</v>
      </c>
      <c r="K466" s="21" t="s">
        <v>1659</v>
      </c>
      <c r="L466" s="20" t="s">
        <v>32</v>
      </c>
      <c r="M466" t="str">
        <f>TEXT(A466,"dddd")</f>
        <v>Sunday</v>
      </c>
      <c r="N466" s="35">
        <f>DATE(Table4[[#This Row],[year]],Table4[[#This Row],[month2]],Table4[[#This Row],[day]])</f>
        <v>46127</v>
      </c>
    </row>
    <row r="467" spans="1:14" ht="16" x14ac:dyDescent="0.35">
      <c r="A467" t="str">
        <f t="shared" si="14"/>
        <v>14</v>
      </c>
      <c r="B467">
        <f>_xlfn.SWITCH(Table4[[#This Row],[month]],"jan",1,"feb",2,"mar",3,"apr",4,"may",5,"jun",6,"jul",7,"aug",8,"sep",9,"oct",10,"nov",11,"dec",12,"no month")</f>
        <v>4</v>
      </c>
      <c r="C467" s="12" t="str">
        <f>LEFT('All Transactions'!$E467,3)</f>
        <v>Apr</v>
      </c>
      <c r="D467" s="12" t="str">
        <f t="shared" si="15"/>
        <v>2026</v>
      </c>
      <c r="E467" s="22" t="s">
        <v>1660</v>
      </c>
      <c r="F467" s="23" t="s">
        <v>1661</v>
      </c>
      <c r="G467" s="18" t="s">
        <v>28</v>
      </c>
      <c r="H467" s="24">
        <v>45</v>
      </c>
      <c r="I467" s="25" t="s">
        <v>1630</v>
      </c>
      <c r="J467" s="25" t="s">
        <v>1662</v>
      </c>
      <c r="K467" s="26" t="s">
        <v>1663</v>
      </c>
      <c r="L467" s="25" t="s">
        <v>32</v>
      </c>
      <c r="M467" t="str">
        <f>TEXT(A467,"dddd")</f>
        <v>Saturday</v>
      </c>
      <c r="N467" s="35">
        <f>DATE(Table4[[#This Row],[year]],Table4[[#This Row],[month2]],Table4[[#This Row],[day]])</f>
        <v>46126</v>
      </c>
    </row>
    <row r="468" spans="1:14" ht="16" x14ac:dyDescent="0.35">
      <c r="A468" t="str">
        <f t="shared" si="14"/>
        <v>14</v>
      </c>
      <c r="B468">
        <f>_xlfn.SWITCH(Table4[[#This Row],[month]],"jan",1,"feb",2,"mar",3,"apr",4,"may",5,"jun",6,"jul",7,"aug",8,"sep",9,"oct",10,"nov",11,"dec",12,"no month")</f>
        <v>4</v>
      </c>
      <c r="C468" s="12" t="str">
        <f>LEFT('All Transactions'!$E468,3)</f>
        <v>Apr</v>
      </c>
      <c r="D468" s="12" t="str">
        <f t="shared" si="15"/>
        <v>2026</v>
      </c>
      <c r="E468" s="16" t="s">
        <v>1660</v>
      </c>
      <c r="F468" s="17" t="s">
        <v>1664</v>
      </c>
      <c r="G468" s="18" t="s">
        <v>28</v>
      </c>
      <c r="H468" s="19">
        <v>100</v>
      </c>
      <c r="I468" s="20" t="s">
        <v>1665</v>
      </c>
      <c r="J468" s="20" t="s">
        <v>1666</v>
      </c>
      <c r="K468" s="21" t="s">
        <v>1667</v>
      </c>
      <c r="L468" s="20" t="s">
        <v>32</v>
      </c>
      <c r="M468" t="str">
        <f>TEXT(A468,"dddd")</f>
        <v>Saturday</v>
      </c>
      <c r="N468" s="35">
        <f>DATE(Table4[[#This Row],[year]],Table4[[#This Row],[month2]],Table4[[#This Row],[day]])</f>
        <v>46126</v>
      </c>
    </row>
    <row r="469" spans="1:14" ht="16" x14ac:dyDescent="0.35">
      <c r="A469" t="str">
        <f t="shared" si="14"/>
        <v>14</v>
      </c>
      <c r="B469">
        <f>_xlfn.SWITCH(Table4[[#This Row],[month]],"jan",1,"feb",2,"mar",3,"apr",4,"may",5,"jun",6,"jul",7,"aug",8,"sep",9,"oct",10,"nov",11,"dec",12,"no month")</f>
        <v>4</v>
      </c>
      <c r="C469" s="12" t="str">
        <f>LEFT('All Transactions'!$E469,3)</f>
        <v>Apr</v>
      </c>
      <c r="D469" s="12" t="str">
        <f t="shared" si="15"/>
        <v>2026</v>
      </c>
      <c r="E469" s="22" t="s">
        <v>1660</v>
      </c>
      <c r="F469" s="23" t="s">
        <v>1668</v>
      </c>
      <c r="G469" s="18" t="s">
        <v>28</v>
      </c>
      <c r="H469" s="24">
        <v>20</v>
      </c>
      <c r="I469" s="25" t="s">
        <v>1669</v>
      </c>
      <c r="J469" s="25" t="s">
        <v>1670</v>
      </c>
      <c r="K469" s="26" t="s">
        <v>1671</v>
      </c>
      <c r="L469" s="25" t="s">
        <v>32</v>
      </c>
      <c r="M469" t="str">
        <f>TEXT(A469,"dddd")</f>
        <v>Saturday</v>
      </c>
      <c r="N469" s="35">
        <f>DATE(Table4[[#This Row],[year]],Table4[[#This Row],[month2]],Table4[[#This Row],[day]])</f>
        <v>46126</v>
      </c>
    </row>
    <row r="470" spans="1:14" ht="16" x14ac:dyDescent="0.35">
      <c r="A470" t="str">
        <f t="shared" si="14"/>
        <v>13</v>
      </c>
      <c r="B470">
        <f>_xlfn.SWITCH(Table4[[#This Row],[month]],"jan",1,"feb",2,"mar",3,"apr",4,"may",5,"jun",6,"jul",7,"aug",8,"sep",9,"oct",10,"nov",11,"dec",12,"no month")</f>
        <v>4</v>
      </c>
      <c r="C470" s="12" t="str">
        <f>LEFT('All Transactions'!$E470,3)</f>
        <v>Apr</v>
      </c>
      <c r="D470" s="12" t="str">
        <f t="shared" si="15"/>
        <v>2026</v>
      </c>
      <c r="E470" s="16" t="s">
        <v>1672</v>
      </c>
      <c r="F470" s="17" t="s">
        <v>661</v>
      </c>
      <c r="G470" s="18" t="s">
        <v>28</v>
      </c>
      <c r="H470" s="19">
        <v>24</v>
      </c>
      <c r="I470" s="20" t="s">
        <v>1673</v>
      </c>
      <c r="J470" s="20" t="s">
        <v>1674</v>
      </c>
      <c r="K470" s="21" t="s">
        <v>1675</v>
      </c>
      <c r="L470" s="20" t="s">
        <v>32</v>
      </c>
      <c r="M470" t="str">
        <f>TEXT(A470,"dddd")</f>
        <v>Friday</v>
      </c>
      <c r="N470" s="35">
        <f>DATE(Table4[[#This Row],[year]],Table4[[#This Row],[month2]],Table4[[#This Row],[day]])</f>
        <v>46125</v>
      </c>
    </row>
    <row r="471" spans="1:14" ht="16" x14ac:dyDescent="0.35">
      <c r="A471" t="str">
        <f t="shared" si="14"/>
        <v>13</v>
      </c>
      <c r="B471">
        <f>_xlfn.SWITCH(Table4[[#This Row],[month]],"jan",1,"feb",2,"mar",3,"apr",4,"may",5,"jun",6,"jul",7,"aug",8,"sep",9,"oct",10,"nov",11,"dec",12,"no month")</f>
        <v>4</v>
      </c>
      <c r="C471" s="12" t="str">
        <f>LEFT('All Transactions'!$E471,3)</f>
        <v>Apr</v>
      </c>
      <c r="D471" s="12" t="str">
        <f t="shared" si="15"/>
        <v>2026</v>
      </c>
      <c r="E471" s="22" t="s">
        <v>1672</v>
      </c>
      <c r="F471" s="23" t="s">
        <v>112</v>
      </c>
      <c r="G471" s="18" t="s">
        <v>28</v>
      </c>
      <c r="H471" s="24">
        <v>30</v>
      </c>
      <c r="I471" s="25" t="s">
        <v>1676</v>
      </c>
      <c r="J471" s="25" t="s">
        <v>1677</v>
      </c>
      <c r="K471" s="26" t="s">
        <v>1678</v>
      </c>
      <c r="L471" s="25" t="s">
        <v>32</v>
      </c>
      <c r="M471" t="str">
        <f>TEXT(A471,"dddd")</f>
        <v>Friday</v>
      </c>
      <c r="N471" s="35">
        <f>DATE(Table4[[#This Row],[year]],Table4[[#This Row],[month2]],Table4[[#This Row],[day]])</f>
        <v>46125</v>
      </c>
    </row>
    <row r="472" spans="1:14" ht="16" x14ac:dyDescent="0.35">
      <c r="A472" t="str">
        <f t="shared" si="14"/>
        <v>13</v>
      </c>
      <c r="B472">
        <f>_xlfn.SWITCH(Table4[[#This Row],[month]],"jan",1,"feb",2,"mar",3,"apr",4,"may",5,"jun",6,"jul",7,"aug",8,"sep",9,"oct",10,"nov",11,"dec",12,"no month")</f>
        <v>4</v>
      </c>
      <c r="C472" s="12" t="str">
        <f>LEFT('All Transactions'!$E472,3)</f>
        <v>Apr</v>
      </c>
      <c r="D472" s="12" t="str">
        <f t="shared" si="15"/>
        <v>2026</v>
      </c>
      <c r="E472" s="16" t="s">
        <v>1672</v>
      </c>
      <c r="F472" s="17" t="s">
        <v>142</v>
      </c>
      <c r="G472" s="18" t="s">
        <v>28</v>
      </c>
      <c r="H472" s="19">
        <v>100</v>
      </c>
      <c r="I472" s="20" t="s">
        <v>1679</v>
      </c>
      <c r="J472" s="20" t="s">
        <v>1680</v>
      </c>
      <c r="K472" s="21" t="s">
        <v>1681</v>
      </c>
      <c r="L472" s="20" t="s">
        <v>32</v>
      </c>
      <c r="M472" t="str">
        <f>TEXT(A472,"dddd")</f>
        <v>Friday</v>
      </c>
      <c r="N472" s="35">
        <f>DATE(Table4[[#This Row],[year]],Table4[[#This Row],[month2]],Table4[[#This Row],[day]])</f>
        <v>46125</v>
      </c>
    </row>
    <row r="473" spans="1:14" ht="16" x14ac:dyDescent="0.35">
      <c r="A473" t="str">
        <f t="shared" si="14"/>
        <v>13</v>
      </c>
      <c r="B473">
        <f>_xlfn.SWITCH(Table4[[#This Row],[month]],"jan",1,"feb",2,"mar",3,"apr",4,"may",5,"jun",6,"jul",7,"aug",8,"sep",9,"oct",10,"nov",11,"dec",12,"no month")</f>
        <v>4</v>
      </c>
      <c r="C473" s="12" t="str">
        <f>LEFT('All Transactions'!$E473,3)</f>
        <v>Apr</v>
      </c>
      <c r="D473" s="12" t="str">
        <f t="shared" si="15"/>
        <v>2026</v>
      </c>
      <c r="E473" s="22" t="s">
        <v>1672</v>
      </c>
      <c r="F473" s="23" t="s">
        <v>1585</v>
      </c>
      <c r="G473" s="18" t="s">
        <v>28</v>
      </c>
      <c r="H473" s="24">
        <v>20</v>
      </c>
      <c r="I473" s="25" t="s">
        <v>1682</v>
      </c>
      <c r="J473" s="25" t="s">
        <v>1683</v>
      </c>
      <c r="K473" s="26" t="s">
        <v>1684</v>
      </c>
      <c r="L473" s="25" t="s">
        <v>32</v>
      </c>
      <c r="M473" t="str">
        <f>TEXT(A473,"dddd")</f>
        <v>Friday</v>
      </c>
      <c r="N473" s="35">
        <f>DATE(Table4[[#This Row],[year]],Table4[[#This Row],[month2]],Table4[[#This Row],[day]])</f>
        <v>46125</v>
      </c>
    </row>
    <row r="474" spans="1:14" ht="16" x14ac:dyDescent="0.35">
      <c r="A474" t="str">
        <f t="shared" si="14"/>
        <v>13</v>
      </c>
      <c r="B474">
        <f>_xlfn.SWITCH(Table4[[#This Row],[month]],"jan",1,"feb",2,"mar",3,"apr",4,"may",5,"jun",6,"jul",7,"aug",8,"sep",9,"oct",10,"nov",11,"dec",12,"no month")</f>
        <v>4</v>
      </c>
      <c r="C474" s="12" t="str">
        <f>LEFT('All Transactions'!$E474,3)</f>
        <v>Apr</v>
      </c>
      <c r="D474" s="12" t="str">
        <f t="shared" si="15"/>
        <v>2026</v>
      </c>
      <c r="E474" s="16" t="s">
        <v>1672</v>
      </c>
      <c r="F474" s="17" t="s">
        <v>1685</v>
      </c>
      <c r="G474" s="18" t="s">
        <v>28</v>
      </c>
      <c r="H474" s="19">
        <v>5</v>
      </c>
      <c r="I474" s="20" t="s">
        <v>1650</v>
      </c>
      <c r="J474" s="20" t="s">
        <v>1686</v>
      </c>
      <c r="K474" s="21" t="s">
        <v>1687</v>
      </c>
      <c r="L474" s="20" t="s">
        <v>32</v>
      </c>
      <c r="M474" t="str">
        <f>TEXT(A474,"dddd")</f>
        <v>Friday</v>
      </c>
      <c r="N474" s="35">
        <f>DATE(Table4[[#This Row],[year]],Table4[[#This Row],[month2]],Table4[[#This Row],[day]])</f>
        <v>46125</v>
      </c>
    </row>
    <row r="475" spans="1:14" ht="16" x14ac:dyDescent="0.35">
      <c r="A475" t="str">
        <f t="shared" si="14"/>
        <v>12</v>
      </c>
      <c r="B475">
        <f>_xlfn.SWITCH(Table4[[#This Row],[month]],"jan",1,"feb",2,"mar",3,"apr",4,"may",5,"jun",6,"jul",7,"aug",8,"sep",9,"oct",10,"nov",11,"dec",12,"no month")</f>
        <v>4</v>
      </c>
      <c r="C475" s="12" t="str">
        <f>LEFT('All Transactions'!$E475,3)</f>
        <v>Apr</v>
      </c>
      <c r="D475" s="12" t="str">
        <f t="shared" si="15"/>
        <v>2026</v>
      </c>
      <c r="E475" s="22" t="s">
        <v>1688</v>
      </c>
      <c r="F475" s="23" t="s">
        <v>1689</v>
      </c>
      <c r="G475" s="18" t="s">
        <v>28</v>
      </c>
      <c r="H475" s="24">
        <v>10</v>
      </c>
      <c r="I475" s="25" t="s">
        <v>1646</v>
      </c>
      <c r="J475" s="25" t="s">
        <v>1690</v>
      </c>
      <c r="K475" s="26" t="s">
        <v>1691</v>
      </c>
      <c r="L475" s="25" t="s">
        <v>32</v>
      </c>
      <c r="M475" t="str">
        <f>TEXT(A475,"dddd")</f>
        <v>Thursday</v>
      </c>
      <c r="N475" s="35">
        <f>DATE(Table4[[#This Row],[year]],Table4[[#This Row],[month2]],Table4[[#This Row],[day]])</f>
        <v>46124</v>
      </c>
    </row>
    <row r="476" spans="1:14" ht="16" x14ac:dyDescent="0.35">
      <c r="A476" t="str">
        <f t="shared" si="14"/>
        <v>12</v>
      </c>
      <c r="B476">
        <f>_xlfn.SWITCH(Table4[[#This Row],[month]],"jan",1,"feb",2,"mar",3,"apr",4,"may",5,"jun",6,"jul",7,"aug",8,"sep",9,"oct",10,"nov",11,"dec",12,"no month")</f>
        <v>4</v>
      </c>
      <c r="C476" s="12" t="str">
        <f>LEFT('All Transactions'!$E476,3)</f>
        <v>Apr</v>
      </c>
      <c r="D476" s="12" t="str">
        <f t="shared" si="15"/>
        <v>2026</v>
      </c>
      <c r="E476" s="16" t="s">
        <v>1688</v>
      </c>
      <c r="F476" s="17" t="s">
        <v>104</v>
      </c>
      <c r="G476" s="18" t="s">
        <v>28</v>
      </c>
      <c r="H476" s="19">
        <v>5</v>
      </c>
      <c r="I476" s="20" t="s">
        <v>1650</v>
      </c>
      <c r="J476" s="20" t="s">
        <v>1692</v>
      </c>
      <c r="K476" s="21" t="s">
        <v>1693</v>
      </c>
      <c r="L476" s="20" t="s">
        <v>32</v>
      </c>
      <c r="M476" t="str">
        <f>TEXT(A476,"dddd")</f>
        <v>Thursday</v>
      </c>
      <c r="N476" s="35">
        <f>DATE(Table4[[#This Row],[year]],Table4[[#This Row],[month2]],Table4[[#This Row],[day]])</f>
        <v>46124</v>
      </c>
    </row>
    <row r="477" spans="1:14" ht="16" x14ac:dyDescent="0.35">
      <c r="A477" t="str">
        <f t="shared" si="14"/>
        <v>12</v>
      </c>
      <c r="B477">
        <f>_xlfn.SWITCH(Table4[[#This Row],[month]],"jan",1,"feb",2,"mar",3,"apr",4,"may",5,"jun",6,"jul",7,"aug",8,"sep",9,"oct",10,"nov",11,"dec",12,"no month")</f>
        <v>4</v>
      </c>
      <c r="C477" s="12" t="str">
        <f>LEFT('All Transactions'!$E477,3)</f>
        <v>Apr</v>
      </c>
      <c r="D477" s="12" t="str">
        <f t="shared" si="15"/>
        <v>2026</v>
      </c>
      <c r="E477" s="22" t="s">
        <v>1688</v>
      </c>
      <c r="F477" s="23" t="s">
        <v>1694</v>
      </c>
      <c r="G477" s="27" t="s">
        <v>54</v>
      </c>
      <c r="H477" s="24">
        <v>50</v>
      </c>
      <c r="I477" s="25" t="s">
        <v>1608</v>
      </c>
      <c r="J477" s="25" t="s">
        <v>1695</v>
      </c>
      <c r="K477" s="26" t="s">
        <v>1696</v>
      </c>
      <c r="L477" s="25" t="s">
        <v>58</v>
      </c>
      <c r="M477" t="str">
        <f>TEXT(A477,"dddd")</f>
        <v>Thursday</v>
      </c>
      <c r="N477" s="35">
        <f>DATE(Table4[[#This Row],[year]],Table4[[#This Row],[month2]],Table4[[#This Row],[day]])</f>
        <v>46124</v>
      </c>
    </row>
    <row r="478" spans="1:14" ht="16" x14ac:dyDescent="0.35">
      <c r="A478" t="str">
        <f t="shared" si="14"/>
        <v>12</v>
      </c>
      <c r="B478">
        <f>_xlfn.SWITCH(Table4[[#This Row],[month]],"jan",1,"feb",2,"mar",3,"apr",4,"may",5,"jun",6,"jul",7,"aug",8,"sep",9,"oct",10,"nov",11,"dec",12,"no month")</f>
        <v>4</v>
      </c>
      <c r="C478" s="12" t="str">
        <f>LEFT('All Transactions'!$E478,3)</f>
        <v>Apr</v>
      </c>
      <c r="D478" s="12" t="str">
        <f t="shared" si="15"/>
        <v>2026</v>
      </c>
      <c r="E478" s="16" t="s">
        <v>1688</v>
      </c>
      <c r="F478" s="17" t="s">
        <v>1142</v>
      </c>
      <c r="G478" s="18" t="s">
        <v>28</v>
      </c>
      <c r="H478" s="19">
        <v>30</v>
      </c>
      <c r="I478" s="20" t="s">
        <v>1697</v>
      </c>
      <c r="J478" s="20" t="s">
        <v>1698</v>
      </c>
      <c r="K478" s="21" t="s">
        <v>1699</v>
      </c>
      <c r="L478" s="20" t="s">
        <v>32</v>
      </c>
      <c r="M478" t="str">
        <f>TEXT(A478,"dddd")</f>
        <v>Thursday</v>
      </c>
      <c r="N478" s="35">
        <f>DATE(Table4[[#This Row],[year]],Table4[[#This Row],[month2]],Table4[[#This Row],[day]])</f>
        <v>46124</v>
      </c>
    </row>
    <row r="479" spans="1:14" ht="16" x14ac:dyDescent="0.35">
      <c r="A479" t="str">
        <f t="shared" si="14"/>
        <v>12</v>
      </c>
      <c r="B479">
        <f>_xlfn.SWITCH(Table4[[#This Row],[month]],"jan",1,"feb",2,"mar",3,"apr",4,"may",5,"jun",6,"jul",7,"aug",8,"sep",9,"oct",10,"nov",11,"dec",12,"no month")</f>
        <v>4</v>
      </c>
      <c r="C479" s="12" t="str">
        <f>LEFT('All Transactions'!$E479,3)</f>
        <v>Apr</v>
      </c>
      <c r="D479" s="12" t="str">
        <f t="shared" si="15"/>
        <v>2026</v>
      </c>
      <c r="E479" s="22" t="s">
        <v>1688</v>
      </c>
      <c r="F479" s="23" t="s">
        <v>368</v>
      </c>
      <c r="G479" s="18" t="s">
        <v>28</v>
      </c>
      <c r="H479" s="24">
        <v>20</v>
      </c>
      <c r="I479" s="25" t="s">
        <v>1602</v>
      </c>
      <c r="J479" s="25" t="s">
        <v>1700</v>
      </c>
      <c r="K479" s="26" t="s">
        <v>1701</v>
      </c>
      <c r="L479" s="25" t="s">
        <v>32</v>
      </c>
      <c r="M479" t="str">
        <f>TEXT(A479,"dddd")</f>
        <v>Thursday</v>
      </c>
      <c r="N479" s="35">
        <f>DATE(Table4[[#This Row],[year]],Table4[[#This Row],[month2]],Table4[[#This Row],[day]])</f>
        <v>46124</v>
      </c>
    </row>
    <row r="480" spans="1:14" ht="16" x14ac:dyDescent="0.35">
      <c r="A480" t="str">
        <f t="shared" si="14"/>
        <v>12</v>
      </c>
      <c r="B480">
        <f>_xlfn.SWITCH(Table4[[#This Row],[month]],"jan",1,"feb",2,"mar",3,"apr",4,"may",5,"jun",6,"jul",7,"aug",8,"sep",9,"oct",10,"nov",11,"dec",12,"no month")</f>
        <v>4</v>
      </c>
      <c r="C480" s="12" t="str">
        <f>LEFT('All Transactions'!$E480,3)</f>
        <v>Apr</v>
      </c>
      <c r="D480" s="12" t="str">
        <f t="shared" si="15"/>
        <v>2026</v>
      </c>
      <c r="E480" s="16" t="s">
        <v>1688</v>
      </c>
      <c r="F480" s="17" t="s">
        <v>1702</v>
      </c>
      <c r="G480" s="18" t="s">
        <v>28</v>
      </c>
      <c r="H480" s="19">
        <v>20</v>
      </c>
      <c r="I480" s="20" t="s">
        <v>1630</v>
      </c>
      <c r="J480" s="20" t="s">
        <v>1703</v>
      </c>
      <c r="K480" s="21" t="s">
        <v>1704</v>
      </c>
      <c r="L480" s="20" t="s">
        <v>32</v>
      </c>
      <c r="M480" t="str">
        <f>TEXT(A480,"dddd")</f>
        <v>Thursday</v>
      </c>
      <c r="N480" s="35">
        <f>DATE(Table4[[#This Row],[year]],Table4[[#This Row],[month2]],Table4[[#This Row],[day]])</f>
        <v>46124</v>
      </c>
    </row>
    <row r="481" spans="1:14" ht="16" x14ac:dyDescent="0.35">
      <c r="A481" t="str">
        <f t="shared" si="14"/>
        <v>12</v>
      </c>
      <c r="B481">
        <f>_xlfn.SWITCH(Table4[[#This Row],[month]],"jan",1,"feb",2,"mar",3,"apr",4,"may",5,"jun",6,"jul",7,"aug",8,"sep",9,"oct",10,"nov",11,"dec",12,"no month")</f>
        <v>4</v>
      </c>
      <c r="C481" s="12" t="str">
        <f>LEFT('All Transactions'!$E481,3)</f>
        <v>Apr</v>
      </c>
      <c r="D481" s="12" t="str">
        <f t="shared" si="15"/>
        <v>2026</v>
      </c>
      <c r="E481" s="22" t="s">
        <v>1688</v>
      </c>
      <c r="F481" s="23" t="s">
        <v>1705</v>
      </c>
      <c r="G481" s="18" t="s">
        <v>28</v>
      </c>
      <c r="H481" s="24">
        <v>20</v>
      </c>
      <c r="I481" s="25" t="s">
        <v>1630</v>
      </c>
      <c r="J481" s="25" t="s">
        <v>1706</v>
      </c>
      <c r="K481" s="26" t="s">
        <v>1707</v>
      </c>
      <c r="L481" s="25" t="s">
        <v>32</v>
      </c>
      <c r="M481" t="str">
        <f>TEXT(A481,"dddd")</f>
        <v>Thursday</v>
      </c>
      <c r="N481" s="35">
        <f>DATE(Table4[[#This Row],[year]],Table4[[#This Row],[month2]],Table4[[#This Row],[day]])</f>
        <v>46124</v>
      </c>
    </row>
    <row r="482" spans="1:14" ht="16" x14ac:dyDescent="0.35">
      <c r="A482" t="str">
        <f t="shared" si="14"/>
        <v>11</v>
      </c>
      <c r="B482">
        <f>_xlfn.SWITCH(Table4[[#This Row],[month]],"jan",1,"feb",2,"mar",3,"apr",4,"may",5,"jun",6,"jul",7,"aug",8,"sep",9,"oct",10,"nov",11,"dec",12,"no month")</f>
        <v>4</v>
      </c>
      <c r="C482" s="12" t="str">
        <f>LEFT('All Transactions'!$E482,3)</f>
        <v>Apr</v>
      </c>
      <c r="D482" s="12" t="str">
        <f t="shared" si="15"/>
        <v>2026</v>
      </c>
      <c r="E482" s="16" t="s">
        <v>1708</v>
      </c>
      <c r="F482" s="17" t="s">
        <v>1488</v>
      </c>
      <c r="G482" s="18" t="s">
        <v>28</v>
      </c>
      <c r="H482" s="19">
        <v>100</v>
      </c>
      <c r="I482" s="20" t="s">
        <v>1676</v>
      </c>
      <c r="J482" s="20" t="s">
        <v>1709</v>
      </c>
      <c r="K482" s="21" t="s">
        <v>1710</v>
      </c>
      <c r="L482" s="20" t="s">
        <v>32</v>
      </c>
      <c r="M482" t="str">
        <f>TEXT(A482,"dddd")</f>
        <v>Wednesday</v>
      </c>
      <c r="N482" s="35">
        <f>DATE(Table4[[#This Row],[year]],Table4[[#This Row],[month2]],Table4[[#This Row],[day]])</f>
        <v>46123</v>
      </c>
    </row>
    <row r="483" spans="1:14" ht="16" x14ac:dyDescent="0.35">
      <c r="A483" t="str">
        <f t="shared" si="14"/>
        <v>11</v>
      </c>
      <c r="B483">
        <f>_xlfn.SWITCH(Table4[[#This Row],[month]],"jan",1,"feb",2,"mar",3,"apr",4,"may",5,"jun",6,"jul",7,"aug",8,"sep",9,"oct",10,"nov",11,"dec",12,"no month")</f>
        <v>4</v>
      </c>
      <c r="C483" s="12" t="str">
        <f>LEFT('All Transactions'!$E483,3)</f>
        <v>Apr</v>
      </c>
      <c r="D483" s="12" t="str">
        <f t="shared" si="15"/>
        <v>2026</v>
      </c>
      <c r="E483" s="22" t="s">
        <v>1708</v>
      </c>
      <c r="F483" s="23" t="s">
        <v>301</v>
      </c>
      <c r="G483" s="18" t="s">
        <v>28</v>
      </c>
      <c r="H483" s="24">
        <v>10</v>
      </c>
      <c r="I483" s="25" t="s">
        <v>1650</v>
      </c>
      <c r="J483" s="25" t="s">
        <v>1711</v>
      </c>
      <c r="K483" s="26" t="s">
        <v>1712</v>
      </c>
      <c r="L483" s="25" t="s">
        <v>32</v>
      </c>
      <c r="M483" t="str">
        <f>TEXT(A483,"dddd")</f>
        <v>Wednesday</v>
      </c>
      <c r="N483" s="35">
        <f>DATE(Table4[[#This Row],[year]],Table4[[#This Row],[month2]],Table4[[#This Row],[day]])</f>
        <v>46123</v>
      </c>
    </row>
    <row r="484" spans="1:14" ht="16" x14ac:dyDescent="0.35">
      <c r="A484" t="str">
        <f t="shared" si="14"/>
        <v>11</v>
      </c>
      <c r="B484">
        <f>_xlfn.SWITCH(Table4[[#This Row],[month]],"jan",1,"feb",2,"mar",3,"apr",4,"may",5,"jun",6,"jul",7,"aug",8,"sep",9,"oct",10,"nov",11,"dec",12,"no month")</f>
        <v>4</v>
      </c>
      <c r="C484" s="12" t="str">
        <f>LEFT('All Transactions'!$E484,3)</f>
        <v>Apr</v>
      </c>
      <c r="D484" s="12" t="str">
        <f t="shared" si="15"/>
        <v>2026</v>
      </c>
      <c r="E484" s="16" t="s">
        <v>1708</v>
      </c>
      <c r="F484" s="17" t="s">
        <v>1274</v>
      </c>
      <c r="G484" s="18" t="s">
        <v>28</v>
      </c>
      <c r="H484" s="19">
        <v>55</v>
      </c>
      <c r="I484" s="20" t="s">
        <v>1713</v>
      </c>
      <c r="J484" s="20" t="s">
        <v>1714</v>
      </c>
      <c r="K484" s="21" t="s">
        <v>1715</v>
      </c>
      <c r="L484" s="20" t="s">
        <v>32</v>
      </c>
      <c r="M484" t="str">
        <f>TEXT(A484,"dddd")</f>
        <v>Wednesday</v>
      </c>
      <c r="N484" s="35">
        <f>DATE(Table4[[#This Row],[year]],Table4[[#This Row],[month2]],Table4[[#This Row],[day]])</f>
        <v>46123</v>
      </c>
    </row>
    <row r="485" spans="1:14" ht="16" x14ac:dyDescent="0.35">
      <c r="A485" t="str">
        <f t="shared" si="14"/>
        <v>11</v>
      </c>
      <c r="B485">
        <f>_xlfn.SWITCH(Table4[[#This Row],[month]],"jan",1,"feb",2,"mar",3,"apr",4,"may",5,"jun",6,"jul",7,"aug",8,"sep",9,"oct",10,"nov",11,"dec",12,"no month")</f>
        <v>4</v>
      </c>
      <c r="C485" s="12" t="str">
        <f>LEFT('All Transactions'!$E485,3)</f>
        <v>Apr</v>
      </c>
      <c r="D485" s="12" t="str">
        <f t="shared" si="15"/>
        <v>2026</v>
      </c>
      <c r="E485" s="22" t="s">
        <v>1708</v>
      </c>
      <c r="F485" s="23" t="s">
        <v>1716</v>
      </c>
      <c r="G485" s="18" t="s">
        <v>28</v>
      </c>
      <c r="H485" s="24">
        <v>15</v>
      </c>
      <c r="I485" s="25" t="s">
        <v>1630</v>
      </c>
      <c r="J485" s="25" t="s">
        <v>1717</v>
      </c>
      <c r="K485" s="26" t="s">
        <v>1718</v>
      </c>
      <c r="L485" s="25" t="s">
        <v>32</v>
      </c>
      <c r="M485" t="str">
        <f>TEXT(A485,"dddd")</f>
        <v>Wednesday</v>
      </c>
      <c r="N485" s="35">
        <f>DATE(Table4[[#This Row],[year]],Table4[[#This Row],[month2]],Table4[[#This Row],[day]])</f>
        <v>46123</v>
      </c>
    </row>
    <row r="486" spans="1:14" ht="16" x14ac:dyDescent="0.35">
      <c r="A486" t="str">
        <f t="shared" si="14"/>
        <v>10</v>
      </c>
      <c r="B486">
        <f>_xlfn.SWITCH(Table4[[#This Row],[month]],"jan",1,"feb",2,"mar",3,"apr",4,"may",5,"jun",6,"jul",7,"aug",8,"sep",9,"oct",10,"nov",11,"dec",12,"no month")</f>
        <v>4</v>
      </c>
      <c r="C486" s="12" t="str">
        <f>LEFT('All Transactions'!$E486,3)</f>
        <v>Apr</v>
      </c>
      <c r="D486" s="12" t="str">
        <f t="shared" si="15"/>
        <v>2026</v>
      </c>
      <c r="E486" s="16" t="s">
        <v>1719</v>
      </c>
      <c r="F486" s="17" t="s">
        <v>1720</v>
      </c>
      <c r="G486" s="18" t="s">
        <v>28</v>
      </c>
      <c r="H486" s="19">
        <v>1000</v>
      </c>
      <c r="I486" s="20" t="s">
        <v>1721</v>
      </c>
      <c r="J486" s="20" t="s">
        <v>1722</v>
      </c>
      <c r="K486" s="21" t="s">
        <v>1723</v>
      </c>
      <c r="L486" s="20" t="s">
        <v>32</v>
      </c>
      <c r="M486" t="str">
        <f>TEXT(A486,"dddd")</f>
        <v>Tuesday</v>
      </c>
      <c r="N486" s="35">
        <f>DATE(Table4[[#This Row],[year]],Table4[[#This Row],[month2]],Table4[[#This Row],[day]])</f>
        <v>46122</v>
      </c>
    </row>
    <row r="487" spans="1:14" ht="16" x14ac:dyDescent="0.35">
      <c r="A487" t="str">
        <f t="shared" si="14"/>
        <v>10</v>
      </c>
      <c r="B487">
        <f>_xlfn.SWITCH(Table4[[#This Row],[month]],"jan",1,"feb",2,"mar",3,"apr",4,"may",5,"jun",6,"jul",7,"aug",8,"sep",9,"oct",10,"nov",11,"dec",12,"no month")</f>
        <v>4</v>
      </c>
      <c r="C487" s="12" t="str">
        <f>LEFT('All Transactions'!$E487,3)</f>
        <v>Apr</v>
      </c>
      <c r="D487" s="12" t="str">
        <f t="shared" si="15"/>
        <v>2026</v>
      </c>
      <c r="E487" s="22" t="s">
        <v>1719</v>
      </c>
      <c r="F487" s="23" t="s">
        <v>286</v>
      </c>
      <c r="G487" s="18" t="s">
        <v>28</v>
      </c>
      <c r="H487" s="24">
        <v>90</v>
      </c>
      <c r="I487" s="25" t="s">
        <v>1724</v>
      </c>
      <c r="J487" s="25" t="s">
        <v>1725</v>
      </c>
      <c r="K487" s="26" t="s">
        <v>1726</v>
      </c>
      <c r="L487" s="25" t="s">
        <v>32</v>
      </c>
      <c r="M487" t="str">
        <f>TEXT(A487,"dddd")</f>
        <v>Tuesday</v>
      </c>
      <c r="N487" s="35">
        <f>DATE(Table4[[#This Row],[year]],Table4[[#This Row],[month2]],Table4[[#This Row],[day]])</f>
        <v>46122</v>
      </c>
    </row>
    <row r="488" spans="1:14" ht="16" x14ac:dyDescent="0.35">
      <c r="A488" t="str">
        <f t="shared" si="14"/>
        <v>10</v>
      </c>
      <c r="B488">
        <f>_xlfn.SWITCH(Table4[[#This Row],[month]],"jan",1,"feb",2,"mar",3,"apr",4,"may",5,"jun",6,"jul",7,"aug",8,"sep",9,"oct",10,"nov",11,"dec",12,"no month")</f>
        <v>4</v>
      </c>
      <c r="C488" s="12" t="str">
        <f>LEFT('All Transactions'!$E488,3)</f>
        <v>Apr</v>
      </c>
      <c r="D488" s="12" t="str">
        <f t="shared" si="15"/>
        <v>2026</v>
      </c>
      <c r="E488" s="16" t="s">
        <v>1719</v>
      </c>
      <c r="F488" s="17" t="s">
        <v>891</v>
      </c>
      <c r="G488" s="18" t="s">
        <v>28</v>
      </c>
      <c r="H488" s="19">
        <v>110</v>
      </c>
      <c r="I488" s="20" t="s">
        <v>1612</v>
      </c>
      <c r="J488" s="20" t="s">
        <v>1727</v>
      </c>
      <c r="K488" s="21" t="s">
        <v>1728</v>
      </c>
      <c r="L488" s="20" t="s">
        <v>32</v>
      </c>
      <c r="M488" t="str">
        <f>TEXT(A488,"dddd")</f>
        <v>Tuesday</v>
      </c>
      <c r="N488" s="35">
        <f>DATE(Table4[[#This Row],[year]],Table4[[#This Row],[month2]],Table4[[#This Row],[day]])</f>
        <v>46122</v>
      </c>
    </row>
    <row r="489" spans="1:14" ht="16" x14ac:dyDescent="0.35">
      <c r="A489" t="str">
        <f t="shared" si="14"/>
        <v>10</v>
      </c>
      <c r="B489">
        <f>_xlfn.SWITCH(Table4[[#This Row],[month]],"jan",1,"feb",2,"mar",3,"apr",4,"may",5,"jun",6,"jul",7,"aug",8,"sep",9,"oct",10,"nov",11,"dec",12,"no month")</f>
        <v>4</v>
      </c>
      <c r="C489" s="12" t="str">
        <f>LEFT('All Transactions'!$E489,3)</f>
        <v>Apr</v>
      </c>
      <c r="D489" s="12" t="str">
        <f t="shared" si="15"/>
        <v>2026</v>
      </c>
      <c r="E489" s="22" t="s">
        <v>1719</v>
      </c>
      <c r="F489" s="23" t="s">
        <v>239</v>
      </c>
      <c r="G489" s="27" t="s">
        <v>54</v>
      </c>
      <c r="H489" s="24">
        <v>40</v>
      </c>
      <c r="I489" s="25" t="s">
        <v>1729</v>
      </c>
      <c r="J489" s="25" t="s">
        <v>1730</v>
      </c>
      <c r="K489" s="26" t="s">
        <v>1731</v>
      </c>
      <c r="L489" s="25" t="s">
        <v>58</v>
      </c>
      <c r="M489" t="str">
        <f>TEXT(A489,"dddd")</f>
        <v>Tuesday</v>
      </c>
      <c r="N489" s="35">
        <f>DATE(Table4[[#This Row],[year]],Table4[[#This Row],[month2]],Table4[[#This Row],[day]])</f>
        <v>46122</v>
      </c>
    </row>
    <row r="490" spans="1:14" ht="16" x14ac:dyDescent="0.35">
      <c r="A490" t="str">
        <f t="shared" si="14"/>
        <v>10</v>
      </c>
      <c r="B490">
        <f>_xlfn.SWITCH(Table4[[#This Row],[month]],"jan",1,"feb",2,"mar",3,"apr",4,"may",5,"jun",6,"jul",7,"aug",8,"sep",9,"oct",10,"nov",11,"dec",12,"no month")</f>
        <v>4</v>
      </c>
      <c r="C490" s="12" t="str">
        <f>LEFT('All Transactions'!$E490,3)</f>
        <v>Apr</v>
      </c>
      <c r="D490" s="12" t="str">
        <f t="shared" si="15"/>
        <v>2026</v>
      </c>
      <c r="E490" s="16" t="s">
        <v>1719</v>
      </c>
      <c r="F490" s="17" t="s">
        <v>449</v>
      </c>
      <c r="G490" s="27" t="s">
        <v>54</v>
      </c>
      <c r="H490" s="19">
        <v>2000</v>
      </c>
      <c r="I490" s="20" t="s">
        <v>1642</v>
      </c>
      <c r="J490" s="20" t="s">
        <v>1732</v>
      </c>
      <c r="K490" s="21" t="s">
        <v>1733</v>
      </c>
      <c r="L490" s="20" t="s">
        <v>58</v>
      </c>
      <c r="M490" t="str">
        <f>TEXT(A490,"dddd")</f>
        <v>Tuesday</v>
      </c>
      <c r="N490" s="35">
        <f>DATE(Table4[[#This Row],[year]],Table4[[#This Row],[month2]],Table4[[#This Row],[day]])</f>
        <v>46122</v>
      </c>
    </row>
    <row r="491" spans="1:14" ht="16" x14ac:dyDescent="0.35">
      <c r="A491" t="str">
        <f t="shared" si="14"/>
        <v>10</v>
      </c>
      <c r="B491">
        <f>_xlfn.SWITCH(Table4[[#This Row],[month]],"jan",1,"feb",2,"mar",3,"apr",4,"may",5,"jun",6,"jul",7,"aug",8,"sep",9,"oct",10,"nov",11,"dec",12,"no month")</f>
        <v>4</v>
      </c>
      <c r="C491" s="12" t="str">
        <f>LEFT('All Transactions'!$E491,3)</f>
        <v>Apr</v>
      </c>
      <c r="D491" s="12" t="str">
        <f t="shared" si="15"/>
        <v>2026</v>
      </c>
      <c r="E491" s="22" t="s">
        <v>1719</v>
      </c>
      <c r="F491" s="23" t="s">
        <v>1734</v>
      </c>
      <c r="G491" s="18" t="s">
        <v>28</v>
      </c>
      <c r="H491" s="24">
        <v>150</v>
      </c>
      <c r="I491" s="25" t="s">
        <v>1735</v>
      </c>
      <c r="J491" s="25" t="s">
        <v>1736</v>
      </c>
      <c r="K491" s="26" t="s">
        <v>1737</v>
      </c>
      <c r="L491" s="25" t="s">
        <v>32</v>
      </c>
      <c r="M491" t="str">
        <f>TEXT(A491,"dddd")</f>
        <v>Tuesday</v>
      </c>
      <c r="N491" s="35">
        <f>DATE(Table4[[#This Row],[year]],Table4[[#This Row],[month2]],Table4[[#This Row],[day]])</f>
        <v>46122</v>
      </c>
    </row>
    <row r="492" spans="1:14" ht="16" x14ac:dyDescent="0.35">
      <c r="A492" t="str">
        <f t="shared" si="14"/>
        <v>10</v>
      </c>
      <c r="B492">
        <f>_xlfn.SWITCH(Table4[[#This Row],[month]],"jan",1,"feb",2,"mar",3,"apr",4,"may",5,"jun",6,"jul",7,"aug",8,"sep",9,"oct",10,"nov",11,"dec",12,"no month")</f>
        <v>4</v>
      </c>
      <c r="C492" s="12" t="str">
        <f>LEFT('All Transactions'!$E492,3)</f>
        <v>Apr</v>
      </c>
      <c r="D492" s="12" t="str">
        <f t="shared" si="15"/>
        <v>2026</v>
      </c>
      <c r="E492" s="16" t="s">
        <v>1719</v>
      </c>
      <c r="F492" s="17" t="s">
        <v>1738</v>
      </c>
      <c r="G492" s="27" t="s">
        <v>54</v>
      </c>
      <c r="H492" s="19">
        <v>150</v>
      </c>
      <c r="I492" s="20" t="s">
        <v>143</v>
      </c>
      <c r="J492" s="20" t="s">
        <v>1739</v>
      </c>
      <c r="K492" s="21" t="s">
        <v>1740</v>
      </c>
      <c r="L492" s="20" t="s">
        <v>58</v>
      </c>
      <c r="M492" t="str">
        <f>TEXT(A492,"dddd")</f>
        <v>Tuesday</v>
      </c>
      <c r="N492" s="35">
        <f>DATE(Table4[[#This Row],[year]],Table4[[#This Row],[month2]],Table4[[#This Row],[day]])</f>
        <v>46122</v>
      </c>
    </row>
    <row r="493" spans="1:14" ht="16" x14ac:dyDescent="0.35">
      <c r="A493" t="str">
        <f t="shared" si="14"/>
        <v>10</v>
      </c>
      <c r="B493">
        <f>_xlfn.SWITCH(Table4[[#This Row],[month]],"jan",1,"feb",2,"mar",3,"apr",4,"may",5,"jun",6,"jul",7,"aug",8,"sep",9,"oct",10,"nov",11,"dec",12,"no month")</f>
        <v>4</v>
      </c>
      <c r="C493" s="12" t="str">
        <f>LEFT('All Transactions'!$E493,3)</f>
        <v>Apr</v>
      </c>
      <c r="D493" s="12" t="str">
        <f t="shared" si="15"/>
        <v>2026</v>
      </c>
      <c r="E493" s="22" t="s">
        <v>1719</v>
      </c>
      <c r="F493" s="23" t="s">
        <v>66</v>
      </c>
      <c r="G493" s="18" t="s">
        <v>28</v>
      </c>
      <c r="H493" s="24">
        <v>160</v>
      </c>
      <c r="I493" s="25" t="s">
        <v>487</v>
      </c>
      <c r="J493" s="25" t="s">
        <v>1741</v>
      </c>
      <c r="K493" s="26" t="s">
        <v>1742</v>
      </c>
      <c r="L493" s="25" t="s">
        <v>32</v>
      </c>
      <c r="M493" t="str">
        <f>TEXT(A493,"dddd")</f>
        <v>Tuesday</v>
      </c>
      <c r="N493" s="35">
        <f>DATE(Table4[[#This Row],[year]],Table4[[#This Row],[month2]],Table4[[#This Row],[day]])</f>
        <v>46122</v>
      </c>
    </row>
    <row r="494" spans="1:14" ht="16" x14ac:dyDescent="0.35">
      <c r="A494" t="str">
        <f t="shared" si="14"/>
        <v>09</v>
      </c>
      <c r="B494">
        <f>_xlfn.SWITCH(Table4[[#This Row],[month]],"jan",1,"feb",2,"mar",3,"apr",4,"may",5,"jun",6,"jul",7,"aug",8,"sep",9,"oct",10,"nov",11,"dec",12,"no month")</f>
        <v>4</v>
      </c>
      <c r="C494" s="12" t="str">
        <f>LEFT('All Transactions'!$E494,3)</f>
        <v>Apr</v>
      </c>
      <c r="D494" s="12" t="str">
        <f t="shared" si="15"/>
        <v>2026</v>
      </c>
      <c r="E494" s="16" t="s">
        <v>1743</v>
      </c>
      <c r="F494" s="17" t="s">
        <v>1744</v>
      </c>
      <c r="G494" s="18" t="s">
        <v>28</v>
      </c>
      <c r="H494" s="19">
        <v>10</v>
      </c>
      <c r="I494" s="20" t="s">
        <v>1745</v>
      </c>
      <c r="J494" s="20" t="s">
        <v>1746</v>
      </c>
      <c r="K494" s="21" t="s">
        <v>1747</v>
      </c>
      <c r="L494" s="20" t="s">
        <v>32</v>
      </c>
      <c r="M494" t="str">
        <f>TEXT(A494,"dddd")</f>
        <v>Monday</v>
      </c>
      <c r="N494" s="35">
        <f>DATE(Table4[[#This Row],[year]],Table4[[#This Row],[month2]],Table4[[#This Row],[day]])</f>
        <v>46121</v>
      </c>
    </row>
    <row r="495" spans="1:14" ht="16" x14ac:dyDescent="0.35">
      <c r="A495" t="str">
        <f t="shared" si="14"/>
        <v>09</v>
      </c>
      <c r="B495">
        <f>_xlfn.SWITCH(Table4[[#This Row],[month]],"jan",1,"feb",2,"mar",3,"apr",4,"may",5,"jun",6,"jul",7,"aug",8,"sep",9,"oct",10,"nov",11,"dec",12,"no month")</f>
        <v>4</v>
      </c>
      <c r="C495" s="12" t="str">
        <f>LEFT('All Transactions'!$E495,3)</f>
        <v>Apr</v>
      </c>
      <c r="D495" s="12" t="str">
        <f t="shared" si="15"/>
        <v>2026</v>
      </c>
      <c r="E495" s="22" t="s">
        <v>1743</v>
      </c>
      <c r="F495" s="23" t="s">
        <v>365</v>
      </c>
      <c r="G495" s="18" t="s">
        <v>28</v>
      </c>
      <c r="H495" s="24">
        <v>2000</v>
      </c>
      <c r="I495" s="25" t="s">
        <v>1748</v>
      </c>
      <c r="J495" s="25" t="s">
        <v>1749</v>
      </c>
      <c r="K495" s="26" t="s">
        <v>1750</v>
      </c>
      <c r="L495" s="25" t="s">
        <v>32</v>
      </c>
      <c r="M495" t="str">
        <f>TEXT(A495,"dddd")</f>
        <v>Monday</v>
      </c>
      <c r="N495" s="35">
        <f>DATE(Table4[[#This Row],[year]],Table4[[#This Row],[month2]],Table4[[#This Row],[day]])</f>
        <v>46121</v>
      </c>
    </row>
    <row r="496" spans="1:14" ht="16" x14ac:dyDescent="0.35">
      <c r="A496" t="str">
        <f t="shared" si="14"/>
        <v>09</v>
      </c>
      <c r="B496">
        <f>_xlfn.SWITCH(Table4[[#This Row],[month]],"jan",1,"feb",2,"mar",3,"apr",4,"may",5,"jun",6,"jul",7,"aug",8,"sep",9,"oct",10,"nov",11,"dec",12,"no month")</f>
        <v>4</v>
      </c>
      <c r="C496" s="12" t="str">
        <f>LEFT('All Transactions'!$E496,3)</f>
        <v>Apr</v>
      </c>
      <c r="D496" s="12" t="str">
        <f t="shared" si="15"/>
        <v>2026</v>
      </c>
      <c r="E496" s="16" t="s">
        <v>1743</v>
      </c>
      <c r="F496" s="17" t="s">
        <v>1751</v>
      </c>
      <c r="G496" s="18" t="s">
        <v>28</v>
      </c>
      <c r="H496" s="19">
        <v>20</v>
      </c>
      <c r="I496" s="20" t="s">
        <v>1657</v>
      </c>
      <c r="J496" s="20" t="s">
        <v>1752</v>
      </c>
      <c r="K496" s="21" t="s">
        <v>1753</v>
      </c>
      <c r="L496" s="20" t="s">
        <v>32</v>
      </c>
      <c r="M496" t="str">
        <f>TEXT(A496,"dddd")</f>
        <v>Monday</v>
      </c>
      <c r="N496" s="35">
        <f>DATE(Table4[[#This Row],[year]],Table4[[#This Row],[month2]],Table4[[#This Row],[day]])</f>
        <v>46121</v>
      </c>
    </row>
    <row r="497" spans="1:14" ht="16" x14ac:dyDescent="0.35">
      <c r="A497" t="str">
        <f t="shared" si="14"/>
        <v>08</v>
      </c>
      <c r="B497">
        <f>_xlfn.SWITCH(Table4[[#This Row],[month]],"jan",1,"feb",2,"mar",3,"apr",4,"may",5,"jun",6,"jul",7,"aug",8,"sep",9,"oct",10,"nov",11,"dec",12,"no month")</f>
        <v>4</v>
      </c>
      <c r="C497" s="12" t="str">
        <f>LEFT('All Transactions'!$E497,3)</f>
        <v>Apr</v>
      </c>
      <c r="D497" s="12" t="str">
        <f t="shared" si="15"/>
        <v>2026</v>
      </c>
      <c r="E497" s="22" t="s">
        <v>1754</v>
      </c>
      <c r="F497" s="23" t="s">
        <v>1755</v>
      </c>
      <c r="G497" s="18" t="s">
        <v>28</v>
      </c>
      <c r="H497" s="24">
        <v>20</v>
      </c>
      <c r="I497" s="25" t="s">
        <v>1756</v>
      </c>
      <c r="J497" s="25" t="s">
        <v>1757</v>
      </c>
      <c r="K497" s="26" t="s">
        <v>1758</v>
      </c>
      <c r="L497" s="25" t="s">
        <v>32</v>
      </c>
      <c r="M497" t="str">
        <f>TEXT(A497,"dddd")</f>
        <v>Sunday</v>
      </c>
      <c r="N497" s="35">
        <f>DATE(Table4[[#This Row],[year]],Table4[[#This Row],[month2]],Table4[[#This Row],[day]])</f>
        <v>46120</v>
      </c>
    </row>
    <row r="498" spans="1:14" ht="16" x14ac:dyDescent="0.35">
      <c r="A498" t="str">
        <f t="shared" si="14"/>
        <v>08</v>
      </c>
      <c r="B498">
        <f>_xlfn.SWITCH(Table4[[#This Row],[month]],"jan",1,"feb",2,"mar",3,"apr",4,"may",5,"jun",6,"jul",7,"aug",8,"sep",9,"oct",10,"nov",11,"dec",12,"no month")</f>
        <v>4</v>
      </c>
      <c r="C498" s="12" t="str">
        <f>LEFT('All Transactions'!$E498,3)</f>
        <v>Apr</v>
      </c>
      <c r="D498" s="12" t="str">
        <f t="shared" si="15"/>
        <v>2026</v>
      </c>
      <c r="E498" s="16" t="s">
        <v>1754</v>
      </c>
      <c r="F498" s="17" t="s">
        <v>1759</v>
      </c>
      <c r="G498" s="18" t="s">
        <v>28</v>
      </c>
      <c r="H498" s="19">
        <v>30</v>
      </c>
      <c r="I498" s="20" t="s">
        <v>800</v>
      </c>
      <c r="J498" s="20" t="s">
        <v>1760</v>
      </c>
      <c r="K498" s="21" t="s">
        <v>1761</v>
      </c>
      <c r="L498" s="20" t="s">
        <v>32</v>
      </c>
      <c r="M498" t="str">
        <f>TEXT(A498,"dddd")</f>
        <v>Sunday</v>
      </c>
      <c r="N498" s="35">
        <f>DATE(Table4[[#This Row],[year]],Table4[[#This Row],[month2]],Table4[[#This Row],[day]])</f>
        <v>46120</v>
      </c>
    </row>
    <row r="499" spans="1:14" ht="16" x14ac:dyDescent="0.35">
      <c r="A499" t="str">
        <f t="shared" si="14"/>
        <v>08</v>
      </c>
      <c r="B499">
        <f>_xlfn.SWITCH(Table4[[#This Row],[month]],"jan",1,"feb",2,"mar",3,"apr",4,"may",5,"jun",6,"jul",7,"aug",8,"sep",9,"oct",10,"nov",11,"dec",12,"no month")</f>
        <v>4</v>
      </c>
      <c r="C499" s="12" t="str">
        <f>LEFT('All Transactions'!$E499,3)</f>
        <v>Apr</v>
      </c>
      <c r="D499" s="12" t="str">
        <f t="shared" si="15"/>
        <v>2026</v>
      </c>
      <c r="E499" s="22" t="s">
        <v>1754</v>
      </c>
      <c r="F499" s="23" t="s">
        <v>1762</v>
      </c>
      <c r="G499" s="18" t="s">
        <v>28</v>
      </c>
      <c r="H499" s="24">
        <v>50</v>
      </c>
      <c r="I499" s="25" t="s">
        <v>1763</v>
      </c>
      <c r="J499" s="25" t="s">
        <v>1764</v>
      </c>
      <c r="K499" s="26" t="s">
        <v>1765</v>
      </c>
      <c r="L499" s="25" t="s">
        <v>32</v>
      </c>
      <c r="M499" t="str">
        <f>TEXT(A499,"dddd")</f>
        <v>Sunday</v>
      </c>
      <c r="N499" s="35">
        <f>DATE(Table4[[#This Row],[year]],Table4[[#This Row],[month2]],Table4[[#This Row],[day]])</f>
        <v>46120</v>
      </c>
    </row>
    <row r="500" spans="1:14" ht="16" x14ac:dyDescent="0.35">
      <c r="A500" t="str">
        <f t="shared" si="14"/>
        <v>08</v>
      </c>
      <c r="B500">
        <f>_xlfn.SWITCH(Table4[[#This Row],[month]],"jan",1,"feb",2,"mar",3,"apr",4,"may",5,"jun",6,"jul",7,"aug",8,"sep",9,"oct",10,"nov",11,"dec",12,"no month")</f>
        <v>4</v>
      </c>
      <c r="C500" s="12" t="str">
        <f>LEFT('All Transactions'!$E500,3)</f>
        <v>Apr</v>
      </c>
      <c r="D500" s="12" t="str">
        <f t="shared" si="15"/>
        <v>2026</v>
      </c>
      <c r="E500" s="16" t="s">
        <v>1754</v>
      </c>
      <c r="F500" s="17" t="s">
        <v>1766</v>
      </c>
      <c r="G500" s="27" t="s">
        <v>54</v>
      </c>
      <c r="H500" s="19">
        <v>500</v>
      </c>
      <c r="I500" s="20" t="s">
        <v>143</v>
      </c>
      <c r="J500" s="20" t="s">
        <v>1767</v>
      </c>
      <c r="K500" s="21" t="s">
        <v>1768</v>
      </c>
      <c r="L500" s="20" t="s">
        <v>58</v>
      </c>
      <c r="M500" t="str">
        <f>TEXT(A500,"dddd")</f>
        <v>Sunday</v>
      </c>
      <c r="N500" s="35">
        <f>DATE(Table4[[#This Row],[year]],Table4[[#This Row],[month2]],Table4[[#This Row],[day]])</f>
        <v>46120</v>
      </c>
    </row>
    <row r="501" spans="1:14" ht="16" x14ac:dyDescent="0.35">
      <c r="A501" t="str">
        <f t="shared" si="14"/>
        <v>08</v>
      </c>
      <c r="B501">
        <f>_xlfn.SWITCH(Table4[[#This Row],[month]],"jan",1,"feb",2,"mar",3,"apr",4,"may",5,"jun",6,"jul",7,"aug",8,"sep",9,"oct",10,"nov",11,"dec",12,"no month")</f>
        <v>4</v>
      </c>
      <c r="C501" s="12" t="str">
        <f>LEFT('All Transactions'!$E501,3)</f>
        <v>Apr</v>
      </c>
      <c r="D501" s="12" t="str">
        <f t="shared" si="15"/>
        <v>2026</v>
      </c>
      <c r="E501" s="22" t="s">
        <v>1754</v>
      </c>
      <c r="F501" s="23" t="s">
        <v>1769</v>
      </c>
      <c r="G501" s="18" t="s">
        <v>28</v>
      </c>
      <c r="H501" s="24">
        <v>673</v>
      </c>
      <c r="I501" s="25" t="s">
        <v>49</v>
      </c>
      <c r="J501" s="25" t="s">
        <v>1770</v>
      </c>
      <c r="K501" s="26" t="s">
        <v>1771</v>
      </c>
      <c r="L501" s="25" t="s">
        <v>32</v>
      </c>
      <c r="M501" t="str">
        <f>TEXT(A501,"dddd")</f>
        <v>Sunday</v>
      </c>
      <c r="N501" s="35">
        <f>DATE(Table4[[#This Row],[year]],Table4[[#This Row],[month2]],Table4[[#This Row],[day]])</f>
        <v>46120</v>
      </c>
    </row>
    <row r="502" spans="1:14" ht="16" x14ac:dyDescent="0.35">
      <c r="A502" t="str">
        <f t="shared" si="14"/>
        <v>08</v>
      </c>
      <c r="B502">
        <f>_xlfn.SWITCH(Table4[[#This Row],[month]],"jan",1,"feb",2,"mar",3,"apr",4,"may",5,"jun",6,"jul",7,"aug",8,"sep",9,"oct",10,"nov",11,"dec",12,"no month")</f>
        <v>4</v>
      </c>
      <c r="C502" s="12" t="str">
        <f>LEFT('All Transactions'!$E502,3)</f>
        <v>Apr</v>
      </c>
      <c r="D502" s="12" t="str">
        <f t="shared" si="15"/>
        <v>2026</v>
      </c>
      <c r="E502" s="16" t="s">
        <v>1754</v>
      </c>
      <c r="F502" s="17" t="s">
        <v>981</v>
      </c>
      <c r="G502" s="27" t="s">
        <v>54</v>
      </c>
      <c r="H502" s="19">
        <v>700</v>
      </c>
      <c r="I502" s="20" t="s">
        <v>1586</v>
      </c>
      <c r="J502" s="20" t="s">
        <v>1772</v>
      </c>
      <c r="K502" s="21" t="s">
        <v>1773</v>
      </c>
      <c r="L502" s="20" t="s">
        <v>58</v>
      </c>
      <c r="M502" t="str">
        <f>TEXT(A502,"dddd")</f>
        <v>Sunday</v>
      </c>
      <c r="N502" s="35">
        <f>DATE(Table4[[#This Row],[year]],Table4[[#This Row],[month2]],Table4[[#This Row],[day]])</f>
        <v>46120</v>
      </c>
    </row>
    <row r="503" spans="1:14" ht="16" x14ac:dyDescent="0.35">
      <c r="A503" t="str">
        <f t="shared" si="14"/>
        <v>08</v>
      </c>
      <c r="B503">
        <f>_xlfn.SWITCH(Table4[[#This Row],[month]],"jan",1,"feb",2,"mar",3,"apr",4,"may",5,"jun",6,"jul",7,"aug",8,"sep",9,"oct",10,"nov",11,"dec",12,"no month")</f>
        <v>4</v>
      </c>
      <c r="C503" s="12" t="str">
        <f>LEFT('All Transactions'!$E503,3)</f>
        <v>Apr</v>
      </c>
      <c r="D503" s="12" t="str">
        <f t="shared" si="15"/>
        <v>2026</v>
      </c>
      <c r="E503" s="22" t="s">
        <v>1754</v>
      </c>
      <c r="F503" s="23" t="s">
        <v>1774</v>
      </c>
      <c r="G503" s="27" t="s">
        <v>54</v>
      </c>
      <c r="H503" s="24">
        <v>2000</v>
      </c>
      <c r="I503" s="25" t="s">
        <v>1775</v>
      </c>
      <c r="J503" s="25" t="s">
        <v>1776</v>
      </c>
      <c r="K503" s="26" t="s">
        <v>1777</v>
      </c>
      <c r="L503" s="25" t="s">
        <v>58</v>
      </c>
      <c r="M503" t="str">
        <f>TEXT(A503,"dddd")</f>
        <v>Sunday</v>
      </c>
      <c r="N503" s="35">
        <f>DATE(Table4[[#This Row],[year]],Table4[[#This Row],[month2]],Table4[[#This Row],[day]])</f>
        <v>46120</v>
      </c>
    </row>
    <row r="504" spans="1:14" ht="16" x14ac:dyDescent="0.35">
      <c r="A504" t="str">
        <f t="shared" si="14"/>
        <v>07</v>
      </c>
      <c r="B504">
        <f>_xlfn.SWITCH(Table4[[#This Row],[month]],"jan",1,"feb",2,"mar",3,"apr",4,"may",5,"jun",6,"jul",7,"aug",8,"sep",9,"oct",10,"nov",11,"dec",12,"no month")</f>
        <v>4</v>
      </c>
      <c r="C504" s="12" t="str">
        <f>LEFT('All Transactions'!$E504,3)</f>
        <v>Apr</v>
      </c>
      <c r="D504" s="12" t="str">
        <f t="shared" si="15"/>
        <v>2026</v>
      </c>
      <c r="E504" s="16" t="s">
        <v>1778</v>
      </c>
      <c r="F504" s="17" t="s">
        <v>1779</v>
      </c>
      <c r="G504" s="18" t="s">
        <v>28</v>
      </c>
      <c r="H504" s="19">
        <v>20</v>
      </c>
      <c r="I504" s="20" t="s">
        <v>325</v>
      </c>
      <c r="J504" s="20" t="s">
        <v>1780</v>
      </c>
      <c r="K504" s="21" t="s">
        <v>1781</v>
      </c>
      <c r="L504" s="20" t="s">
        <v>32</v>
      </c>
      <c r="M504" t="str">
        <f>TEXT(A504,"dddd")</f>
        <v>Saturday</v>
      </c>
      <c r="N504" s="35">
        <f>DATE(Table4[[#This Row],[year]],Table4[[#This Row],[month2]],Table4[[#This Row],[day]])</f>
        <v>46119</v>
      </c>
    </row>
    <row r="505" spans="1:14" ht="16" x14ac:dyDescent="0.35">
      <c r="A505" t="str">
        <f t="shared" si="14"/>
        <v>07</v>
      </c>
      <c r="B505">
        <f>_xlfn.SWITCH(Table4[[#This Row],[month]],"jan",1,"feb",2,"mar",3,"apr",4,"may",5,"jun",6,"jul",7,"aug",8,"sep",9,"oct",10,"nov",11,"dec",12,"no month")</f>
        <v>4</v>
      </c>
      <c r="C505" s="12" t="str">
        <f>LEFT('All Transactions'!$E505,3)</f>
        <v>Apr</v>
      </c>
      <c r="D505" s="12" t="str">
        <f t="shared" si="15"/>
        <v>2026</v>
      </c>
      <c r="E505" s="22" t="s">
        <v>1778</v>
      </c>
      <c r="F505" s="23" t="s">
        <v>1782</v>
      </c>
      <c r="G505" s="18" t="s">
        <v>28</v>
      </c>
      <c r="H505" s="24">
        <v>25</v>
      </c>
      <c r="I505" s="25" t="s">
        <v>1783</v>
      </c>
      <c r="J505" s="25" t="s">
        <v>1784</v>
      </c>
      <c r="K505" s="26" t="s">
        <v>1785</v>
      </c>
      <c r="L505" s="25" t="s">
        <v>32</v>
      </c>
      <c r="M505" t="str">
        <f>TEXT(A505,"dddd")</f>
        <v>Saturday</v>
      </c>
      <c r="N505" s="35">
        <f>DATE(Table4[[#This Row],[year]],Table4[[#This Row],[month2]],Table4[[#This Row],[day]])</f>
        <v>46119</v>
      </c>
    </row>
    <row r="506" spans="1:14" ht="16" x14ac:dyDescent="0.35">
      <c r="A506" t="str">
        <f t="shared" si="14"/>
        <v>07</v>
      </c>
      <c r="B506">
        <f>_xlfn.SWITCH(Table4[[#This Row],[month]],"jan",1,"feb",2,"mar",3,"apr",4,"may",5,"jun",6,"jul",7,"aug",8,"sep",9,"oct",10,"nov",11,"dec",12,"no month")</f>
        <v>4</v>
      </c>
      <c r="C506" s="12" t="str">
        <f>LEFT('All Transactions'!$E506,3)</f>
        <v>Apr</v>
      </c>
      <c r="D506" s="12" t="str">
        <f t="shared" si="15"/>
        <v>2026</v>
      </c>
      <c r="E506" s="16" t="s">
        <v>1778</v>
      </c>
      <c r="F506" s="17" t="s">
        <v>120</v>
      </c>
      <c r="G506" s="18" t="s">
        <v>28</v>
      </c>
      <c r="H506" s="19">
        <v>2300</v>
      </c>
      <c r="I506" s="20" t="s">
        <v>12</v>
      </c>
      <c r="J506" s="20" t="s">
        <v>1786</v>
      </c>
      <c r="K506" s="21" t="s">
        <v>1787</v>
      </c>
      <c r="L506" s="20" t="s">
        <v>32</v>
      </c>
      <c r="M506" t="str">
        <f>TEXT(A506,"dddd")</f>
        <v>Saturday</v>
      </c>
      <c r="N506" s="35">
        <f>DATE(Table4[[#This Row],[year]],Table4[[#This Row],[month2]],Table4[[#This Row],[day]])</f>
        <v>46119</v>
      </c>
    </row>
    <row r="507" spans="1:14" ht="16" x14ac:dyDescent="0.35">
      <c r="A507" t="str">
        <f t="shared" si="14"/>
        <v>07</v>
      </c>
      <c r="B507">
        <f>_xlfn.SWITCH(Table4[[#This Row],[month]],"jan",1,"feb",2,"mar",3,"apr",4,"may",5,"jun",6,"jul",7,"aug",8,"sep",9,"oct",10,"nov",11,"dec",12,"no month")</f>
        <v>4</v>
      </c>
      <c r="C507" s="12" t="str">
        <f>LEFT('All Transactions'!$E507,3)</f>
        <v>Apr</v>
      </c>
      <c r="D507" s="12" t="str">
        <f t="shared" si="15"/>
        <v>2026</v>
      </c>
      <c r="E507" s="22" t="s">
        <v>1778</v>
      </c>
      <c r="F507" s="23" t="s">
        <v>123</v>
      </c>
      <c r="G507" s="27" t="s">
        <v>54</v>
      </c>
      <c r="H507" s="24">
        <v>2300</v>
      </c>
      <c r="I507" s="25" t="s">
        <v>156</v>
      </c>
      <c r="J507" s="25" t="s">
        <v>1788</v>
      </c>
      <c r="K507" s="26" t="s">
        <v>1789</v>
      </c>
      <c r="L507" s="25" t="s">
        <v>58</v>
      </c>
      <c r="M507" t="str">
        <f>TEXT(A507,"dddd")</f>
        <v>Saturday</v>
      </c>
      <c r="N507" s="35">
        <f>DATE(Table4[[#This Row],[year]],Table4[[#This Row],[month2]],Table4[[#This Row],[day]])</f>
        <v>46119</v>
      </c>
    </row>
    <row r="508" spans="1:14" ht="16" x14ac:dyDescent="0.35">
      <c r="A508" t="str">
        <f t="shared" si="14"/>
        <v>07</v>
      </c>
      <c r="B508">
        <f>_xlfn.SWITCH(Table4[[#This Row],[month]],"jan",1,"feb",2,"mar",3,"apr",4,"may",5,"jun",6,"jul",7,"aug",8,"sep",9,"oct",10,"nov",11,"dec",12,"no month")</f>
        <v>4</v>
      </c>
      <c r="C508" s="12" t="str">
        <f>LEFT('All Transactions'!$E508,3)</f>
        <v>Apr</v>
      </c>
      <c r="D508" s="12" t="str">
        <f t="shared" si="15"/>
        <v>2026</v>
      </c>
      <c r="E508" s="16" t="s">
        <v>1778</v>
      </c>
      <c r="F508" s="17" t="s">
        <v>1790</v>
      </c>
      <c r="G508" s="18" t="s">
        <v>28</v>
      </c>
      <c r="H508" s="19">
        <v>30</v>
      </c>
      <c r="I508" s="20" t="s">
        <v>1791</v>
      </c>
      <c r="J508" s="20" t="s">
        <v>1792</v>
      </c>
      <c r="K508" s="21" t="s">
        <v>1793</v>
      </c>
      <c r="L508" s="20" t="s">
        <v>32</v>
      </c>
      <c r="M508" t="str">
        <f>TEXT(A508,"dddd")</f>
        <v>Saturday</v>
      </c>
      <c r="N508" s="35">
        <f>DATE(Table4[[#This Row],[year]],Table4[[#This Row],[month2]],Table4[[#This Row],[day]])</f>
        <v>46119</v>
      </c>
    </row>
    <row r="509" spans="1:14" ht="16" x14ac:dyDescent="0.35">
      <c r="A509" t="str">
        <f t="shared" si="14"/>
        <v>07</v>
      </c>
      <c r="B509">
        <f>_xlfn.SWITCH(Table4[[#This Row],[month]],"jan",1,"feb",2,"mar",3,"apr",4,"may",5,"jun",6,"jul",7,"aug",8,"sep",9,"oct",10,"nov",11,"dec",12,"no month")</f>
        <v>4</v>
      </c>
      <c r="C509" s="12" t="str">
        <f>LEFT('All Transactions'!$E509,3)</f>
        <v>Apr</v>
      </c>
      <c r="D509" s="12" t="str">
        <f t="shared" si="15"/>
        <v>2026</v>
      </c>
      <c r="E509" s="22" t="s">
        <v>1778</v>
      </c>
      <c r="F509" s="23" t="s">
        <v>1794</v>
      </c>
      <c r="G509" s="18" t="s">
        <v>28</v>
      </c>
      <c r="H509" s="24">
        <v>10</v>
      </c>
      <c r="I509" s="25" t="s">
        <v>1791</v>
      </c>
      <c r="J509" s="25" t="s">
        <v>1795</v>
      </c>
      <c r="K509" s="26" t="s">
        <v>1796</v>
      </c>
      <c r="L509" s="25" t="s">
        <v>32</v>
      </c>
      <c r="M509" t="str">
        <f>TEXT(A509,"dddd")</f>
        <v>Saturday</v>
      </c>
      <c r="N509" s="35">
        <f>DATE(Table4[[#This Row],[year]],Table4[[#This Row],[month2]],Table4[[#This Row],[day]])</f>
        <v>46119</v>
      </c>
    </row>
    <row r="510" spans="1:14" ht="16" x14ac:dyDescent="0.35">
      <c r="A510" t="str">
        <f t="shared" si="14"/>
        <v>07</v>
      </c>
      <c r="B510">
        <f>_xlfn.SWITCH(Table4[[#This Row],[month]],"jan",1,"feb",2,"mar",3,"apr",4,"may",5,"jun",6,"jul",7,"aug",8,"sep",9,"oct",10,"nov",11,"dec",12,"no month")</f>
        <v>4</v>
      </c>
      <c r="C510" s="12" t="str">
        <f>LEFT('All Transactions'!$E510,3)</f>
        <v>Apr</v>
      </c>
      <c r="D510" s="12" t="str">
        <f t="shared" si="15"/>
        <v>2026</v>
      </c>
      <c r="E510" s="16" t="s">
        <v>1778</v>
      </c>
      <c r="F510" s="17" t="s">
        <v>1797</v>
      </c>
      <c r="G510" s="18" t="s">
        <v>28</v>
      </c>
      <c r="H510" s="19">
        <v>50</v>
      </c>
      <c r="I510" s="20" t="s">
        <v>1798</v>
      </c>
      <c r="J510" s="20" t="s">
        <v>1799</v>
      </c>
      <c r="K510" s="21" t="s">
        <v>1800</v>
      </c>
      <c r="L510" s="20" t="s">
        <v>32</v>
      </c>
      <c r="M510" t="str">
        <f>TEXT(A510,"dddd")</f>
        <v>Saturday</v>
      </c>
      <c r="N510" s="35">
        <f>DATE(Table4[[#This Row],[year]],Table4[[#This Row],[month2]],Table4[[#This Row],[day]])</f>
        <v>46119</v>
      </c>
    </row>
    <row r="511" spans="1:14" ht="16" x14ac:dyDescent="0.35">
      <c r="A511" t="str">
        <f t="shared" si="14"/>
        <v>07</v>
      </c>
      <c r="B511">
        <f>_xlfn.SWITCH(Table4[[#This Row],[month]],"jan",1,"feb",2,"mar",3,"apr",4,"may",5,"jun",6,"jul",7,"aug",8,"sep",9,"oct",10,"nov",11,"dec",12,"no month")</f>
        <v>4</v>
      </c>
      <c r="C511" s="12" t="str">
        <f>LEFT('All Transactions'!$E511,3)</f>
        <v>Apr</v>
      </c>
      <c r="D511" s="12" t="str">
        <f t="shared" si="15"/>
        <v>2026</v>
      </c>
      <c r="E511" s="22" t="s">
        <v>1778</v>
      </c>
      <c r="F511" s="23" t="s">
        <v>1217</v>
      </c>
      <c r="G511" s="18" t="s">
        <v>28</v>
      </c>
      <c r="H511" s="24">
        <v>15</v>
      </c>
      <c r="I511" s="25" t="s">
        <v>1801</v>
      </c>
      <c r="J511" s="25" t="s">
        <v>1802</v>
      </c>
      <c r="K511" s="26" t="s">
        <v>1803</v>
      </c>
      <c r="L511" s="25" t="s">
        <v>32</v>
      </c>
      <c r="M511" t="str">
        <f>TEXT(A511,"dddd")</f>
        <v>Saturday</v>
      </c>
      <c r="N511" s="35">
        <f>DATE(Table4[[#This Row],[year]],Table4[[#This Row],[month2]],Table4[[#This Row],[day]])</f>
        <v>46119</v>
      </c>
    </row>
    <row r="512" spans="1:14" ht="16" x14ac:dyDescent="0.35">
      <c r="A512" t="str">
        <f t="shared" si="14"/>
        <v>07</v>
      </c>
      <c r="B512">
        <f>_xlfn.SWITCH(Table4[[#This Row],[month]],"jan",1,"feb",2,"mar",3,"apr",4,"may",5,"jun",6,"jul",7,"aug",8,"sep",9,"oct",10,"nov",11,"dec",12,"no month")</f>
        <v>4</v>
      </c>
      <c r="C512" s="12" t="str">
        <f>LEFT('All Transactions'!$E512,3)</f>
        <v>Apr</v>
      </c>
      <c r="D512" s="12" t="str">
        <f t="shared" si="15"/>
        <v>2026</v>
      </c>
      <c r="E512" s="16" t="s">
        <v>1778</v>
      </c>
      <c r="F512" s="17" t="s">
        <v>1804</v>
      </c>
      <c r="G512" s="18" t="s">
        <v>28</v>
      </c>
      <c r="H512" s="19">
        <v>1</v>
      </c>
      <c r="I512" s="20" t="s">
        <v>1805</v>
      </c>
      <c r="J512" s="20" t="s">
        <v>1806</v>
      </c>
      <c r="K512" s="21" t="s">
        <v>1807</v>
      </c>
      <c r="L512" s="20" t="s">
        <v>1808</v>
      </c>
      <c r="M512" t="str">
        <f>TEXT(A512,"dddd")</f>
        <v>Saturday</v>
      </c>
      <c r="N512" s="35">
        <f>DATE(Table4[[#This Row],[year]],Table4[[#This Row],[month2]],Table4[[#This Row],[day]])</f>
        <v>46119</v>
      </c>
    </row>
    <row r="513" spans="1:14" ht="16" x14ac:dyDescent="0.35">
      <c r="A513" t="str">
        <f t="shared" si="14"/>
        <v>07</v>
      </c>
      <c r="B513">
        <f>_xlfn.SWITCH(Table4[[#This Row],[month]],"jan",1,"feb",2,"mar",3,"apr",4,"may",5,"jun",6,"jul",7,"aug",8,"sep",9,"oct",10,"nov",11,"dec",12,"no month")</f>
        <v>4</v>
      </c>
      <c r="C513" s="12" t="str">
        <f>LEFT('All Transactions'!$E513,3)</f>
        <v>Apr</v>
      </c>
      <c r="D513" s="12" t="str">
        <f t="shared" si="15"/>
        <v>2026</v>
      </c>
      <c r="E513" s="22" t="s">
        <v>1778</v>
      </c>
      <c r="F513" s="23" t="s">
        <v>1809</v>
      </c>
      <c r="G513" s="18" t="s">
        <v>28</v>
      </c>
      <c r="H513" s="24">
        <v>20</v>
      </c>
      <c r="I513" s="25" t="s">
        <v>1810</v>
      </c>
      <c r="J513" s="25" t="s">
        <v>1811</v>
      </c>
      <c r="K513" s="26" t="s">
        <v>1812</v>
      </c>
      <c r="L513" s="25" t="s">
        <v>32</v>
      </c>
      <c r="M513" t="str">
        <f>TEXT(A513,"dddd")</f>
        <v>Saturday</v>
      </c>
      <c r="N513" s="35">
        <f>DATE(Table4[[#This Row],[year]],Table4[[#This Row],[month2]],Table4[[#This Row],[day]])</f>
        <v>46119</v>
      </c>
    </row>
    <row r="514" spans="1:14" ht="16" x14ac:dyDescent="0.35">
      <c r="A514" t="str">
        <f t="shared" si="14"/>
        <v>06</v>
      </c>
      <c r="B514">
        <f>_xlfn.SWITCH(Table4[[#This Row],[month]],"jan",1,"feb",2,"mar",3,"apr",4,"may",5,"jun",6,"jul",7,"aug",8,"sep",9,"oct",10,"nov",11,"dec",12,"no month")</f>
        <v>4</v>
      </c>
      <c r="C514" s="12" t="str">
        <f>LEFT('All Transactions'!$E514,3)</f>
        <v>Apr</v>
      </c>
      <c r="D514" s="12" t="str">
        <f t="shared" si="15"/>
        <v>2026</v>
      </c>
      <c r="E514" s="16" t="s">
        <v>1813</v>
      </c>
      <c r="F514" s="17" t="s">
        <v>768</v>
      </c>
      <c r="G514" s="18" t="s">
        <v>28</v>
      </c>
      <c r="H514" s="19">
        <v>12</v>
      </c>
      <c r="I514" s="20" t="s">
        <v>201</v>
      </c>
      <c r="J514" s="20" t="s">
        <v>1814</v>
      </c>
      <c r="K514" s="21" t="s">
        <v>1815</v>
      </c>
      <c r="L514" s="20" t="s">
        <v>32</v>
      </c>
      <c r="M514" t="str">
        <f>TEXT(A514,"dddd")</f>
        <v>Friday</v>
      </c>
      <c r="N514" s="35">
        <f>DATE(Table4[[#This Row],[year]],Table4[[#This Row],[month2]],Table4[[#This Row],[day]])</f>
        <v>46118</v>
      </c>
    </row>
    <row r="515" spans="1:14" ht="16" x14ac:dyDescent="0.35">
      <c r="A515" t="str">
        <f t="shared" ref="A515:A578" si="16">MID(E515,5,2)</f>
        <v>06</v>
      </c>
      <c r="B515">
        <f>_xlfn.SWITCH(Table4[[#This Row],[month]],"jan",1,"feb",2,"mar",3,"apr",4,"may",5,"jun",6,"jul",7,"aug",8,"sep",9,"oct",10,"nov",11,"dec",12,"no month")</f>
        <v>4</v>
      </c>
      <c r="C515" s="12" t="str">
        <f>LEFT('All Transactions'!$E515,3)</f>
        <v>Apr</v>
      </c>
      <c r="D515" s="12" t="str">
        <f t="shared" ref="D515:D578" si="17">RIGHT(E515,4)</f>
        <v>2026</v>
      </c>
      <c r="E515" s="22" t="s">
        <v>1813</v>
      </c>
      <c r="F515" s="23" t="s">
        <v>768</v>
      </c>
      <c r="G515" s="27" t="s">
        <v>54</v>
      </c>
      <c r="H515" s="24">
        <v>20</v>
      </c>
      <c r="I515" s="25" t="s">
        <v>1586</v>
      </c>
      <c r="J515" s="25" t="s">
        <v>1816</v>
      </c>
      <c r="K515" s="26" t="s">
        <v>1817</v>
      </c>
      <c r="L515" s="25" t="s">
        <v>58</v>
      </c>
      <c r="M515" t="str">
        <f>TEXT(A515,"dddd")</f>
        <v>Friday</v>
      </c>
      <c r="N515" s="35">
        <f>DATE(Table4[[#This Row],[year]],Table4[[#This Row],[month2]],Table4[[#This Row],[day]])</f>
        <v>46118</v>
      </c>
    </row>
    <row r="516" spans="1:14" ht="16" x14ac:dyDescent="0.35">
      <c r="A516" t="str">
        <f t="shared" si="16"/>
        <v>06</v>
      </c>
      <c r="B516">
        <f>_xlfn.SWITCH(Table4[[#This Row],[month]],"jan",1,"feb",2,"mar",3,"apr",4,"may",5,"jun",6,"jul",7,"aug",8,"sep",9,"oct",10,"nov",11,"dec",12,"no month")</f>
        <v>4</v>
      </c>
      <c r="C516" s="12" t="str">
        <f>LEFT('All Transactions'!$E516,3)</f>
        <v>Apr</v>
      </c>
      <c r="D516" s="12" t="str">
        <f t="shared" si="17"/>
        <v>2026</v>
      </c>
      <c r="E516" s="16" t="s">
        <v>1813</v>
      </c>
      <c r="F516" s="17" t="s">
        <v>768</v>
      </c>
      <c r="G516" s="18" t="s">
        <v>28</v>
      </c>
      <c r="H516" s="19">
        <v>20</v>
      </c>
      <c r="I516" s="20" t="s">
        <v>201</v>
      </c>
      <c r="J516" s="20" t="s">
        <v>1818</v>
      </c>
      <c r="K516" s="21" t="s">
        <v>1819</v>
      </c>
      <c r="L516" s="20" t="s">
        <v>32</v>
      </c>
      <c r="M516" t="str">
        <f>TEXT(A516,"dddd")</f>
        <v>Friday</v>
      </c>
      <c r="N516" s="35">
        <f>DATE(Table4[[#This Row],[year]],Table4[[#This Row],[month2]],Table4[[#This Row],[day]])</f>
        <v>46118</v>
      </c>
    </row>
    <row r="517" spans="1:14" ht="16" x14ac:dyDescent="0.35">
      <c r="A517" t="str">
        <f t="shared" si="16"/>
        <v>06</v>
      </c>
      <c r="B517">
        <f>_xlfn.SWITCH(Table4[[#This Row],[month]],"jan",1,"feb",2,"mar",3,"apr",4,"may",5,"jun",6,"jul",7,"aug",8,"sep",9,"oct",10,"nov",11,"dec",12,"no month")</f>
        <v>4</v>
      </c>
      <c r="C517" s="12" t="str">
        <f>LEFT('All Transactions'!$E517,3)</f>
        <v>Apr</v>
      </c>
      <c r="D517" s="12" t="str">
        <f t="shared" si="17"/>
        <v>2026</v>
      </c>
      <c r="E517" s="22" t="s">
        <v>1813</v>
      </c>
      <c r="F517" s="23" t="s">
        <v>969</v>
      </c>
      <c r="G517" s="27" t="s">
        <v>54</v>
      </c>
      <c r="H517" s="24">
        <v>20</v>
      </c>
      <c r="I517" s="25" t="s">
        <v>947</v>
      </c>
      <c r="J517" s="25" t="s">
        <v>1820</v>
      </c>
      <c r="K517" s="26" t="s">
        <v>1821</v>
      </c>
      <c r="L517" s="25" t="s">
        <v>58</v>
      </c>
      <c r="M517" t="str">
        <f>TEXT(A517,"dddd")</f>
        <v>Friday</v>
      </c>
      <c r="N517" s="35">
        <f>DATE(Table4[[#This Row],[year]],Table4[[#This Row],[month2]],Table4[[#This Row],[day]])</f>
        <v>46118</v>
      </c>
    </row>
    <row r="518" spans="1:14" ht="16" x14ac:dyDescent="0.35">
      <c r="A518" t="str">
        <f t="shared" si="16"/>
        <v>06</v>
      </c>
      <c r="B518">
        <f>_xlfn.SWITCH(Table4[[#This Row],[month]],"jan",1,"feb",2,"mar",3,"apr",4,"may",5,"jun",6,"jul",7,"aug",8,"sep",9,"oct",10,"nov",11,"dec",12,"no month")</f>
        <v>4</v>
      </c>
      <c r="C518" s="12" t="str">
        <f>LEFT('All Transactions'!$E518,3)</f>
        <v>Apr</v>
      </c>
      <c r="D518" s="12" t="str">
        <f t="shared" si="17"/>
        <v>2026</v>
      </c>
      <c r="E518" s="16" t="s">
        <v>1813</v>
      </c>
      <c r="F518" s="17" t="s">
        <v>1822</v>
      </c>
      <c r="G518" s="18" t="s">
        <v>28</v>
      </c>
      <c r="H518" s="19">
        <v>50</v>
      </c>
      <c r="I518" s="20" t="s">
        <v>191</v>
      </c>
      <c r="J518" s="20" t="s">
        <v>1823</v>
      </c>
      <c r="K518" s="21" t="s">
        <v>1824</v>
      </c>
      <c r="L518" s="20" t="s">
        <v>32</v>
      </c>
      <c r="M518" t="str">
        <f>TEXT(A518,"dddd")</f>
        <v>Friday</v>
      </c>
      <c r="N518" s="35">
        <f>DATE(Table4[[#This Row],[year]],Table4[[#This Row],[month2]],Table4[[#This Row],[day]])</f>
        <v>46118</v>
      </c>
    </row>
    <row r="519" spans="1:14" ht="16" x14ac:dyDescent="0.35">
      <c r="A519" t="str">
        <f t="shared" si="16"/>
        <v>06</v>
      </c>
      <c r="B519">
        <f>_xlfn.SWITCH(Table4[[#This Row],[month]],"jan",1,"feb",2,"mar",3,"apr",4,"may",5,"jun",6,"jul",7,"aug",8,"sep",9,"oct",10,"nov",11,"dec",12,"no month")</f>
        <v>4</v>
      </c>
      <c r="C519" s="12" t="str">
        <f>LEFT('All Transactions'!$E519,3)</f>
        <v>Apr</v>
      </c>
      <c r="D519" s="12" t="str">
        <f t="shared" si="17"/>
        <v>2026</v>
      </c>
      <c r="E519" s="22" t="s">
        <v>1813</v>
      </c>
      <c r="F519" s="23" t="s">
        <v>373</v>
      </c>
      <c r="G519" s="18" t="s">
        <v>28</v>
      </c>
      <c r="H519" s="24">
        <v>50</v>
      </c>
      <c r="I519" s="25" t="s">
        <v>374</v>
      </c>
      <c r="J519" s="25" t="s">
        <v>1825</v>
      </c>
      <c r="K519" s="26" t="s">
        <v>1826</v>
      </c>
      <c r="L519" s="25" t="s">
        <v>32</v>
      </c>
      <c r="M519" t="str">
        <f>TEXT(A519,"dddd")</f>
        <v>Friday</v>
      </c>
      <c r="N519" s="35">
        <f>DATE(Table4[[#This Row],[year]],Table4[[#This Row],[month2]],Table4[[#This Row],[day]])</f>
        <v>46118</v>
      </c>
    </row>
    <row r="520" spans="1:14" ht="16" x14ac:dyDescent="0.35">
      <c r="A520" t="str">
        <f t="shared" si="16"/>
        <v>06</v>
      </c>
      <c r="B520">
        <f>_xlfn.SWITCH(Table4[[#This Row],[month]],"jan",1,"feb",2,"mar",3,"apr",4,"may",5,"jun",6,"jul",7,"aug",8,"sep",9,"oct",10,"nov",11,"dec",12,"no month")</f>
        <v>4</v>
      </c>
      <c r="C520" s="12" t="str">
        <f>LEFT('All Transactions'!$E520,3)</f>
        <v>Apr</v>
      </c>
      <c r="D520" s="12" t="str">
        <f t="shared" si="17"/>
        <v>2026</v>
      </c>
      <c r="E520" s="16" t="s">
        <v>1813</v>
      </c>
      <c r="F520" s="17" t="s">
        <v>380</v>
      </c>
      <c r="G520" s="18" t="s">
        <v>28</v>
      </c>
      <c r="H520" s="19">
        <v>40</v>
      </c>
      <c r="I520" s="20" t="s">
        <v>1827</v>
      </c>
      <c r="J520" s="20" t="s">
        <v>1828</v>
      </c>
      <c r="K520" s="21" t="s">
        <v>1829</v>
      </c>
      <c r="L520" s="20" t="s">
        <v>32</v>
      </c>
      <c r="M520" t="str">
        <f>TEXT(A520,"dddd")</f>
        <v>Friday</v>
      </c>
      <c r="N520" s="35">
        <f>DATE(Table4[[#This Row],[year]],Table4[[#This Row],[month2]],Table4[[#This Row],[day]])</f>
        <v>46118</v>
      </c>
    </row>
    <row r="521" spans="1:14" ht="16" x14ac:dyDescent="0.35">
      <c r="A521" t="str">
        <f t="shared" si="16"/>
        <v>06</v>
      </c>
      <c r="B521">
        <f>_xlfn.SWITCH(Table4[[#This Row],[month]],"jan",1,"feb",2,"mar",3,"apr",4,"may",5,"jun",6,"jul",7,"aug",8,"sep",9,"oct",10,"nov",11,"dec",12,"no month")</f>
        <v>4</v>
      </c>
      <c r="C521" s="12" t="str">
        <f>LEFT('All Transactions'!$E521,3)</f>
        <v>Apr</v>
      </c>
      <c r="D521" s="12" t="str">
        <f t="shared" si="17"/>
        <v>2026</v>
      </c>
      <c r="E521" s="22" t="s">
        <v>1813</v>
      </c>
      <c r="F521" s="23" t="s">
        <v>196</v>
      </c>
      <c r="G521" s="27" t="s">
        <v>54</v>
      </c>
      <c r="H521" s="24">
        <v>100</v>
      </c>
      <c r="I521" s="25" t="s">
        <v>1586</v>
      </c>
      <c r="J521" s="25" t="s">
        <v>1830</v>
      </c>
      <c r="K521" s="26" t="s">
        <v>1831</v>
      </c>
      <c r="L521" s="25" t="s">
        <v>58</v>
      </c>
      <c r="M521" t="str">
        <f>TEXT(A521,"dddd")</f>
        <v>Friday</v>
      </c>
      <c r="N521" s="35">
        <f>DATE(Table4[[#This Row],[year]],Table4[[#This Row],[month2]],Table4[[#This Row],[day]])</f>
        <v>46118</v>
      </c>
    </row>
    <row r="522" spans="1:14" ht="16" x14ac:dyDescent="0.35">
      <c r="A522" t="str">
        <f t="shared" si="16"/>
        <v>05</v>
      </c>
      <c r="B522">
        <f>_xlfn.SWITCH(Table4[[#This Row],[month]],"jan",1,"feb",2,"mar",3,"apr",4,"may",5,"jun",6,"jul",7,"aug",8,"sep",9,"oct",10,"nov",11,"dec",12,"no month")</f>
        <v>4</v>
      </c>
      <c r="C522" s="12" t="str">
        <f>LEFT('All Transactions'!$E522,3)</f>
        <v>Apr</v>
      </c>
      <c r="D522" s="12" t="str">
        <f t="shared" si="17"/>
        <v>2026</v>
      </c>
      <c r="E522" s="16" t="s">
        <v>1832</v>
      </c>
      <c r="F522" s="17" t="s">
        <v>112</v>
      </c>
      <c r="G522" s="18" t="s">
        <v>28</v>
      </c>
      <c r="H522" s="19">
        <v>10</v>
      </c>
      <c r="I522" s="20" t="s">
        <v>1833</v>
      </c>
      <c r="J522" s="20" t="s">
        <v>1834</v>
      </c>
      <c r="K522" s="21" t="s">
        <v>1835</v>
      </c>
      <c r="L522" s="20" t="s">
        <v>32</v>
      </c>
      <c r="M522" t="str">
        <f>TEXT(A522,"dddd")</f>
        <v>Thursday</v>
      </c>
      <c r="N522" s="35">
        <f>DATE(Table4[[#This Row],[year]],Table4[[#This Row],[month2]],Table4[[#This Row],[day]])</f>
        <v>46117</v>
      </c>
    </row>
    <row r="523" spans="1:14" ht="16" x14ac:dyDescent="0.35">
      <c r="A523" t="str">
        <f t="shared" si="16"/>
        <v>05</v>
      </c>
      <c r="B523">
        <f>_xlfn.SWITCH(Table4[[#This Row],[month]],"jan",1,"feb",2,"mar",3,"apr",4,"may",5,"jun",6,"jul",7,"aug",8,"sep",9,"oct",10,"nov",11,"dec",12,"no month")</f>
        <v>4</v>
      </c>
      <c r="C523" s="12" t="str">
        <f>LEFT('All Transactions'!$E523,3)</f>
        <v>Apr</v>
      </c>
      <c r="D523" s="12" t="str">
        <f t="shared" si="17"/>
        <v>2026</v>
      </c>
      <c r="E523" s="22" t="s">
        <v>1832</v>
      </c>
      <c r="F523" s="23" t="s">
        <v>112</v>
      </c>
      <c r="G523" s="18" t="s">
        <v>28</v>
      </c>
      <c r="H523" s="24">
        <v>100</v>
      </c>
      <c r="I523" s="25" t="s">
        <v>1833</v>
      </c>
      <c r="J523" s="25" t="s">
        <v>1836</v>
      </c>
      <c r="K523" s="26" t="s">
        <v>1837</v>
      </c>
      <c r="L523" s="25" t="s">
        <v>32</v>
      </c>
      <c r="M523" t="str">
        <f>TEXT(A523,"dddd")</f>
        <v>Thursday</v>
      </c>
      <c r="N523" s="35">
        <f>DATE(Table4[[#This Row],[year]],Table4[[#This Row],[month2]],Table4[[#This Row],[day]])</f>
        <v>46117</v>
      </c>
    </row>
    <row r="524" spans="1:14" ht="16" x14ac:dyDescent="0.35">
      <c r="A524" t="str">
        <f t="shared" si="16"/>
        <v>05</v>
      </c>
      <c r="B524">
        <f>_xlfn.SWITCH(Table4[[#This Row],[month]],"jan",1,"feb",2,"mar",3,"apr",4,"may",5,"jun",6,"jul",7,"aug",8,"sep",9,"oct",10,"nov",11,"dec",12,"no month")</f>
        <v>4</v>
      </c>
      <c r="C524" s="12" t="str">
        <f>LEFT('All Transactions'!$E524,3)</f>
        <v>Apr</v>
      </c>
      <c r="D524" s="12" t="str">
        <f t="shared" si="17"/>
        <v>2026</v>
      </c>
      <c r="E524" s="16" t="s">
        <v>1832</v>
      </c>
      <c r="F524" s="17" t="s">
        <v>1838</v>
      </c>
      <c r="G524" s="18" t="s">
        <v>28</v>
      </c>
      <c r="H524" s="19">
        <v>200</v>
      </c>
      <c r="I524" s="20" t="s">
        <v>1839</v>
      </c>
      <c r="J524" s="20" t="s">
        <v>1840</v>
      </c>
      <c r="K524" s="21" t="s">
        <v>1841</v>
      </c>
      <c r="L524" s="20" t="s">
        <v>32</v>
      </c>
      <c r="M524" t="str">
        <f>TEXT(A524,"dddd")</f>
        <v>Thursday</v>
      </c>
      <c r="N524" s="35">
        <f>DATE(Table4[[#This Row],[year]],Table4[[#This Row],[month2]],Table4[[#This Row],[day]])</f>
        <v>46117</v>
      </c>
    </row>
    <row r="525" spans="1:14" ht="16" x14ac:dyDescent="0.35">
      <c r="A525" t="str">
        <f t="shared" si="16"/>
        <v>05</v>
      </c>
      <c r="B525">
        <f>_xlfn.SWITCH(Table4[[#This Row],[month]],"jan",1,"feb",2,"mar",3,"apr",4,"may",5,"jun",6,"jul",7,"aug",8,"sep",9,"oct",10,"nov",11,"dec",12,"no month")</f>
        <v>4</v>
      </c>
      <c r="C525" s="12" t="str">
        <f>LEFT('All Transactions'!$E525,3)</f>
        <v>Apr</v>
      </c>
      <c r="D525" s="12" t="str">
        <f t="shared" si="17"/>
        <v>2026</v>
      </c>
      <c r="E525" s="22" t="s">
        <v>1832</v>
      </c>
      <c r="F525" s="23" t="s">
        <v>1842</v>
      </c>
      <c r="G525" s="18" t="s">
        <v>28</v>
      </c>
      <c r="H525" s="24">
        <v>10</v>
      </c>
      <c r="I525" s="25" t="s">
        <v>201</v>
      </c>
      <c r="J525" s="25" t="s">
        <v>1843</v>
      </c>
      <c r="K525" s="26" t="s">
        <v>1844</v>
      </c>
      <c r="L525" s="25" t="s">
        <v>32</v>
      </c>
      <c r="M525" t="str">
        <f>TEXT(A525,"dddd")</f>
        <v>Thursday</v>
      </c>
      <c r="N525" s="35">
        <f>DATE(Table4[[#This Row],[year]],Table4[[#This Row],[month2]],Table4[[#This Row],[day]])</f>
        <v>46117</v>
      </c>
    </row>
    <row r="526" spans="1:14" ht="16" x14ac:dyDescent="0.35">
      <c r="A526" t="str">
        <f t="shared" si="16"/>
        <v>05</v>
      </c>
      <c r="B526">
        <f>_xlfn.SWITCH(Table4[[#This Row],[month]],"jan",1,"feb",2,"mar",3,"apr",4,"may",5,"jun",6,"jul",7,"aug",8,"sep",9,"oct",10,"nov",11,"dec",12,"no month")</f>
        <v>4</v>
      </c>
      <c r="C526" s="12" t="str">
        <f>LEFT('All Transactions'!$E526,3)</f>
        <v>Apr</v>
      </c>
      <c r="D526" s="12" t="str">
        <f t="shared" si="17"/>
        <v>2026</v>
      </c>
      <c r="E526" s="16" t="s">
        <v>1832</v>
      </c>
      <c r="F526" s="17" t="s">
        <v>513</v>
      </c>
      <c r="G526" s="18" t="s">
        <v>28</v>
      </c>
      <c r="H526" s="19">
        <v>5</v>
      </c>
      <c r="I526" s="20" t="s">
        <v>374</v>
      </c>
      <c r="J526" s="20" t="s">
        <v>1845</v>
      </c>
      <c r="K526" s="21" t="s">
        <v>1846</v>
      </c>
      <c r="L526" s="20" t="s">
        <v>32</v>
      </c>
      <c r="M526" t="str">
        <f>TEXT(A526,"dddd")</f>
        <v>Thursday</v>
      </c>
      <c r="N526" s="35">
        <f>DATE(Table4[[#This Row],[year]],Table4[[#This Row],[month2]],Table4[[#This Row],[day]])</f>
        <v>46117</v>
      </c>
    </row>
    <row r="527" spans="1:14" ht="16" x14ac:dyDescent="0.35">
      <c r="A527" t="str">
        <f t="shared" si="16"/>
        <v>05</v>
      </c>
      <c r="B527">
        <f>_xlfn.SWITCH(Table4[[#This Row],[month]],"jan",1,"feb",2,"mar",3,"apr",4,"may",5,"jun",6,"jul",7,"aug",8,"sep",9,"oct",10,"nov",11,"dec",12,"no month")</f>
        <v>4</v>
      </c>
      <c r="C527" s="12" t="str">
        <f>LEFT('All Transactions'!$E527,3)</f>
        <v>Apr</v>
      </c>
      <c r="D527" s="12" t="str">
        <f t="shared" si="17"/>
        <v>2026</v>
      </c>
      <c r="E527" s="22" t="s">
        <v>1832</v>
      </c>
      <c r="F527" s="23" t="s">
        <v>1847</v>
      </c>
      <c r="G527" s="18" t="s">
        <v>28</v>
      </c>
      <c r="H527" s="24">
        <v>25</v>
      </c>
      <c r="I527" s="25" t="s">
        <v>201</v>
      </c>
      <c r="J527" s="25" t="s">
        <v>1848</v>
      </c>
      <c r="K527" s="26" t="s">
        <v>1849</v>
      </c>
      <c r="L527" s="25" t="s">
        <v>32</v>
      </c>
      <c r="M527" t="str">
        <f>TEXT(A527,"dddd")</f>
        <v>Thursday</v>
      </c>
      <c r="N527" s="35">
        <f>DATE(Table4[[#This Row],[year]],Table4[[#This Row],[month2]],Table4[[#This Row],[day]])</f>
        <v>46117</v>
      </c>
    </row>
    <row r="528" spans="1:14" ht="16" x14ac:dyDescent="0.35">
      <c r="A528" t="str">
        <f t="shared" si="16"/>
        <v>05</v>
      </c>
      <c r="B528">
        <f>_xlfn.SWITCH(Table4[[#This Row],[month]],"jan",1,"feb",2,"mar",3,"apr",4,"may",5,"jun",6,"jul",7,"aug",8,"sep",9,"oct",10,"nov",11,"dec",12,"no month")</f>
        <v>4</v>
      </c>
      <c r="C528" s="12" t="str">
        <f>LEFT('All Transactions'!$E528,3)</f>
        <v>Apr</v>
      </c>
      <c r="D528" s="12" t="str">
        <f t="shared" si="17"/>
        <v>2026</v>
      </c>
      <c r="E528" s="16" t="s">
        <v>1832</v>
      </c>
      <c r="F528" s="17" t="s">
        <v>1850</v>
      </c>
      <c r="G528" s="18" t="s">
        <v>28</v>
      </c>
      <c r="H528" s="19">
        <v>200</v>
      </c>
      <c r="I528" s="20" t="s">
        <v>37</v>
      </c>
      <c r="J528" s="20" t="s">
        <v>1851</v>
      </c>
      <c r="K528" s="21" t="s">
        <v>1852</v>
      </c>
      <c r="L528" s="20" t="s">
        <v>32</v>
      </c>
      <c r="M528" t="str">
        <f>TEXT(A528,"dddd")</f>
        <v>Thursday</v>
      </c>
      <c r="N528" s="35">
        <f>DATE(Table4[[#This Row],[year]],Table4[[#This Row],[month2]],Table4[[#This Row],[day]])</f>
        <v>46117</v>
      </c>
    </row>
    <row r="529" spans="1:14" ht="16" x14ac:dyDescent="0.35">
      <c r="A529" t="str">
        <f t="shared" si="16"/>
        <v>05</v>
      </c>
      <c r="B529">
        <f>_xlfn.SWITCH(Table4[[#This Row],[month]],"jan",1,"feb",2,"mar",3,"apr",4,"may",5,"jun",6,"jul",7,"aug",8,"sep",9,"oct",10,"nov",11,"dec",12,"no month")</f>
        <v>4</v>
      </c>
      <c r="C529" s="12" t="str">
        <f>LEFT('All Transactions'!$E529,3)</f>
        <v>Apr</v>
      </c>
      <c r="D529" s="12" t="str">
        <f t="shared" si="17"/>
        <v>2026</v>
      </c>
      <c r="E529" s="22" t="s">
        <v>1832</v>
      </c>
      <c r="F529" s="23" t="s">
        <v>1474</v>
      </c>
      <c r="G529" s="27" t="s">
        <v>54</v>
      </c>
      <c r="H529" s="24">
        <v>95</v>
      </c>
      <c r="I529" s="25" t="s">
        <v>947</v>
      </c>
      <c r="J529" s="25" t="s">
        <v>1853</v>
      </c>
      <c r="K529" s="26" t="s">
        <v>1854</v>
      </c>
      <c r="L529" s="25" t="s">
        <v>58</v>
      </c>
      <c r="M529" t="str">
        <f>TEXT(A529,"dddd")</f>
        <v>Thursday</v>
      </c>
      <c r="N529" s="35">
        <f>DATE(Table4[[#This Row],[year]],Table4[[#This Row],[month2]],Table4[[#This Row],[day]])</f>
        <v>46117</v>
      </c>
    </row>
    <row r="530" spans="1:14" ht="16" x14ac:dyDescent="0.35">
      <c r="A530" t="str">
        <f t="shared" si="16"/>
        <v>05</v>
      </c>
      <c r="B530">
        <f>_xlfn.SWITCH(Table4[[#This Row],[month]],"jan",1,"feb",2,"mar",3,"apr",4,"may",5,"jun",6,"jul",7,"aug",8,"sep",9,"oct",10,"nov",11,"dec",12,"no month")</f>
        <v>4</v>
      </c>
      <c r="C530" s="12" t="str">
        <f>LEFT('All Transactions'!$E530,3)</f>
        <v>Apr</v>
      </c>
      <c r="D530" s="12" t="str">
        <f t="shared" si="17"/>
        <v>2026</v>
      </c>
      <c r="E530" s="16" t="s">
        <v>1832</v>
      </c>
      <c r="F530" s="17" t="s">
        <v>1592</v>
      </c>
      <c r="G530" s="18" t="s">
        <v>28</v>
      </c>
      <c r="H530" s="19">
        <v>13574</v>
      </c>
      <c r="I530" s="20" t="s">
        <v>1045</v>
      </c>
      <c r="J530" s="20" t="s">
        <v>1855</v>
      </c>
      <c r="K530" s="21" t="s">
        <v>1856</v>
      </c>
      <c r="L530" s="20" t="s">
        <v>32</v>
      </c>
      <c r="M530" t="str">
        <f>TEXT(A530,"dddd")</f>
        <v>Thursday</v>
      </c>
      <c r="N530" s="35">
        <f>DATE(Table4[[#This Row],[year]],Table4[[#This Row],[month2]],Table4[[#This Row],[day]])</f>
        <v>46117</v>
      </c>
    </row>
    <row r="531" spans="1:14" ht="16" x14ac:dyDescent="0.35">
      <c r="A531" t="str">
        <f t="shared" si="16"/>
        <v>05</v>
      </c>
      <c r="B531">
        <f>_xlfn.SWITCH(Table4[[#This Row],[month]],"jan",1,"feb",2,"mar",3,"apr",4,"may",5,"jun",6,"jul",7,"aug",8,"sep",9,"oct",10,"nov",11,"dec",12,"no month")</f>
        <v>4</v>
      </c>
      <c r="C531" s="12" t="str">
        <f>LEFT('All Transactions'!$E531,3)</f>
        <v>Apr</v>
      </c>
      <c r="D531" s="12" t="str">
        <f t="shared" si="17"/>
        <v>2026</v>
      </c>
      <c r="E531" s="22" t="s">
        <v>1832</v>
      </c>
      <c r="F531" s="23" t="s">
        <v>1062</v>
      </c>
      <c r="G531" s="27" t="s">
        <v>54</v>
      </c>
      <c r="H531" s="24">
        <v>4000</v>
      </c>
      <c r="I531" s="25" t="s">
        <v>156</v>
      </c>
      <c r="J531" s="25" t="s">
        <v>1857</v>
      </c>
      <c r="K531" s="26" t="s">
        <v>1858</v>
      </c>
      <c r="L531" s="25" t="s">
        <v>58</v>
      </c>
      <c r="M531" t="str">
        <f>TEXT(A531,"dddd")</f>
        <v>Thursday</v>
      </c>
      <c r="N531" s="35">
        <f>DATE(Table4[[#This Row],[year]],Table4[[#This Row],[month2]],Table4[[#This Row],[day]])</f>
        <v>46117</v>
      </c>
    </row>
    <row r="532" spans="1:14" ht="16" x14ac:dyDescent="0.35">
      <c r="A532" t="str">
        <f t="shared" si="16"/>
        <v>05</v>
      </c>
      <c r="B532">
        <f>_xlfn.SWITCH(Table4[[#This Row],[month]],"jan",1,"feb",2,"mar",3,"apr",4,"may",5,"jun",6,"jul",7,"aug",8,"sep",9,"oct",10,"nov",11,"dec",12,"no month")</f>
        <v>4</v>
      </c>
      <c r="C532" s="12" t="str">
        <f>LEFT('All Transactions'!$E532,3)</f>
        <v>Apr</v>
      </c>
      <c r="D532" s="12" t="str">
        <f t="shared" si="17"/>
        <v>2026</v>
      </c>
      <c r="E532" s="16" t="s">
        <v>1832</v>
      </c>
      <c r="F532" s="17" t="s">
        <v>1054</v>
      </c>
      <c r="G532" s="27" t="s">
        <v>54</v>
      </c>
      <c r="H532" s="19">
        <v>9700</v>
      </c>
      <c r="I532" s="20" t="s">
        <v>947</v>
      </c>
      <c r="J532" s="20" t="s">
        <v>1859</v>
      </c>
      <c r="K532" s="21" t="s">
        <v>1860</v>
      </c>
      <c r="L532" s="20" t="s">
        <v>58</v>
      </c>
      <c r="M532" t="str">
        <f>TEXT(A532,"dddd")</f>
        <v>Thursday</v>
      </c>
      <c r="N532" s="35">
        <f>DATE(Table4[[#This Row],[year]],Table4[[#This Row],[month2]],Table4[[#This Row],[day]])</f>
        <v>46117</v>
      </c>
    </row>
    <row r="533" spans="1:14" ht="16" x14ac:dyDescent="0.35">
      <c r="A533" t="str">
        <f t="shared" si="16"/>
        <v>04</v>
      </c>
      <c r="B533">
        <f>_xlfn.SWITCH(Table4[[#This Row],[month]],"jan",1,"feb",2,"mar",3,"apr",4,"may",5,"jun",6,"jul",7,"aug",8,"sep",9,"oct",10,"nov",11,"dec",12,"no month")</f>
        <v>4</v>
      </c>
      <c r="C533" s="12" t="str">
        <f>LEFT('All Transactions'!$E533,3)</f>
        <v>Apr</v>
      </c>
      <c r="D533" s="12" t="str">
        <f t="shared" si="17"/>
        <v>2026</v>
      </c>
      <c r="E533" s="22" t="s">
        <v>1861</v>
      </c>
      <c r="F533" s="23" t="s">
        <v>1862</v>
      </c>
      <c r="G533" s="18" t="s">
        <v>28</v>
      </c>
      <c r="H533" s="24">
        <v>100</v>
      </c>
      <c r="I533" s="25" t="s">
        <v>487</v>
      </c>
      <c r="J533" s="25" t="s">
        <v>1863</v>
      </c>
      <c r="K533" s="26" t="s">
        <v>1864</v>
      </c>
      <c r="L533" s="25" t="s">
        <v>32</v>
      </c>
      <c r="M533" t="str">
        <f>TEXT(A533,"dddd")</f>
        <v>Wednesday</v>
      </c>
      <c r="N533" s="35">
        <f>DATE(Table4[[#This Row],[year]],Table4[[#This Row],[month2]],Table4[[#This Row],[day]])</f>
        <v>46116</v>
      </c>
    </row>
    <row r="534" spans="1:14" ht="16" x14ac:dyDescent="0.35">
      <c r="A534" t="str">
        <f t="shared" si="16"/>
        <v>04</v>
      </c>
      <c r="B534">
        <f>_xlfn.SWITCH(Table4[[#This Row],[month]],"jan",1,"feb",2,"mar",3,"apr",4,"may",5,"jun",6,"jul",7,"aug",8,"sep",9,"oct",10,"nov",11,"dec",12,"no month")</f>
        <v>4</v>
      </c>
      <c r="C534" s="12" t="str">
        <f>LEFT('All Transactions'!$E534,3)</f>
        <v>Apr</v>
      </c>
      <c r="D534" s="12" t="str">
        <f t="shared" si="17"/>
        <v>2026</v>
      </c>
      <c r="E534" s="16" t="s">
        <v>1861</v>
      </c>
      <c r="F534" s="17" t="s">
        <v>427</v>
      </c>
      <c r="G534" s="18" t="s">
        <v>28</v>
      </c>
      <c r="H534" s="19">
        <v>60</v>
      </c>
      <c r="I534" s="20" t="s">
        <v>1865</v>
      </c>
      <c r="J534" s="20" t="s">
        <v>1866</v>
      </c>
      <c r="K534" s="21" t="s">
        <v>1867</v>
      </c>
      <c r="L534" s="20" t="s">
        <v>32</v>
      </c>
      <c r="M534" t="str">
        <f>TEXT(A534,"dddd")</f>
        <v>Wednesday</v>
      </c>
      <c r="N534" s="35">
        <f>DATE(Table4[[#This Row],[year]],Table4[[#This Row],[month2]],Table4[[#This Row],[day]])</f>
        <v>46116</v>
      </c>
    </row>
    <row r="535" spans="1:14" ht="16" x14ac:dyDescent="0.35">
      <c r="A535" t="str">
        <f t="shared" si="16"/>
        <v>04</v>
      </c>
      <c r="B535">
        <f>_xlfn.SWITCH(Table4[[#This Row],[month]],"jan",1,"feb",2,"mar",3,"apr",4,"may",5,"jun",6,"jul",7,"aug",8,"sep",9,"oct",10,"nov",11,"dec",12,"no month")</f>
        <v>4</v>
      </c>
      <c r="C535" s="12" t="str">
        <f>LEFT('All Transactions'!$E535,3)</f>
        <v>Apr</v>
      </c>
      <c r="D535" s="12" t="str">
        <f t="shared" si="17"/>
        <v>2026</v>
      </c>
      <c r="E535" s="22" t="s">
        <v>1861</v>
      </c>
      <c r="F535" s="23" t="s">
        <v>1868</v>
      </c>
      <c r="G535" s="18" t="s">
        <v>28</v>
      </c>
      <c r="H535" s="24">
        <v>120</v>
      </c>
      <c r="I535" s="25" t="s">
        <v>1404</v>
      </c>
      <c r="J535" s="25" t="s">
        <v>1869</v>
      </c>
      <c r="K535" s="26" t="s">
        <v>1870</v>
      </c>
      <c r="L535" s="25" t="s">
        <v>32</v>
      </c>
      <c r="M535" t="str">
        <f>TEXT(A535,"dddd")</f>
        <v>Wednesday</v>
      </c>
      <c r="N535" s="35">
        <f>DATE(Table4[[#This Row],[year]],Table4[[#This Row],[month2]],Table4[[#This Row],[day]])</f>
        <v>46116</v>
      </c>
    </row>
    <row r="536" spans="1:14" ht="16" x14ac:dyDescent="0.35">
      <c r="A536" t="str">
        <f t="shared" si="16"/>
        <v>04</v>
      </c>
      <c r="B536">
        <f>_xlfn.SWITCH(Table4[[#This Row],[month]],"jan",1,"feb",2,"mar",3,"apr",4,"may",5,"jun",6,"jul",7,"aug",8,"sep",9,"oct",10,"nov",11,"dec",12,"no month")</f>
        <v>4</v>
      </c>
      <c r="C536" s="12" t="str">
        <f>LEFT('All Transactions'!$E536,3)</f>
        <v>Apr</v>
      </c>
      <c r="D536" s="12" t="str">
        <f t="shared" si="17"/>
        <v>2026</v>
      </c>
      <c r="E536" s="16" t="s">
        <v>1861</v>
      </c>
      <c r="F536" s="17" t="s">
        <v>1871</v>
      </c>
      <c r="G536" s="18" t="s">
        <v>28</v>
      </c>
      <c r="H536" s="19">
        <v>50</v>
      </c>
      <c r="I536" s="20" t="s">
        <v>1872</v>
      </c>
      <c r="J536" s="20" t="s">
        <v>1873</v>
      </c>
      <c r="K536" s="21" t="s">
        <v>1874</v>
      </c>
      <c r="L536" s="20" t="s">
        <v>32</v>
      </c>
      <c r="M536" t="str">
        <f>TEXT(A536,"dddd")</f>
        <v>Wednesday</v>
      </c>
      <c r="N536" s="35">
        <f>DATE(Table4[[#This Row],[year]],Table4[[#This Row],[month2]],Table4[[#This Row],[day]])</f>
        <v>46116</v>
      </c>
    </row>
    <row r="537" spans="1:14" ht="16" x14ac:dyDescent="0.35">
      <c r="A537" t="str">
        <f t="shared" si="16"/>
        <v>04</v>
      </c>
      <c r="B537">
        <f>_xlfn.SWITCH(Table4[[#This Row],[month]],"jan",1,"feb",2,"mar",3,"apr",4,"may",5,"jun",6,"jul",7,"aug",8,"sep",9,"oct",10,"nov",11,"dec",12,"no month")</f>
        <v>4</v>
      </c>
      <c r="C537" s="12" t="str">
        <f>LEFT('All Transactions'!$E537,3)</f>
        <v>Apr</v>
      </c>
      <c r="D537" s="12" t="str">
        <f t="shared" si="17"/>
        <v>2026</v>
      </c>
      <c r="E537" s="22" t="s">
        <v>1861</v>
      </c>
      <c r="F537" s="23" t="s">
        <v>1875</v>
      </c>
      <c r="G537" s="18" t="s">
        <v>28</v>
      </c>
      <c r="H537" s="24">
        <v>1500</v>
      </c>
      <c r="I537" s="25" t="s">
        <v>12</v>
      </c>
      <c r="J537" s="25" t="s">
        <v>1876</v>
      </c>
      <c r="K537" s="26" t="s">
        <v>1877</v>
      </c>
      <c r="L537" s="25" t="s">
        <v>32</v>
      </c>
      <c r="M537" t="str">
        <f>TEXT(A537,"dddd")</f>
        <v>Wednesday</v>
      </c>
      <c r="N537" s="35">
        <f>DATE(Table4[[#This Row],[year]],Table4[[#This Row],[month2]],Table4[[#This Row],[day]])</f>
        <v>46116</v>
      </c>
    </row>
    <row r="538" spans="1:14" ht="16" x14ac:dyDescent="0.35">
      <c r="A538" t="str">
        <f t="shared" si="16"/>
        <v>04</v>
      </c>
      <c r="B538">
        <f>_xlfn.SWITCH(Table4[[#This Row],[month]],"jan",1,"feb",2,"mar",3,"apr",4,"may",5,"jun",6,"jul",7,"aug",8,"sep",9,"oct",10,"nov",11,"dec",12,"no month")</f>
        <v>4</v>
      </c>
      <c r="C538" s="12" t="str">
        <f>LEFT('All Transactions'!$E538,3)</f>
        <v>Apr</v>
      </c>
      <c r="D538" s="12" t="str">
        <f t="shared" si="17"/>
        <v>2026</v>
      </c>
      <c r="E538" s="16" t="s">
        <v>1861</v>
      </c>
      <c r="F538" s="17" t="s">
        <v>1878</v>
      </c>
      <c r="G538" s="18" t="s">
        <v>28</v>
      </c>
      <c r="H538" s="19">
        <v>20</v>
      </c>
      <c r="I538" s="20" t="s">
        <v>1879</v>
      </c>
      <c r="J538" s="20" t="s">
        <v>1880</v>
      </c>
      <c r="K538" s="21" t="s">
        <v>1881</v>
      </c>
      <c r="L538" s="20" t="s">
        <v>32</v>
      </c>
      <c r="M538" t="str">
        <f>TEXT(A538,"dddd")</f>
        <v>Wednesday</v>
      </c>
      <c r="N538" s="35">
        <f>DATE(Table4[[#This Row],[year]],Table4[[#This Row],[month2]],Table4[[#This Row],[day]])</f>
        <v>46116</v>
      </c>
    </row>
    <row r="539" spans="1:14" ht="16" x14ac:dyDescent="0.35">
      <c r="A539" t="str">
        <f t="shared" si="16"/>
        <v>04</v>
      </c>
      <c r="B539">
        <f>_xlfn.SWITCH(Table4[[#This Row],[month]],"jan",1,"feb",2,"mar",3,"apr",4,"may",5,"jun",6,"jul",7,"aug",8,"sep",9,"oct",10,"nov",11,"dec",12,"no month")</f>
        <v>4</v>
      </c>
      <c r="C539" s="12" t="str">
        <f>LEFT('All Transactions'!$E539,3)</f>
        <v>Apr</v>
      </c>
      <c r="D539" s="12" t="str">
        <f t="shared" si="17"/>
        <v>2026</v>
      </c>
      <c r="E539" s="22" t="s">
        <v>1861</v>
      </c>
      <c r="F539" s="23" t="s">
        <v>1882</v>
      </c>
      <c r="G539" s="18" t="s">
        <v>28</v>
      </c>
      <c r="H539" s="24">
        <v>20</v>
      </c>
      <c r="I539" s="25" t="s">
        <v>1883</v>
      </c>
      <c r="J539" s="25" t="s">
        <v>1884</v>
      </c>
      <c r="K539" s="26" t="s">
        <v>1885</v>
      </c>
      <c r="L539" s="25" t="s">
        <v>32</v>
      </c>
      <c r="M539" t="str">
        <f>TEXT(A539,"dddd")</f>
        <v>Wednesday</v>
      </c>
      <c r="N539" s="35">
        <f>DATE(Table4[[#This Row],[year]],Table4[[#This Row],[month2]],Table4[[#This Row],[day]])</f>
        <v>46116</v>
      </c>
    </row>
    <row r="540" spans="1:14" ht="16" x14ac:dyDescent="0.35">
      <c r="A540" t="str">
        <f t="shared" si="16"/>
        <v>03</v>
      </c>
      <c r="B540">
        <f>_xlfn.SWITCH(Table4[[#This Row],[month]],"jan",1,"feb",2,"mar",3,"apr",4,"may",5,"jun",6,"jul",7,"aug",8,"sep",9,"oct",10,"nov",11,"dec",12,"no month")</f>
        <v>4</v>
      </c>
      <c r="C540" s="12" t="str">
        <f>LEFT('All Transactions'!$E540,3)</f>
        <v>Apr</v>
      </c>
      <c r="D540" s="12" t="str">
        <f t="shared" si="17"/>
        <v>2026</v>
      </c>
      <c r="E540" s="16" t="s">
        <v>1886</v>
      </c>
      <c r="F540" s="17" t="s">
        <v>1887</v>
      </c>
      <c r="G540" s="18" t="s">
        <v>28</v>
      </c>
      <c r="H540" s="19">
        <v>5000</v>
      </c>
      <c r="I540" s="20" t="s">
        <v>12</v>
      </c>
      <c r="J540" s="20" t="s">
        <v>1888</v>
      </c>
      <c r="K540" s="21" t="s">
        <v>1889</v>
      </c>
      <c r="L540" s="20" t="s">
        <v>47</v>
      </c>
      <c r="M540" t="str">
        <f>TEXT(A540,"dddd")</f>
        <v>Tuesday</v>
      </c>
      <c r="N540" s="35">
        <f>DATE(Table4[[#This Row],[year]],Table4[[#This Row],[month2]],Table4[[#This Row],[day]])</f>
        <v>46115</v>
      </c>
    </row>
    <row r="541" spans="1:14" ht="16" x14ac:dyDescent="0.35">
      <c r="A541" t="str">
        <f t="shared" si="16"/>
        <v>03</v>
      </c>
      <c r="B541">
        <f>_xlfn.SWITCH(Table4[[#This Row],[month]],"jan",1,"feb",2,"mar",3,"apr",4,"may",5,"jun",6,"jul",7,"aug",8,"sep",9,"oct",10,"nov",11,"dec",12,"no month")</f>
        <v>4</v>
      </c>
      <c r="C541" s="12" t="str">
        <f>LEFT('All Transactions'!$E541,3)</f>
        <v>Apr</v>
      </c>
      <c r="D541" s="12" t="str">
        <f t="shared" si="17"/>
        <v>2026</v>
      </c>
      <c r="E541" s="22" t="s">
        <v>1886</v>
      </c>
      <c r="F541" s="23" t="s">
        <v>1890</v>
      </c>
      <c r="G541" s="27" t="s">
        <v>54</v>
      </c>
      <c r="H541" s="24">
        <v>2500</v>
      </c>
      <c r="I541" s="25" t="s">
        <v>156</v>
      </c>
      <c r="J541" s="25" t="s">
        <v>1891</v>
      </c>
      <c r="K541" s="26" t="s">
        <v>1892</v>
      </c>
      <c r="L541" s="25" t="s">
        <v>58</v>
      </c>
      <c r="M541" t="str">
        <f>TEXT(A541,"dddd")</f>
        <v>Tuesday</v>
      </c>
      <c r="N541" s="35">
        <f>DATE(Table4[[#This Row],[year]],Table4[[#This Row],[month2]],Table4[[#This Row],[day]])</f>
        <v>46115</v>
      </c>
    </row>
    <row r="542" spans="1:14" ht="16" x14ac:dyDescent="0.35">
      <c r="A542" t="str">
        <f t="shared" si="16"/>
        <v>03</v>
      </c>
      <c r="B542">
        <f>_xlfn.SWITCH(Table4[[#This Row],[month]],"jan",1,"feb",2,"mar",3,"apr",4,"may",5,"jun",6,"jul",7,"aug",8,"sep",9,"oct",10,"nov",11,"dec",12,"no month")</f>
        <v>4</v>
      </c>
      <c r="C542" s="12" t="str">
        <f>LEFT('All Transactions'!$E542,3)</f>
        <v>Apr</v>
      </c>
      <c r="D542" s="12" t="str">
        <f t="shared" si="17"/>
        <v>2026</v>
      </c>
      <c r="E542" s="16" t="s">
        <v>1886</v>
      </c>
      <c r="F542" s="17" t="s">
        <v>768</v>
      </c>
      <c r="G542" s="18" t="s">
        <v>28</v>
      </c>
      <c r="H542" s="19">
        <v>5000</v>
      </c>
      <c r="I542" s="20" t="s">
        <v>167</v>
      </c>
      <c r="J542" s="20" t="s">
        <v>1893</v>
      </c>
      <c r="K542" s="21" t="s">
        <v>1894</v>
      </c>
      <c r="L542" s="20" t="s">
        <v>32</v>
      </c>
      <c r="M542" t="str">
        <f>TEXT(A542,"dddd")</f>
        <v>Tuesday</v>
      </c>
      <c r="N542" s="35">
        <f>DATE(Table4[[#This Row],[year]],Table4[[#This Row],[month2]],Table4[[#This Row],[day]])</f>
        <v>46115</v>
      </c>
    </row>
    <row r="543" spans="1:14" ht="16" x14ac:dyDescent="0.35">
      <c r="A543" t="str">
        <f t="shared" si="16"/>
        <v>03</v>
      </c>
      <c r="B543">
        <f>_xlfn.SWITCH(Table4[[#This Row],[month]],"jan",1,"feb",2,"mar",3,"apr",4,"may",5,"jun",6,"jul",7,"aug",8,"sep",9,"oct",10,"nov",11,"dec",12,"no month")</f>
        <v>4</v>
      </c>
      <c r="C543" s="12" t="str">
        <f>LEFT('All Transactions'!$E543,3)</f>
        <v>Apr</v>
      </c>
      <c r="D543" s="12" t="str">
        <f t="shared" si="17"/>
        <v>2026</v>
      </c>
      <c r="E543" s="22" t="s">
        <v>1886</v>
      </c>
      <c r="F543" s="23" t="s">
        <v>112</v>
      </c>
      <c r="G543" s="18" t="s">
        <v>28</v>
      </c>
      <c r="H543" s="24">
        <v>61</v>
      </c>
      <c r="I543" s="25" t="s">
        <v>20</v>
      </c>
      <c r="J543" s="25" t="s">
        <v>1895</v>
      </c>
      <c r="K543" s="26" t="s">
        <v>1896</v>
      </c>
      <c r="L543" s="25" t="s">
        <v>47</v>
      </c>
      <c r="M543" t="str">
        <f>TEXT(A543,"dddd")</f>
        <v>Tuesday</v>
      </c>
      <c r="N543" s="35">
        <f>DATE(Table4[[#This Row],[year]],Table4[[#This Row],[month2]],Table4[[#This Row],[day]])</f>
        <v>46115</v>
      </c>
    </row>
    <row r="544" spans="1:14" ht="16" x14ac:dyDescent="0.35">
      <c r="A544" t="str">
        <f t="shared" si="16"/>
        <v>03</v>
      </c>
      <c r="B544">
        <f>_xlfn.SWITCH(Table4[[#This Row],[month]],"jan",1,"feb",2,"mar",3,"apr",4,"may",5,"jun",6,"jul",7,"aug",8,"sep",9,"oct",10,"nov",11,"dec",12,"no month")</f>
        <v>4</v>
      </c>
      <c r="C544" s="12" t="str">
        <f>LEFT('All Transactions'!$E544,3)</f>
        <v>Apr</v>
      </c>
      <c r="D544" s="12" t="str">
        <f t="shared" si="17"/>
        <v>2026</v>
      </c>
      <c r="E544" s="16" t="s">
        <v>1886</v>
      </c>
      <c r="F544" s="17" t="s">
        <v>1629</v>
      </c>
      <c r="G544" s="18" t="s">
        <v>28</v>
      </c>
      <c r="H544" s="19">
        <v>80</v>
      </c>
      <c r="I544" s="20" t="s">
        <v>1612</v>
      </c>
      <c r="J544" s="20" t="s">
        <v>1897</v>
      </c>
      <c r="K544" s="21" t="s">
        <v>1898</v>
      </c>
      <c r="L544" s="20" t="s">
        <v>32</v>
      </c>
      <c r="M544" t="str">
        <f>TEXT(A544,"dddd")</f>
        <v>Tuesday</v>
      </c>
      <c r="N544" s="35">
        <f>DATE(Table4[[#This Row],[year]],Table4[[#This Row],[month2]],Table4[[#This Row],[day]])</f>
        <v>46115</v>
      </c>
    </row>
    <row r="545" spans="1:14" ht="16" x14ac:dyDescent="0.35">
      <c r="A545" t="str">
        <f t="shared" si="16"/>
        <v>03</v>
      </c>
      <c r="B545">
        <f>_xlfn.SWITCH(Table4[[#This Row],[month]],"jan",1,"feb",2,"mar",3,"apr",4,"may",5,"jun",6,"jul",7,"aug",8,"sep",9,"oct",10,"nov",11,"dec",12,"no month")</f>
        <v>4</v>
      </c>
      <c r="C545" s="12" t="str">
        <f>LEFT('All Transactions'!$E545,3)</f>
        <v>Apr</v>
      </c>
      <c r="D545" s="12" t="str">
        <f t="shared" si="17"/>
        <v>2026</v>
      </c>
      <c r="E545" s="22" t="s">
        <v>1886</v>
      </c>
      <c r="F545" s="23" t="s">
        <v>1899</v>
      </c>
      <c r="G545" s="18" t="s">
        <v>28</v>
      </c>
      <c r="H545" s="24">
        <v>50</v>
      </c>
      <c r="I545" s="25" t="s">
        <v>1900</v>
      </c>
      <c r="J545" s="25" t="s">
        <v>1901</v>
      </c>
      <c r="K545" s="26" t="s">
        <v>1902</v>
      </c>
      <c r="L545" s="25" t="s">
        <v>32</v>
      </c>
      <c r="M545" t="str">
        <f>TEXT(A545,"dddd")</f>
        <v>Tuesday</v>
      </c>
      <c r="N545" s="35">
        <f>DATE(Table4[[#This Row],[year]],Table4[[#This Row],[month2]],Table4[[#This Row],[day]])</f>
        <v>46115</v>
      </c>
    </row>
    <row r="546" spans="1:14" ht="16" x14ac:dyDescent="0.35">
      <c r="A546" t="str">
        <f t="shared" si="16"/>
        <v>03</v>
      </c>
      <c r="B546">
        <f>_xlfn.SWITCH(Table4[[#This Row],[month]],"jan",1,"feb",2,"mar",3,"apr",4,"may",5,"jun",6,"jul",7,"aug",8,"sep",9,"oct",10,"nov",11,"dec",12,"no month")</f>
        <v>4</v>
      </c>
      <c r="C546" s="12" t="str">
        <f>LEFT('All Transactions'!$E546,3)</f>
        <v>Apr</v>
      </c>
      <c r="D546" s="12" t="str">
        <f t="shared" si="17"/>
        <v>2026</v>
      </c>
      <c r="E546" s="16" t="s">
        <v>1886</v>
      </c>
      <c r="F546" s="17" t="s">
        <v>1903</v>
      </c>
      <c r="G546" s="18" t="s">
        <v>28</v>
      </c>
      <c r="H546" s="19">
        <v>4597</v>
      </c>
      <c r="I546" s="20" t="s">
        <v>84</v>
      </c>
      <c r="J546" s="20" t="s">
        <v>1904</v>
      </c>
      <c r="K546" s="21" t="s">
        <v>1905</v>
      </c>
      <c r="L546" s="20" t="s">
        <v>32</v>
      </c>
      <c r="M546" t="str">
        <f>TEXT(A546,"dddd")</f>
        <v>Tuesday</v>
      </c>
      <c r="N546" s="35">
        <f>DATE(Table4[[#This Row],[year]],Table4[[#This Row],[month2]],Table4[[#This Row],[day]])</f>
        <v>46115</v>
      </c>
    </row>
    <row r="547" spans="1:14" ht="16" x14ac:dyDescent="0.35">
      <c r="A547" t="str">
        <f t="shared" si="16"/>
        <v>03</v>
      </c>
      <c r="B547">
        <f>_xlfn.SWITCH(Table4[[#This Row],[month]],"jan",1,"feb",2,"mar",3,"apr",4,"may",5,"jun",6,"jul",7,"aug",8,"sep",9,"oct",10,"nov",11,"dec",12,"no month")</f>
        <v>4</v>
      </c>
      <c r="C547" s="12" t="str">
        <f>LEFT('All Transactions'!$E547,3)</f>
        <v>Apr</v>
      </c>
      <c r="D547" s="12" t="str">
        <f t="shared" si="17"/>
        <v>2026</v>
      </c>
      <c r="E547" s="22" t="s">
        <v>1886</v>
      </c>
      <c r="F547" s="23" t="s">
        <v>1906</v>
      </c>
      <c r="G547" s="18" t="s">
        <v>28</v>
      </c>
      <c r="H547" s="24">
        <v>100</v>
      </c>
      <c r="I547" s="25" t="s">
        <v>1907</v>
      </c>
      <c r="J547" s="25" t="s">
        <v>1908</v>
      </c>
      <c r="K547" s="26" t="s">
        <v>1909</v>
      </c>
      <c r="L547" s="25" t="s">
        <v>32</v>
      </c>
      <c r="M547" t="str">
        <f>TEXT(A547,"dddd")</f>
        <v>Tuesday</v>
      </c>
      <c r="N547" s="35">
        <f>DATE(Table4[[#This Row],[year]],Table4[[#This Row],[month2]],Table4[[#This Row],[day]])</f>
        <v>46115</v>
      </c>
    </row>
    <row r="548" spans="1:14" ht="16" x14ac:dyDescent="0.35">
      <c r="A548" t="str">
        <f t="shared" si="16"/>
        <v>02</v>
      </c>
      <c r="B548">
        <f>_xlfn.SWITCH(Table4[[#This Row],[month]],"jan",1,"feb",2,"mar",3,"apr",4,"may",5,"jun",6,"jul",7,"aug",8,"sep",9,"oct",10,"nov",11,"dec",12,"no month")</f>
        <v>4</v>
      </c>
      <c r="C548" s="12" t="str">
        <f>LEFT('All Transactions'!$E548,3)</f>
        <v>Apr</v>
      </c>
      <c r="D548" s="12" t="str">
        <f t="shared" si="17"/>
        <v>2026</v>
      </c>
      <c r="E548" s="16" t="s">
        <v>1910</v>
      </c>
      <c r="F548" s="17" t="s">
        <v>985</v>
      </c>
      <c r="G548" s="18" t="s">
        <v>28</v>
      </c>
      <c r="H548" s="19">
        <v>1500</v>
      </c>
      <c r="I548" s="20" t="s">
        <v>1911</v>
      </c>
      <c r="J548" s="20" t="s">
        <v>1912</v>
      </c>
      <c r="K548" s="21" t="s">
        <v>1913</v>
      </c>
      <c r="L548" s="20" t="s">
        <v>32</v>
      </c>
      <c r="M548" t="str">
        <f>TEXT(A548,"dddd")</f>
        <v>Monday</v>
      </c>
      <c r="N548" s="35">
        <f>DATE(Table4[[#This Row],[year]],Table4[[#This Row],[month2]],Table4[[#This Row],[day]])</f>
        <v>46114</v>
      </c>
    </row>
    <row r="549" spans="1:14" ht="16" x14ac:dyDescent="0.35">
      <c r="A549" t="str">
        <f t="shared" si="16"/>
        <v>02</v>
      </c>
      <c r="B549">
        <f>_xlfn.SWITCH(Table4[[#This Row],[month]],"jan",1,"feb",2,"mar",3,"apr",4,"may",5,"jun",6,"jul",7,"aug",8,"sep",9,"oct",10,"nov",11,"dec",12,"no month")</f>
        <v>4</v>
      </c>
      <c r="C549" s="12" t="str">
        <f>LEFT('All Transactions'!$E549,3)</f>
        <v>Apr</v>
      </c>
      <c r="D549" s="12" t="str">
        <f t="shared" si="17"/>
        <v>2026</v>
      </c>
      <c r="E549" s="22" t="s">
        <v>1910</v>
      </c>
      <c r="F549" s="23" t="s">
        <v>1914</v>
      </c>
      <c r="G549" s="18" t="s">
        <v>28</v>
      </c>
      <c r="H549" s="24">
        <v>40</v>
      </c>
      <c r="I549" s="25" t="s">
        <v>1907</v>
      </c>
      <c r="J549" s="25" t="s">
        <v>1915</v>
      </c>
      <c r="K549" s="26" t="s">
        <v>1916</v>
      </c>
      <c r="L549" s="25" t="s">
        <v>32</v>
      </c>
      <c r="M549" t="str">
        <f>TEXT(A549,"dddd")</f>
        <v>Monday</v>
      </c>
      <c r="N549" s="35">
        <f>DATE(Table4[[#This Row],[year]],Table4[[#This Row],[month2]],Table4[[#This Row],[day]])</f>
        <v>46114</v>
      </c>
    </row>
    <row r="550" spans="1:14" ht="16" x14ac:dyDescent="0.35">
      <c r="A550" t="str">
        <f t="shared" si="16"/>
        <v>02</v>
      </c>
      <c r="B550">
        <f>_xlfn.SWITCH(Table4[[#This Row],[month]],"jan",1,"feb",2,"mar",3,"apr",4,"may",5,"jun",6,"jul",7,"aug",8,"sep",9,"oct",10,"nov",11,"dec",12,"no month")</f>
        <v>4</v>
      </c>
      <c r="C550" s="12" t="str">
        <f>LEFT('All Transactions'!$E550,3)</f>
        <v>Apr</v>
      </c>
      <c r="D550" s="12" t="str">
        <f t="shared" si="17"/>
        <v>2026</v>
      </c>
      <c r="E550" s="16" t="s">
        <v>1910</v>
      </c>
      <c r="F550" s="17" t="s">
        <v>1917</v>
      </c>
      <c r="G550" s="18" t="s">
        <v>28</v>
      </c>
      <c r="H550" s="19">
        <v>4800</v>
      </c>
      <c r="I550" s="20" t="s">
        <v>20</v>
      </c>
      <c r="J550" s="20" t="s">
        <v>1918</v>
      </c>
      <c r="K550" s="21" t="s">
        <v>1919</v>
      </c>
      <c r="L550" s="20" t="s">
        <v>47</v>
      </c>
      <c r="M550" t="str">
        <f>TEXT(A550,"dddd")</f>
        <v>Monday</v>
      </c>
      <c r="N550" s="35">
        <f>DATE(Table4[[#This Row],[year]],Table4[[#This Row],[month2]],Table4[[#This Row],[day]])</f>
        <v>46114</v>
      </c>
    </row>
    <row r="551" spans="1:14" ht="16" x14ac:dyDescent="0.35">
      <c r="A551" t="str">
        <f t="shared" si="16"/>
        <v>02</v>
      </c>
      <c r="B551">
        <f>_xlfn.SWITCH(Table4[[#This Row],[month]],"jan",1,"feb",2,"mar",3,"apr",4,"may",5,"jun",6,"jul",7,"aug",8,"sep",9,"oct",10,"nov",11,"dec",12,"no month")</f>
        <v>4</v>
      </c>
      <c r="C551" s="12" t="str">
        <f>LEFT('All Transactions'!$E551,3)</f>
        <v>Apr</v>
      </c>
      <c r="D551" s="12" t="str">
        <f t="shared" si="17"/>
        <v>2026</v>
      </c>
      <c r="E551" s="22" t="s">
        <v>1910</v>
      </c>
      <c r="F551" s="23" t="s">
        <v>1917</v>
      </c>
      <c r="G551" s="18" t="s">
        <v>28</v>
      </c>
      <c r="H551" s="24">
        <v>4800</v>
      </c>
      <c r="I551" s="25" t="s">
        <v>12</v>
      </c>
      <c r="J551" s="25" t="s">
        <v>1920</v>
      </c>
      <c r="K551" s="26" t="s">
        <v>1921</v>
      </c>
      <c r="L551" s="25" t="s">
        <v>32</v>
      </c>
      <c r="M551" t="str">
        <f>TEXT(A551,"dddd")</f>
        <v>Monday</v>
      </c>
      <c r="N551" s="35">
        <f>DATE(Table4[[#This Row],[year]],Table4[[#This Row],[month2]],Table4[[#This Row],[day]])</f>
        <v>46114</v>
      </c>
    </row>
    <row r="552" spans="1:14" ht="16" x14ac:dyDescent="0.35">
      <c r="A552" t="str">
        <f t="shared" si="16"/>
        <v>02</v>
      </c>
      <c r="B552">
        <f>_xlfn.SWITCH(Table4[[#This Row],[month]],"jan",1,"feb",2,"mar",3,"apr",4,"may",5,"jun",6,"jul",7,"aug",8,"sep",9,"oct",10,"nov",11,"dec",12,"no month")</f>
        <v>4</v>
      </c>
      <c r="C552" s="12" t="str">
        <f>LEFT('All Transactions'!$E552,3)</f>
        <v>Apr</v>
      </c>
      <c r="D552" s="12" t="str">
        <f t="shared" si="17"/>
        <v>2026</v>
      </c>
      <c r="E552" s="16" t="s">
        <v>1910</v>
      </c>
      <c r="F552" s="17" t="s">
        <v>1221</v>
      </c>
      <c r="G552" s="27" t="s">
        <v>54</v>
      </c>
      <c r="H552" s="19">
        <v>52</v>
      </c>
      <c r="I552" s="20" t="s">
        <v>1922</v>
      </c>
      <c r="J552" s="20" t="s">
        <v>1923</v>
      </c>
      <c r="K552" s="21" t="s">
        <v>1924</v>
      </c>
      <c r="L552" s="20" t="s">
        <v>58</v>
      </c>
      <c r="M552" t="str">
        <f>TEXT(A552,"dddd")</f>
        <v>Monday</v>
      </c>
      <c r="N552" s="35">
        <f>DATE(Table4[[#This Row],[year]],Table4[[#This Row],[month2]],Table4[[#This Row],[day]])</f>
        <v>46114</v>
      </c>
    </row>
    <row r="553" spans="1:14" ht="16" x14ac:dyDescent="0.35">
      <c r="A553" t="str">
        <f t="shared" si="16"/>
        <v>02</v>
      </c>
      <c r="B553">
        <f>_xlfn.SWITCH(Table4[[#This Row],[month]],"jan",1,"feb",2,"mar",3,"apr",4,"may",5,"jun",6,"jul",7,"aug",8,"sep",9,"oct",10,"nov",11,"dec",12,"no month")</f>
        <v>4</v>
      </c>
      <c r="C553" s="12" t="str">
        <f>LEFT('All Transactions'!$E553,3)</f>
        <v>Apr</v>
      </c>
      <c r="D553" s="12" t="str">
        <f t="shared" si="17"/>
        <v>2026</v>
      </c>
      <c r="E553" s="22" t="s">
        <v>1910</v>
      </c>
      <c r="F553" s="23" t="s">
        <v>1925</v>
      </c>
      <c r="G553" s="18" t="s">
        <v>28</v>
      </c>
      <c r="H553" s="24">
        <v>30</v>
      </c>
      <c r="I553" s="25" t="s">
        <v>800</v>
      </c>
      <c r="J553" s="25" t="s">
        <v>1926</v>
      </c>
      <c r="K553" s="26" t="s">
        <v>1927</v>
      </c>
      <c r="L553" s="25" t="s">
        <v>32</v>
      </c>
      <c r="M553" t="str">
        <f>TEXT(A553,"dddd")</f>
        <v>Monday</v>
      </c>
      <c r="N553" s="35">
        <f>DATE(Table4[[#This Row],[year]],Table4[[#This Row],[month2]],Table4[[#This Row],[day]])</f>
        <v>46114</v>
      </c>
    </row>
    <row r="554" spans="1:14" ht="16" x14ac:dyDescent="0.35">
      <c r="A554" t="str">
        <f t="shared" si="16"/>
        <v>02</v>
      </c>
      <c r="B554">
        <f>_xlfn.SWITCH(Table4[[#This Row],[month]],"jan",1,"feb",2,"mar",3,"apr",4,"may",5,"jun",6,"jul",7,"aug",8,"sep",9,"oct",10,"nov",11,"dec",12,"no month")</f>
        <v>4</v>
      </c>
      <c r="C554" s="12" t="str">
        <f>LEFT('All Transactions'!$E554,3)</f>
        <v>Apr</v>
      </c>
      <c r="D554" s="12" t="str">
        <f t="shared" si="17"/>
        <v>2026</v>
      </c>
      <c r="E554" s="16" t="s">
        <v>1910</v>
      </c>
      <c r="F554" s="17" t="s">
        <v>1928</v>
      </c>
      <c r="G554" s="27" t="s">
        <v>54</v>
      </c>
      <c r="H554" s="19">
        <v>9300</v>
      </c>
      <c r="I554" s="20" t="s">
        <v>143</v>
      </c>
      <c r="J554" s="20" t="s">
        <v>1929</v>
      </c>
      <c r="K554" s="21" t="s">
        <v>1930</v>
      </c>
      <c r="L554" s="20" t="s">
        <v>58</v>
      </c>
      <c r="M554" t="str">
        <f>TEXT(A554,"dddd")</f>
        <v>Monday</v>
      </c>
      <c r="N554" s="35">
        <f>DATE(Table4[[#This Row],[year]],Table4[[#This Row],[month2]],Table4[[#This Row],[day]])</f>
        <v>46114</v>
      </c>
    </row>
    <row r="555" spans="1:14" ht="16" x14ac:dyDescent="0.35">
      <c r="A555" t="str">
        <f t="shared" si="16"/>
        <v>02</v>
      </c>
      <c r="B555">
        <f>_xlfn.SWITCH(Table4[[#This Row],[month]],"jan",1,"feb",2,"mar",3,"apr",4,"may",5,"jun",6,"jul",7,"aug",8,"sep",9,"oct",10,"nov",11,"dec",12,"no month")</f>
        <v>4</v>
      </c>
      <c r="C555" s="12" t="str">
        <f>LEFT('All Transactions'!$E555,3)</f>
        <v>Apr</v>
      </c>
      <c r="D555" s="12" t="str">
        <f t="shared" si="17"/>
        <v>2026</v>
      </c>
      <c r="E555" s="22" t="s">
        <v>1910</v>
      </c>
      <c r="F555" s="23" t="s">
        <v>1931</v>
      </c>
      <c r="G555" s="18" t="s">
        <v>28</v>
      </c>
      <c r="H555" s="24">
        <v>5000</v>
      </c>
      <c r="I555" s="25" t="s">
        <v>12</v>
      </c>
      <c r="J555" s="25" t="s">
        <v>1932</v>
      </c>
      <c r="K555" s="26" t="s">
        <v>1933</v>
      </c>
      <c r="L555" s="25" t="s">
        <v>47</v>
      </c>
      <c r="M555" t="str">
        <f>TEXT(A555,"dddd")</f>
        <v>Monday</v>
      </c>
      <c r="N555" s="35">
        <f>DATE(Table4[[#This Row],[year]],Table4[[#This Row],[month2]],Table4[[#This Row],[day]])</f>
        <v>46114</v>
      </c>
    </row>
    <row r="556" spans="1:14" ht="16" x14ac:dyDescent="0.35">
      <c r="A556" t="str">
        <f t="shared" si="16"/>
        <v>02</v>
      </c>
      <c r="B556">
        <f>_xlfn.SWITCH(Table4[[#This Row],[month]],"jan",1,"feb",2,"mar",3,"apr",4,"may",5,"jun",6,"jul",7,"aug",8,"sep",9,"oct",10,"nov",11,"dec",12,"no month")</f>
        <v>4</v>
      </c>
      <c r="C556" s="12" t="str">
        <f>LEFT('All Transactions'!$E556,3)</f>
        <v>Apr</v>
      </c>
      <c r="D556" s="12" t="str">
        <f t="shared" si="17"/>
        <v>2026</v>
      </c>
      <c r="E556" s="16" t="s">
        <v>1910</v>
      </c>
      <c r="F556" s="17" t="s">
        <v>1934</v>
      </c>
      <c r="G556" s="18" t="s">
        <v>28</v>
      </c>
      <c r="H556" s="19">
        <v>30</v>
      </c>
      <c r="I556" s="20" t="s">
        <v>1935</v>
      </c>
      <c r="J556" s="20" t="s">
        <v>1936</v>
      </c>
      <c r="K556" s="21" t="s">
        <v>1937</v>
      </c>
      <c r="L556" s="20" t="s">
        <v>32</v>
      </c>
      <c r="M556" t="str">
        <f>TEXT(A556,"dddd")</f>
        <v>Monday</v>
      </c>
      <c r="N556" s="35">
        <f>DATE(Table4[[#This Row],[year]],Table4[[#This Row],[month2]],Table4[[#This Row],[day]])</f>
        <v>46114</v>
      </c>
    </row>
    <row r="557" spans="1:14" ht="16" x14ac:dyDescent="0.35">
      <c r="A557" t="str">
        <f t="shared" si="16"/>
        <v>02</v>
      </c>
      <c r="B557">
        <f>_xlfn.SWITCH(Table4[[#This Row],[month]],"jan",1,"feb",2,"mar",3,"apr",4,"may",5,"jun",6,"jul",7,"aug",8,"sep",9,"oct",10,"nov",11,"dec",12,"no month")</f>
        <v>4</v>
      </c>
      <c r="C557" s="12" t="str">
        <f>LEFT('All Transactions'!$E557,3)</f>
        <v>Apr</v>
      </c>
      <c r="D557" s="12" t="str">
        <f t="shared" si="17"/>
        <v>2026</v>
      </c>
      <c r="E557" s="22" t="s">
        <v>1910</v>
      </c>
      <c r="F557" s="23" t="s">
        <v>1611</v>
      </c>
      <c r="G557" s="27" t="s">
        <v>54</v>
      </c>
      <c r="H557" s="24">
        <v>700</v>
      </c>
      <c r="I557" s="25" t="s">
        <v>156</v>
      </c>
      <c r="J557" s="25" t="s">
        <v>1938</v>
      </c>
      <c r="K557" s="26" t="s">
        <v>1939</v>
      </c>
      <c r="L557" s="25" t="s">
        <v>58</v>
      </c>
      <c r="M557" t="str">
        <f>TEXT(A557,"dddd")</f>
        <v>Monday</v>
      </c>
      <c r="N557" s="35">
        <f>DATE(Table4[[#This Row],[year]],Table4[[#This Row],[month2]],Table4[[#This Row],[day]])</f>
        <v>46114</v>
      </c>
    </row>
    <row r="558" spans="1:14" ht="16" x14ac:dyDescent="0.35">
      <c r="A558" t="str">
        <f t="shared" si="16"/>
        <v>02</v>
      </c>
      <c r="B558">
        <f>_xlfn.SWITCH(Table4[[#This Row],[month]],"jan",1,"feb",2,"mar",3,"apr",4,"may",5,"jun",6,"jul",7,"aug",8,"sep",9,"oct",10,"nov",11,"dec",12,"no month")</f>
        <v>4</v>
      </c>
      <c r="C558" s="12" t="str">
        <f>LEFT('All Transactions'!$E558,3)</f>
        <v>Apr</v>
      </c>
      <c r="D558" s="12" t="str">
        <f t="shared" si="17"/>
        <v>2026</v>
      </c>
      <c r="E558" s="16" t="s">
        <v>1910</v>
      </c>
      <c r="F558" s="17" t="s">
        <v>1940</v>
      </c>
      <c r="G558" s="18" t="s">
        <v>28</v>
      </c>
      <c r="H558" s="19">
        <v>1620</v>
      </c>
      <c r="I558" s="20" t="s">
        <v>487</v>
      </c>
      <c r="J558" s="20" t="s">
        <v>1941</v>
      </c>
      <c r="K558" s="21" t="s">
        <v>1942</v>
      </c>
      <c r="L558" s="20" t="s">
        <v>32</v>
      </c>
      <c r="M558" t="str">
        <f>TEXT(A558,"dddd")</f>
        <v>Monday</v>
      </c>
      <c r="N558" s="35">
        <f>DATE(Table4[[#This Row],[year]],Table4[[#This Row],[month2]],Table4[[#This Row],[day]])</f>
        <v>46114</v>
      </c>
    </row>
    <row r="559" spans="1:14" ht="16" x14ac:dyDescent="0.35">
      <c r="A559" t="str">
        <f t="shared" si="16"/>
        <v>02</v>
      </c>
      <c r="B559">
        <f>_xlfn.SWITCH(Table4[[#This Row],[month]],"jan",1,"feb",2,"mar",3,"apr",4,"may",5,"jun",6,"jul",7,"aug",8,"sep",9,"oct",10,"nov",11,"dec",12,"no month")</f>
        <v>4</v>
      </c>
      <c r="C559" s="12" t="str">
        <f>LEFT('All Transactions'!$E559,3)</f>
        <v>Apr</v>
      </c>
      <c r="D559" s="12" t="str">
        <f t="shared" si="17"/>
        <v>2026</v>
      </c>
      <c r="E559" s="22" t="s">
        <v>1910</v>
      </c>
      <c r="F559" s="23" t="s">
        <v>1943</v>
      </c>
      <c r="G559" s="18" t="s">
        <v>28</v>
      </c>
      <c r="H559" s="24">
        <v>40</v>
      </c>
      <c r="I559" s="25" t="s">
        <v>1944</v>
      </c>
      <c r="J559" s="25" t="s">
        <v>1945</v>
      </c>
      <c r="K559" s="26" t="s">
        <v>1946</v>
      </c>
      <c r="L559" s="25" t="s">
        <v>32</v>
      </c>
      <c r="M559" t="str">
        <f>TEXT(A559,"dddd")</f>
        <v>Monday</v>
      </c>
      <c r="N559" s="35">
        <f>DATE(Table4[[#This Row],[year]],Table4[[#This Row],[month2]],Table4[[#This Row],[day]])</f>
        <v>46114</v>
      </c>
    </row>
    <row r="560" spans="1:14" ht="16" x14ac:dyDescent="0.35">
      <c r="A560" t="str">
        <f t="shared" si="16"/>
        <v>02</v>
      </c>
      <c r="B560">
        <f>_xlfn.SWITCH(Table4[[#This Row],[month]],"jan",1,"feb",2,"mar",3,"apr",4,"may",5,"jun",6,"jul",7,"aug",8,"sep",9,"oct",10,"nov",11,"dec",12,"no month")</f>
        <v>4</v>
      </c>
      <c r="C560" s="12" t="str">
        <f>LEFT('All Transactions'!$E560,3)</f>
        <v>Apr</v>
      </c>
      <c r="D560" s="12" t="str">
        <f t="shared" si="17"/>
        <v>2026</v>
      </c>
      <c r="E560" s="16" t="s">
        <v>1910</v>
      </c>
      <c r="F560" s="17" t="s">
        <v>1947</v>
      </c>
      <c r="G560" s="27" t="s">
        <v>54</v>
      </c>
      <c r="H560" s="19">
        <v>90</v>
      </c>
      <c r="I560" s="20" t="s">
        <v>1948</v>
      </c>
      <c r="J560" s="20" t="s">
        <v>1949</v>
      </c>
      <c r="K560" s="21" t="s">
        <v>1950</v>
      </c>
      <c r="L560" s="20" t="s">
        <v>58</v>
      </c>
      <c r="M560" t="str">
        <f>TEXT(A560,"dddd")</f>
        <v>Monday</v>
      </c>
      <c r="N560" s="35">
        <f>DATE(Table4[[#This Row],[year]],Table4[[#This Row],[month2]],Table4[[#This Row],[day]])</f>
        <v>46114</v>
      </c>
    </row>
    <row r="561" spans="1:14" ht="16" x14ac:dyDescent="0.35">
      <c r="A561" t="str">
        <f t="shared" si="16"/>
        <v>02</v>
      </c>
      <c r="B561">
        <f>_xlfn.SWITCH(Table4[[#This Row],[month]],"jan",1,"feb",2,"mar",3,"apr",4,"may",5,"jun",6,"jul",7,"aug",8,"sep",9,"oct",10,"nov",11,"dec",12,"no month")</f>
        <v>4</v>
      </c>
      <c r="C561" s="12" t="str">
        <f>LEFT('All Transactions'!$E561,3)</f>
        <v>Apr</v>
      </c>
      <c r="D561" s="12" t="str">
        <f t="shared" si="17"/>
        <v>2026</v>
      </c>
      <c r="E561" s="22" t="s">
        <v>1910</v>
      </c>
      <c r="F561" s="23" t="s">
        <v>445</v>
      </c>
      <c r="G561" s="27" t="s">
        <v>54</v>
      </c>
      <c r="H561" s="24">
        <v>45</v>
      </c>
      <c r="I561" s="25" t="s">
        <v>1951</v>
      </c>
      <c r="J561" s="25" t="s">
        <v>1952</v>
      </c>
      <c r="K561" s="26" t="s">
        <v>1953</v>
      </c>
      <c r="L561" s="25" t="s">
        <v>58</v>
      </c>
      <c r="M561" t="str">
        <f>TEXT(A561,"dddd")</f>
        <v>Monday</v>
      </c>
      <c r="N561" s="35">
        <f>DATE(Table4[[#This Row],[year]],Table4[[#This Row],[month2]],Table4[[#This Row],[day]])</f>
        <v>46114</v>
      </c>
    </row>
    <row r="562" spans="1:14" ht="16" x14ac:dyDescent="0.35">
      <c r="A562" t="str">
        <f t="shared" si="16"/>
        <v>02</v>
      </c>
      <c r="B562">
        <f>_xlfn.SWITCH(Table4[[#This Row],[month]],"jan",1,"feb",2,"mar",3,"apr",4,"may",5,"jun",6,"jul",7,"aug",8,"sep",9,"oct",10,"nov",11,"dec",12,"no month")</f>
        <v>4</v>
      </c>
      <c r="C562" s="12" t="str">
        <f>LEFT('All Transactions'!$E562,3)</f>
        <v>Apr</v>
      </c>
      <c r="D562" s="12" t="str">
        <f t="shared" si="17"/>
        <v>2026</v>
      </c>
      <c r="E562" s="16" t="s">
        <v>1910</v>
      </c>
      <c r="F562" s="17" t="s">
        <v>1954</v>
      </c>
      <c r="G562" s="18" t="s">
        <v>28</v>
      </c>
      <c r="H562" s="19">
        <v>120</v>
      </c>
      <c r="I562" s="20" t="s">
        <v>1404</v>
      </c>
      <c r="J562" s="20" t="s">
        <v>1955</v>
      </c>
      <c r="K562" s="21" t="s">
        <v>1956</v>
      </c>
      <c r="L562" s="20" t="s">
        <v>32</v>
      </c>
      <c r="M562" t="str">
        <f>TEXT(A562,"dddd")</f>
        <v>Monday</v>
      </c>
      <c r="N562" s="35">
        <f>DATE(Table4[[#This Row],[year]],Table4[[#This Row],[month2]],Table4[[#This Row],[day]])</f>
        <v>46114</v>
      </c>
    </row>
    <row r="563" spans="1:14" ht="16" x14ac:dyDescent="0.35">
      <c r="A563" t="str">
        <f t="shared" si="16"/>
        <v>02</v>
      </c>
      <c r="B563">
        <f>_xlfn.SWITCH(Table4[[#This Row],[month]],"jan",1,"feb",2,"mar",3,"apr",4,"may",5,"jun",6,"jul",7,"aug",8,"sep",9,"oct",10,"nov",11,"dec",12,"no month")</f>
        <v>4</v>
      </c>
      <c r="C563" s="12" t="str">
        <f>LEFT('All Transactions'!$E563,3)</f>
        <v>Apr</v>
      </c>
      <c r="D563" s="12" t="str">
        <f t="shared" si="17"/>
        <v>2026</v>
      </c>
      <c r="E563" s="22" t="s">
        <v>1910</v>
      </c>
      <c r="F563" s="23" t="s">
        <v>1957</v>
      </c>
      <c r="G563" s="27" t="s">
        <v>54</v>
      </c>
      <c r="H563" s="24">
        <v>100</v>
      </c>
      <c r="I563" s="25" t="s">
        <v>1958</v>
      </c>
      <c r="J563" s="25" t="s">
        <v>1959</v>
      </c>
      <c r="K563" s="26" t="s">
        <v>1960</v>
      </c>
      <c r="L563" s="25" t="s">
        <v>58</v>
      </c>
      <c r="M563" t="str">
        <f>TEXT(A563,"dddd")</f>
        <v>Monday</v>
      </c>
      <c r="N563" s="35">
        <f>DATE(Table4[[#This Row],[year]],Table4[[#This Row],[month2]],Table4[[#This Row],[day]])</f>
        <v>46114</v>
      </c>
    </row>
    <row r="564" spans="1:14" ht="16" x14ac:dyDescent="0.35">
      <c r="A564" t="str">
        <f t="shared" si="16"/>
        <v>02</v>
      </c>
      <c r="B564">
        <f>_xlfn.SWITCH(Table4[[#This Row],[month]],"jan",1,"feb",2,"mar",3,"apr",4,"may",5,"jun",6,"jul",7,"aug",8,"sep",9,"oct",10,"nov",11,"dec",12,"no month")</f>
        <v>4</v>
      </c>
      <c r="C564" s="12" t="str">
        <f>LEFT('All Transactions'!$E564,3)</f>
        <v>Apr</v>
      </c>
      <c r="D564" s="12" t="str">
        <f t="shared" si="17"/>
        <v>2026</v>
      </c>
      <c r="E564" s="16" t="s">
        <v>1910</v>
      </c>
      <c r="F564" s="17" t="s">
        <v>1961</v>
      </c>
      <c r="G564" s="18" t="s">
        <v>28</v>
      </c>
      <c r="H564" s="19">
        <v>40</v>
      </c>
      <c r="I564" s="20" t="s">
        <v>1907</v>
      </c>
      <c r="J564" s="20" t="s">
        <v>1962</v>
      </c>
      <c r="K564" s="21" t="s">
        <v>1963</v>
      </c>
      <c r="L564" s="20" t="s">
        <v>32</v>
      </c>
      <c r="M564" t="str">
        <f>TEXT(A564,"dddd")</f>
        <v>Monday</v>
      </c>
      <c r="N564" s="35">
        <f>DATE(Table4[[#This Row],[year]],Table4[[#This Row],[month2]],Table4[[#This Row],[day]])</f>
        <v>46114</v>
      </c>
    </row>
    <row r="565" spans="1:14" ht="16" x14ac:dyDescent="0.35">
      <c r="A565" t="str">
        <f t="shared" si="16"/>
        <v>02</v>
      </c>
      <c r="B565">
        <f>_xlfn.SWITCH(Table4[[#This Row],[month]],"jan",1,"feb",2,"mar",3,"apr",4,"may",5,"jun",6,"jul",7,"aug",8,"sep",9,"oct",10,"nov",11,"dec",12,"no month")</f>
        <v>4</v>
      </c>
      <c r="C565" s="12" t="str">
        <f>LEFT('All Transactions'!$E565,3)</f>
        <v>Apr</v>
      </c>
      <c r="D565" s="12" t="str">
        <f t="shared" si="17"/>
        <v>2026</v>
      </c>
      <c r="E565" s="22" t="s">
        <v>1910</v>
      </c>
      <c r="F565" s="23" t="s">
        <v>1268</v>
      </c>
      <c r="G565" s="27" t="s">
        <v>54</v>
      </c>
      <c r="H565" s="24">
        <v>540</v>
      </c>
      <c r="I565" s="25" t="s">
        <v>1964</v>
      </c>
      <c r="J565" s="25" t="s">
        <v>1965</v>
      </c>
      <c r="K565" s="26" t="s">
        <v>1966</v>
      </c>
      <c r="L565" s="25" t="s">
        <v>58</v>
      </c>
      <c r="M565" t="str">
        <f>TEXT(A565,"dddd")</f>
        <v>Monday</v>
      </c>
      <c r="N565" s="35">
        <f>DATE(Table4[[#This Row],[year]],Table4[[#This Row],[month2]],Table4[[#This Row],[day]])</f>
        <v>46114</v>
      </c>
    </row>
    <row r="566" spans="1:14" ht="16" x14ac:dyDescent="0.35">
      <c r="A566" t="str">
        <f t="shared" si="16"/>
        <v>02</v>
      </c>
      <c r="B566">
        <f>_xlfn.SWITCH(Table4[[#This Row],[month]],"jan",1,"feb",2,"mar",3,"apr",4,"may",5,"jun",6,"jul",7,"aug",8,"sep",9,"oct",10,"nov",11,"dec",12,"no month")</f>
        <v>4</v>
      </c>
      <c r="C566" s="12" t="str">
        <f>LEFT('All Transactions'!$E566,3)</f>
        <v>Apr</v>
      </c>
      <c r="D566" s="12" t="str">
        <f t="shared" si="17"/>
        <v>2026</v>
      </c>
      <c r="E566" s="16" t="s">
        <v>1910</v>
      </c>
      <c r="F566" s="17" t="s">
        <v>1967</v>
      </c>
      <c r="G566" s="27" t="s">
        <v>54</v>
      </c>
      <c r="H566" s="19">
        <v>540</v>
      </c>
      <c r="I566" s="20" t="s">
        <v>1958</v>
      </c>
      <c r="J566" s="20" t="s">
        <v>1968</v>
      </c>
      <c r="K566" s="21" t="s">
        <v>1969</v>
      </c>
      <c r="L566" s="20" t="s">
        <v>58</v>
      </c>
      <c r="M566" t="str">
        <f>TEXT(A566,"dddd")</f>
        <v>Monday</v>
      </c>
      <c r="N566" s="35">
        <f>DATE(Table4[[#This Row],[year]],Table4[[#This Row],[month2]],Table4[[#This Row],[day]])</f>
        <v>46114</v>
      </c>
    </row>
    <row r="567" spans="1:14" ht="16" x14ac:dyDescent="0.35">
      <c r="A567" t="str">
        <f t="shared" si="16"/>
        <v>01</v>
      </c>
      <c r="B567">
        <f>_xlfn.SWITCH(Table4[[#This Row],[month]],"jan",1,"feb",2,"mar",3,"apr",4,"may",5,"jun",6,"jul",7,"aug",8,"sep",9,"oct",10,"nov",11,"dec",12,"no month")</f>
        <v>4</v>
      </c>
      <c r="C567" s="12" t="str">
        <f>LEFT('All Transactions'!$E567,3)</f>
        <v>Apr</v>
      </c>
      <c r="D567" s="12" t="str">
        <f t="shared" si="17"/>
        <v>2026</v>
      </c>
      <c r="E567" s="22" t="s">
        <v>1970</v>
      </c>
      <c r="F567" s="23" t="s">
        <v>1213</v>
      </c>
      <c r="G567" s="18" t="s">
        <v>28</v>
      </c>
      <c r="H567" s="24">
        <v>40</v>
      </c>
      <c r="I567" s="25" t="s">
        <v>1827</v>
      </c>
      <c r="J567" s="25" t="s">
        <v>1971</v>
      </c>
      <c r="K567" s="26" t="s">
        <v>1972</v>
      </c>
      <c r="L567" s="25" t="s">
        <v>32</v>
      </c>
      <c r="M567" t="str">
        <f>TEXT(A567,"dddd")</f>
        <v>Sunday</v>
      </c>
      <c r="N567" s="35">
        <f>DATE(Table4[[#This Row],[year]],Table4[[#This Row],[month2]],Table4[[#This Row],[day]])</f>
        <v>46113</v>
      </c>
    </row>
    <row r="568" spans="1:14" ht="16" x14ac:dyDescent="0.35">
      <c r="A568" t="str">
        <f t="shared" si="16"/>
        <v>01</v>
      </c>
      <c r="B568">
        <f>_xlfn.SWITCH(Table4[[#This Row],[month]],"jan",1,"feb",2,"mar",3,"apr",4,"may",5,"jun",6,"jul",7,"aug",8,"sep",9,"oct",10,"nov",11,"dec",12,"no month")</f>
        <v>4</v>
      </c>
      <c r="C568" s="12" t="str">
        <f>LEFT('All Transactions'!$E568,3)</f>
        <v>Apr</v>
      </c>
      <c r="D568" s="12" t="str">
        <f t="shared" si="17"/>
        <v>2026</v>
      </c>
      <c r="E568" s="16" t="s">
        <v>1970</v>
      </c>
      <c r="F568" s="17" t="s">
        <v>108</v>
      </c>
      <c r="G568" s="18" t="s">
        <v>28</v>
      </c>
      <c r="H568" s="19">
        <v>130</v>
      </c>
      <c r="I568" s="20" t="s">
        <v>1582</v>
      </c>
      <c r="J568" s="20" t="s">
        <v>1973</v>
      </c>
      <c r="K568" s="21" t="s">
        <v>1974</v>
      </c>
      <c r="L568" s="20" t="s">
        <v>32</v>
      </c>
      <c r="M568" t="str">
        <f>TEXT(A568,"dddd")</f>
        <v>Sunday</v>
      </c>
      <c r="N568" s="35">
        <f>DATE(Table4[[#This Row],[year]],Table4[[#This Row],[month2]],Table4[[#This Row],[day]])</f>
        <v>46113</v>
      </c>
    </row>
    <row r="569" spans="1:14" ht="16" x14ac:dyDescent="0.35">
      <c r="A569" t="str">
        <f t="shared" si="16"/>
        <v>01</v>
      </c>
      <c r="B569">
        <f>_xlfn.SWITCH(Table4[[#This Row],[month]],"jan",1,"feb",2,"mar",3,"apr",4,"may",5,"jun",6,"jul",7,"aug",8,"sep",9,"oct",10,"nov",11,"dec",12,"no month")</f>
        <v>4</v>
      </c>
      <c r="C569" s="12" t="str">
        <f>LEFT('All Transactions'!$E569,3)</f>
        <v>Apr</v>
      </c>
      <c r="D569" s="12" t="str">
        <f t="shared" si="17"/>
        <v>2026</v>
      </c>
      <c r="E569" s="22" t="s">
        <v>1970</v>
      </c>
      <c r="F569" s="23" t="s">
        <v>1095</v>
      </c>
      <c r="G569" s="18" t="s">
        <v>28</v>
      </c>
      <c r="H569" s="24">
        <v>24.9</v>
      </c>
      <c r="I569" s="25" t="s">
        <v>359</v>
      </c>
      <c r="J569" s="25" t="s">
        <v>1975</v>
      </c>
      <c r="K569" s="26" t="s">
        <v>1976</v>
      </c>
      <c r="L569" s="25" t="s">
        <v>47</v>
      </c>
      <c r="M569" t="str">
        <f>TEXT(A569,"dddd")</f>
        <v>Sunday</v>
      </c>
      <c r="N569" s="35">
        <f>DATE(Table4[[#This Row],[year]],Table4[[#This Row],[month2]],Table4[[#This Row],[day]])</f>
        <v>46113</v>
      </c>
    </row>
    <row r="570" spans="1:14" ht="16" x14ac:dyDescent="0.35">
      <c r="A570" t="str">
        <f t="shared" si="16"/>
        <v>01</v>
      </c>
      <c r="B570">
        <f>_xlfn.SWITCH(Table4[[#This Row],[month]],"jan",1,"feb",2,"mar",3,"apr",4,"may",5,"jun",6,"jul",7,"aug",8,"sep",9,"oct",10,"nov",11,"dec",12,"no month")</f>
        <v>4</v>
      </c>
      <c r="C570" s="12" t="str">
        <f>LEFT('All Transactions'!$E570,3)</f>
        <v>Apr</v>
      </c>
      <c r="D570" s="12" t="str">
        <f t="shared" si="17"/>
        <v>2026</v>
      </c>
      <c r="E570" s="16" t="s">
        <v>1970</v>
      </c>
      <c r="F570" s="17" t="s">
        <v>1977</v>
      </c>
      <c r="G570" s="18" t="s">
        <v>28</v>
      </c>
      <c r="H570" s="19">
        <v>10500</v>
      </c>
      <c r="I570" s="20" t="s">
        <v>12</v>
      </c>
      <c r="J570" s="20" t="s">
        <v>1978</v>
      </c>
      <c r="K570" s="21" t="s">
        <v>1979</v>
      </c>
      <c r="L570" s="20" t="s">
        <v>47</v>
      </c>
      <c r="M570" t="str">
        <f>TEXT(A570,"dddd")</f>
        <v>Sunday</v>
      </c>
      <c r="N570" s="35">
        <f>DATE(Table4[[#This Row],[year]],Table4[[#This Row],[month2]],Table4[[#This Row],[day]])</f>
        <v>46113</v>
      </c>
    </row>
    <row r="571" spans="1:14" ht="16" x14ac:dyDescent="0.35">
      <c r="A571" t="str">
        <f t="shared" si="16"/>
        <v>01</v>
      </c>
      <c r="B571">
        <f>_xlfn.SWITCH(Table4[[#This Row],[month]],"jan",1,"feb",2,"mar",3,"apr",4,"may",5,"jun",6,"jul",7,"aug",8,"sep",9,"oct",10,"nov",11,"dec",12,"no month")</f>
        <v>4</v>
      </c>
      <c r="C571" s="12" t="str">
        <f>LEFT('All Transactions'!$E571,3)</f>
        <v>Apr</v>
      </c>
      <c r="D571" s="12" t="str">
        <f t="shared" si="17"/>
        <v>2026</v>
      </c>
      <c r="E571" s="22" t="s">
        <v>1970</v>
      </c>
      <c r="F571" s="23" t="s">
        <v>1557</v>
      </c>
      <c r="G571" s="18" t="s">
        <v>28</v>
      </c>
      <c r="H571" s="24">
        <v>5</v>
      </c>
      <c r="I571" s="25" t="s">
        <v>374</v>
      </c>
      <c r="J571" s="25" t="s">
        <v>1980</v>
      </c>
      <c r="K571" s="26" t="s">
        <v>1981</v>
      </c>
      <c r="L571" s="25" t="s">
        <v>32</v>
      </c>
      <c r="M571" t="str">
        <f>TEXT(A571,"dddd")</f>
        <v>Sunday</v>
      </c>
      <c r="N571" s="35">
        <f>DATE(Table4[[#This Row],[year]],Table4[[#This Row],[month2]],Table4[[#This Row],[day]])</f>
        <v>46113</v>
      </c>
    </row>
    <row r="572" spans="1:14" ht="16" x14ac:dyDescent="0.35">
      <c r="A572" t="str">
        <f t="shared" si="16"/>
        <v>01</v>
      </c>
      <c r="B572">
        <f>_xlfn.SWITCH(Table4[[#This Row],[month]],"jan",1,"feb",2,"mar",3,"apr",4,"may",5,"jun",6,"jul",7,"aug",8,"sep",9,"oct",10,"nov",11,"dec",12,"no month")</f>
        <v>4</v>
      </c>
      <c r="C572" s="12" t="str">
        <f>LEFT('All Transactions'!$E572,3)</f>
        <v>Apr</v>
      </c>
      <c r="D572" s="12" t="str">
        <f t="shared" si="17"/>
        <v>2026</v>
      </c>
      <c r="E572" s="16" t="s">
        <v>1970</v>
      </c>
      <c r="F572" s="17" t="s">
        <v>1982</v>
      </c>
      <c r="G572" s="18" t="s">
        <v>28</v>
      </c>
      <c r="H572" s="19">
        <v>10</v>
      </c>
      <c r="I572" s="20" t="s">
        <v>201</v>
      </c>
      <c r="J572" s="20" t="s">
        <v>1983</v>
      </c>
      <c r="K572" s="21" t="s">
        <v>1984</v>
      </c>
      <c r="L572" s="20" t="s">
        <v>32</v>
      </c>
      <c r="M572" t="str">
        <f>TEXT(A572,"dddd")</f>
        <v>Sunday</v>
      </c>
      <c r="N572" s="35">
        <f>DATE(Table4[[#This Row],[year]],Table4[[#This Row],[month2]],Table4[[#This Row],[day]])</f>
        <v>46113</v>
      </c>
    </row>
    <row r="573" spans="1:14" ht="16" x14ac:dyDescent="0.35">
      <c r="A573" t="str">
        <f t="shared" si="16"/>
        <v>01</v>
      </c>
      <c r="B573">
        <f>_xlfn.SWITCH(Table4[[#This Row],[month]],"jan",1,"feb",2,"mar",3,"apr",4,"may",5,"jun",6,"jul",7,"aug",8,"sep",9,"oct",10,"nov",11,"dec",12,"no month")</f>
        <v>4</v>
      </c>
      <c r="C573" s="12" t="str">
        <f>LEFT('All Transactions'!$E573,3)</f>
        <v>Apr</v>
      </c>
      <c r="D573" s="12" t="str">
        <f t="shared" si="17"/>
        <v>2026</v>
      </c>
      <c r="E573" s="22" t="s">
        <v>1970</v>
      </c>
      <c r="F573" s="23" t="s">
        <v>331</v>
      </c>
      <c r="G573" s="18" t="s">
        <v>28</v>
      </c>
      <c r="H573" s="24">
        <v>40</v>
      </c>
      <c r="I573" s="25" t="s">
        <v>1839</v>
      </c>
      <c r="J573" s="25" t="s">
        <v>1985</v>
      </c>
      <c r="K573" s="26" t="s">
        <v>1986</v>
      </c>
      <c r="L573" s="25" t="s">
        <v>32</v>
      </c>
      <c r="M573" t="str">
        <f>TEXT(A573,"dddd")</f>
        <v>Sunday</v>
      </c>
      <c r="N573" s="35">
        <f>DATE(Table4[[#This Row],[year]],Table4[[#This Row],[month2]],Table4[[#This Row],[day]])</f>
        <v>46113</v>
      </c>
    </row>
    <row r="574" spans="1:14" ht="16" x14ac:dyDescent="0.35">
      <c r="A574" t="str">
        <f t="shared" si="16"/>
        <v>31</v>
      </c>
      <c r="B574">
        <f>_xlfn.SWITCH(Table4[[#This Row],[month]],"jan",1,"feb",2,"mar",3,"apr",4,"may",5,"jun",6,"jul",7,"aug",8,"sep",9,"oct",10,"nov",11,"dec",12,"no month")</f>
        <v>3</v>
      </c>
      <c r="C574" s="12" t="str">
        <f>LEFT('All Transactions'!$E574,3)</f>
        <v>Mar</v>
      </c>
      <c r="D574" s="12" t="str">
        <f t="shared" si="17"/>
        <v>2026</v>
      </c>
      <c r="E574" s="16" t="s">
        <v>1987</v>
      </c>
      <c r="F574" s="17" t="s">
        <v>297</v>
      </c>
      <c r="G574" s="27" t="s">
        <v>54</v>
      </c>
      <c r="H574" s="19">
        <v>60</v>
      </c>
      <c r="I574" s="20" t="s">
        <v>1988</v>
      </c>
      <c r="J574" s="20" t="s">
        <v>1989</v>
      </c>
      <c r="K574" s="21" t="s">
        <v>1990</v>
      </c>
      <c r="L574" s="20" t="s">
        <v>58</v>
      </c>
      <c r="M574" t="str">
        <f>TEXT(A574,"dddd")</f>
        <v>Tuesday</v>
      </c>
      <c r="N574" s="35">
        <f>DATE(Table4[[#This Row],[year]],Table4[[#This Row],[month2]],Table4[[#This Row],[day]])</f>
        <v>46112</v>
      </c>
    </row>
    <row r="575" spans="1:14" ht="16" x14ac:dyDescent="0.35">
      <c r="A575" t="str">
        <f t="shared" si="16"/>
        <v>31</v>
      </c>
      <c r="B575">
        <f>_xlfn.SWITCH(Table4[[#This Row],[month]],"jan",1,"feb",2,"mar",3,"apr",4,"may",5,"jun",6,"jul",7,"aug",8,"sep",9,"oct",10,"nov",11,"dec",12,"no month")</f>
        <v>3</v>
      </c>
      <c r="C575" s="12" t="str">
        <f>LEFT('All Transactions'!$E575,3)</f>
        <v>Mar</v>
      </c>
      <c r="D575" s="12" t="str">
        <f t="shared" si="17"/>
        <v>2026</v>
      </c>
      <c r="E575" s="22" t="s">
        <v>1987</v>
      </c>
      <c r="F575" s="23" t="s">
        <v>59</v>
      </c>
      <c r="G575" s="27" t="s">
        <v>54</v>
      </c>
      <c r="H575" s="24">
        <v>91</v>
      </c>
      <c r="I575" s="25" t="s">
        <v>1991</v>
      </c>
      <c r="J575" s="25" t="s">
        <v>1992</v>
      </c>
      <c r="K575" s="26" t="s">
        <v>1993</v>
      </c>
      <c r="L575" s="25" t="s">
        <v>58</v>
      </c>
      <c r="M575" t="str">
        <f>TEXT(A575,"dddd")</f>
        <v>Tuesday</v>
      </c>
      <c r="N575" s="35">
        <f>DATE(Table4[[#This Row],[year]],Table4[[#This Row],[month2]],Table4[[#This Row],[day]])</f>
        <v>46112</v>
      </c>
    </row>
    <row r="576" spans="1:14" ht="16" x14ac:dyDescent="0.35">
      <c r="A576" t="str">
        <f t="shared" si="16"/>
        <v>31</v>
      </c>
      <c r="B576">
        <f>_xlfn.SWITCH(Table4[[#This Row],[month]],"jan",1,"feb",2,"mar",3,"apr",4,"may",5,"jun",6,"jul",7,"aug",8,"sep",9,"oct",10,"nov",11,"dec",12,"no month")</f>
        <v>3</v>
      </c>
      <c r="C576" s="12" t="str">
        <f>LEFT('All Transactions'!$E576,3)</f>
        <v>Mar</v>
      </c>
      <c r="D576" s="12" t="str">
        <f t="shared" si="17"/>
        <v>2026</v>
      </c>
      <c r="E576" s="16" t="s">
        <v>1987</v>
      </c>
      <c r="F576" s="17" t="s">
        <v>1994</v>
      </c>
      <c r="G576" s="27" t="s">
        <v>54</v>
      </c>
      <c r="H576" s="19">
        <v>67</v>
      </c>
      <c r="I576" s="20" t="s">
        <v>1995</v>
      </c>
      <c r="J576" s="20" t="s">
        <v>1996</v>
      </c>
      <c r="K576" s="21" t="s">
        <v>1997</v>
      </c>
      <c r="L576" s="20" t="s">
        <v>58</v>
      </c>
      <c r="M576" t="str">
        <f>TEXT(A576,"dddd")</f>
        <v>Tuesday</v>
      </c>
      <c r="N576" s="35">
        <f>DATE(Table4[[#This Row],[year]],Table4[[#This Row],[month2]],Table4[[#This Row],[day]])</f>
        <v>46112</v>
      </c>
    </row>
    <row r="577" spans="1:14" ht="16" x14ac:dyDescent="0.35">
      <c r="A577" t="str">
        <f t="shared" si="16"/>
        <v>31</v>
      </c>
      <c r="B577">
        <f>_xlfn.SWITCH(Table4[[#This Row],[month]],"jan",1,"feb",2,"mar",3,"apr",4,"may",5,"jun",6,"jul",7,"aug",8,"sep",9,"oct",10,"nov",11,"dec",12,"no month")</f>
        <v>3</v>
      </c>
      <c r="C577" s="12" t="str">
        <f>LEFT('All Transactions'!$E577,3)</f>
        <v>Mar</v>
      </c>
      <c r="D577" s="12" t="str">
        <f t="shared" si="17"/>
        <v>2026</v>
      </c>
      <c r="E577" s="22" t="s">
        <v>1987</v>
      </c>
      <c r="F577" s="23" t="s">
        <v>1998</v>
      </c>
      <c r="G577" s="27" t="s">
        <v>54</v>
      </c>
      <c r="H577" s="24">
        <v>60</v>
      </c>
      <c r="I577" s="25" t="s">
        <v>1999</v>
      </c>
      <c r="J577" s="25" t="s">
        <v>2000</v>
      </c>
      <c r="K577" s="26" t="s">
        <v>2001</v>
      </c>
      <c r="L577" s="25" t="s">
        <v>58</v>
      </c>
      <c r="M577" t="str">
        <f>TEXT(A577,"dddd")</f>
        <v>Tuesday</v>
      </c>
      <c r="N577" s="35">
        <f>DATE(Table4[[#This Row],[year]],Table4[[#This Row],[month2]],Table4[[#This Row],[day]])</f>
        <v>46112</v>
      </c>
    </row>
    <row r="578" spans="1:14" ht="16" x14ac:dyDescent="0.35">
      <c r="A578" t="str">
        <f t="shared" si="16"/>
        <v>31</v>
      </c>
      <c r="B578">
        <f>_xlfn.SWITCH(Table4[[#This Row],[month]],"jan",1,"feb",2,"mar",3,"apr",4,"may",5,"jun",6,"jul",7,"aug",8,"sep",9,"oct",10,"nov",11,"dec",12,"no month")</f>
        <v>3</v>
      </c>
      <c r="C578" s="12" t="str">
        <f>LEFT('All Transactions'!$E578,3)</f>
        <v>Mar</v>
      </c>
      <c r="D578" s="12" t="str">
        <f t="shared" si="17"/>
        <v>2026</v>
      </c>
      <c r="E578" s="16" t="s">
        <v>1987</v>
      </c>
      <c r="F578" s="17" t="s">
        <v>1457</v>
      </c>
      <c r="G578" s="27" t="s">
        <v>54</v>
      </c>
      <c r="H578" s="19">
        <v>80</v>
      </c>
      <c r="I578" s="20" t="s">
        <v>2002</v>
      </c>
      <c r="J578" s="20" t="s">
        <v>2003</v>
      </c>
      <c r="K578" s="21" t="s">
        <v>2004</v>
      </c>
      <c r="L578" s="20" t="s">
        <v>58</v>
      </c>
      <c r="M578" t="str">
        <f>TEXT(A578,"dddd")</f>
        <v>Tuesday</v>
      </c>
      <c r="N578" s="35">
        <f>DATE(Table4[[#This Row],[year]],Table4[[#This Row],[month2]],Table4[[#This Row],[day]])</f>
        <v>46112</v>
      </c>
    </row>
    <row r="579" spans="1:14" ht="16" x14ac:dyDescent="0.35">
      <c r="A579" t="str">
        <f t="shared" ref="A579:A642" si="18">MID(E579,5,2)</f>
        <v>31</v>
      </c>
      <c r="B579">
        <f>_xlfn.SWITCH(Table4[[#This Row],[month]],"jan",1,"feb",2,"mar",3,"apr",4,"may",5,"jun",6,"jul",7,"aug",8,"sep",9,"oct",10,"nov",11,"dec",12,"no month")</f>
        <v>3</v>
      </c>
      <c r="C579" s="12" t="str">
        <f>LEFT('All Transactions'!$E579,3)</f>
        <v>Mar</v>
      </c>
      <c r="D579" s="12" t="str">
        <f t="shared" ref="D579:D642" si="19">RIGHT(E579,4)</f>
        <v>2026</v>
      </c>
      <c r="E579" s="22" t="s">
        <v>1987</v>
      </c>
      <c r="F579" s="23" t="s">
        <v>2005</v>
      </c>
      <c r="G579" s="27" t="s">
        <v>54</v>
      </c>
      <c r="H579" s="24">
        <v>51</v>
      </c>
      <c r="I579" s="25" t="s">
        <v>2006</v>
      </c>
      <c r="J579" s="25" t="s">
        <v>2007</v>
      </c>
      <c r="K579" s="26" t="s">
        <v>2008</v>
      </c>
      <c r="L579" s="25" t="s">
        <v>58</v>
      </c>
      <c r="M579" t="str">
        <f>TEXT(A579,"dddd")</f>
        <v>Tuesday</v>
      </c>
      <c r="N579" s="35">
        <f>DATE(Table4[[#This Row],[year]],Table4[[#This Row],[month2]],Table4[[#This Row],[day]])</f>
        <v>46112</v>
      </c>
    </row>
    <row r="580" spans="1:14" ht="16" x14ac:dyDescent="0.35">
      <c r="A580" t="str">
        <f t="shared" si="18"/>
        <v>31</v>
      </c>
      <c r="B580">
        <f>_xlfn.SWITCH(Table4[[#This Row],[month]],"jan",1,"feb",2,"mar",3,"apr",4,"may",5,"jun",6,"jul",7,"aug",8,"sep",9,"oct",10,"nov",11,"dec",12,"no month")</f>
        <v>3</v>
      </c>
      <c r="C580" s="12" t="str">
        <f>LEFT('All Transactions'!$E580,3)</f>
        <v>Mar</v>
      </c>
      <c r="D580" s="12" t="str">
        <f t="shared" si="19"/>
        <v>2026</v>
      </c>
      <c r="E580" s="16" t="s">
        <v>1987</v>
      </c>
      <c r="F580" s="17" t="s">
        <v>2009</v>
      </c>
      <c r="G580" s="27" t="s">
        <v>54</v>
      </c>
      <c r="H580" s="19">
        <v>180</v>
      </c>
      <c r="I580" s="20" t="s">
        <v>2010</v>
      </c>
      <c r="J580" s="20" t="s">
        <v>2011</v>
      </c>
      <c r="K580" s="21" t="s">
        <v>2012</v>
      </c>
      <c r="L580" s="20" t="s">
        <v>58</v>
      </c>
      <c r="M580" t="str">
        <f>TEXT(A580,"dddd")</f>
        <v>Tuesday</v>
      </c>
      <c r="N580" s="35">
        <f>DATE(Table4[[#This Row],[year]],Table4[[#This Row],[month2]],Table4[[#This Row],[day]])</f>
        <v>46112</v>
      </c>
    </row>
    <row r="581" spans="1:14" ht="16" x14ac:dyDescent="0.35">
      <c r="A581" t="str">
        <f t="shared" si="18"/>
        <v>31</v>
      </c>
      <c r="B581">
        <f>_xlfn.SWITCH(Table4[[#This Row],[month]],"jan",1,"feb",2,"mar",3,"apr",4,"may",5,"jun",6,"jul",7,"aug",8,"sep",9,"oct",10,"nov",11,"dec",12,"no month")</f>
        <v>3</v>
      </c>
      <c r="C581" s="12" t="str">
        <f>LEFT('All Transactions'!$E581,3)</f>
        <v>Mar</v>
      </c>
      <c r="D581" s="12" t="str">
        <f t="shared" si="19"/>
        <v>2026</v>
      </c>
      <c r="E581" s="22" t="s">
        <v>1987</v>
      </c>
      <c r="F581" s="23" t="s">
        <v>593</v>
      </c>
      <c r="G581" s="18" t="s">
        <v>28</v>
      </c>
      <c r="H581" s="24">
        <v>140</v>
      </c>
      <c r="I581" s="25" t="s">
        <v>2013</v>
      </c>
      <c r="J581" s="25" t="s">
        <v>2014</v>
      </c>
      <c r="K581" s="26" t="s">
        <v>2015</v>
      </c>
      <c r="L581" s="25" t="s">
        <v>32</v>
      </c>
      <c r="M581" t="str">
        <f>TEXT(A581,"dddd")</f>
        <v>Tuesday</v>
      </c>
      <c r="N581" s="35">
        <f>DATE(Table4[[#This Row],[year]],Table4[[#This Row],[month2]],Table4[[#This Row],[day]])</f>
        <v>46112</v>
      </c>
    </row>
    <row r="582" spans="1:14" ht="16" x14ac:dyDescent="0.35">
      <c r="A582" t="str">
        <f t="shared" si="18"/>
        <v>31</v>
      </c>
      <c r="B582">
        <f>_xlfn.SWITCH(Table4[[#This Row],[month]],"jan",1,"feb",2,"mar",3,"apr",4,"may",5,"jun",6,"jul",7,"aug",8,"sep",9,"oct",10,"nov",11,"dec",12,"no month")</f>
        <v>3</v>
      </c>
      <c r="C582" s="12" t="str">
        <f>LEFT('All Transactions'!$E582,3)</f>
        <v>Mar</v>
      </c>
      <c r="D582" s="12" t="str">
        <f t="shared" si="19"/>
        <v>2026</v>
      </c>
      <c r="E582" s="16" t="s">
        <v>1987</v>
      </c>
      <c r="F582" s="17" t="s">
        <v>2016</v>
      </c>
      <c r="G582" s="27" t="s">
        <v>54</v>
      </c>
      <c r="H582" s="19">
        <v>37</v>
      </c>
      <c r="I582" s="20" t="s">
        <v>2017</v>
      </c>
      <c r="J582" s="20" t="s">
        <v>2018</v>
      </c>
      <c r="K582" s="21" t="s">
        <v>2019</v>
      </c>
      <c r="L582" s="20" t="s">
        <v>58</v>
      </c>
      <c r="M582" t="str">
        <f>TEXT(A582,"dddd")</f>
        <v>Tuesday</v>
      </c>
      <c r="N582" s="35">
        <f>DATE(Table4[[#This Row],[year]],Table4[[#This Row],[month2]],Table4[[#This Row],[day]])</f>
        <v>46112</v>
      </c>
    </row>
    <row r="583" spans="1:14" ht="16" x14ac:dyDescent="0.35">
      <c r="A583" t="str">
        <f t="shared" si="18"/>
        <v>31</v>
      </c>
      <c r="B583">
        <f>_xlfn.SWITCH(Table4[[#This Row],[month]],"jan",1,"feb",2,"mar",3,"apr",4,"may",5,"jun",6,"jul",7,"aug",8,"sep",9,"oct",10,"nov",11,"dec",12,"no month")</f>
        <v>3</v>
      </c>
      <c r="C583" s="12" t="str">
        <f>LEFT('All Transactions'!$E583,3)</f>
        <v>Mar</v>
      </c>
      <c r="D583" s="12" t="str">
        <f t="shared" si="19"/>
        <v>2026</v>
      </c>
      <c r="E583" s="22" t="s">
        <v>1987</v>
      </c>
      <c r="F583" s="23" t="s">
        <v>2020</v>
      </c>
      <c r="G583" s="18" t="s">
        <v>28</v>
      </c>
      <c r="H583" s="24">
        <v>7000</v>
      </c>
      <c r="I583" s="25" t="s">
        <v>12</v>
      </c>
      <c r="J583" s="25" t="s">
        <v>2021</v>
      </c>
      <c r="K583" s="26" t="s">
        <v>2022</v>
      </c>
      <c r="L583" s="25" t="s">
        <v>32</v>
      </c>
      <c r="M583" t="str">
        <f>TEXT(A583,"dddd")</f>
        <v>Tuesday</v>
      </c>
      <c r="N583" s="35">
        <f>DATE(Table4[[#This Row],[year]],Table4[[#This Row],[month2]],Table4[[#This Row],[day]])</f>
        <v>46112</v>
      </c>
    </row>
    <row r="584" spans="1:14" ht="16" x14ac:dyDescent="0.35">
      <c r="A584" t="str">
        <f t="shared" si="18"/>
        <v>31</v>
      </c>
      <c r="B584">
        <f>_xlfn.SWITCH(Table4[[#This Row],[month]],"jan",1,"feb",2,"mar",3,"apr",4,"may",5,"jun",6,"jul",7,"aug",8,"sep",9,"oct",10,"nov",11,"dec",12,"no month")</f>
        <v>3</v>
      </c>
      <c r="C584" s="12" t="str">
        <f>LEFT('All Transactions'!$E584,3)</f>
        <v>Mar</v>
      </c>
      <c r="D584" s="12" t="str">
        <f t="shared" si="19"/>
        <v>2026</v>
      </c>
      <c r="E584" s="16" t="s">
        <v>1987</v>
      </c>
      <c r="F584" s="17" t="s">
        <v>2023</v>
      </c>
      <c r="G584" s="27" t="s">
        <v>54</v>
      </c>
      <c r="H584" s="19">
        <v>8000</v>
      </c>
      <c r="I584" s="20" t="s">
        <v>1090</v>
      </c>
      <c r="J584" s="20" t="s">
        <v>2024</v>
      </c>
      <c r="K584" s="21" t="s">
        <v>2025</v>
      </c>
      <c r="L584" s="20" t="s">
        <v>58</v>
      </c>
      <c r="M584" t="str">
        <f>TEXT(A584,"dddd")</f>
        <v>Tuesday</v>
      </c>
      <c r="N584" s="35">
        <f>DATE(Table4[[#This Row],[year]],Table4[[#This Row],[month2]],Table4[[#This Row],[day]])</f>
        <v>46112</v>
      </c>
    </row>
    <row r="585" spans="1:14" ht="16" x14ac:dyDescent="0.35">
      <c r="A585" t="str">
        <f t="shared" si="18"/>
        <v>30</v>
      </c>
      <c r="B585">
        <f>_xlfn.SWITCH(Table4[[#This Row],[month]],"jan",1,"feb",2,"mar",3,"apr",4,"may",5,"jun",6,"jul",7,"aug",8,"sep",9,"oct",10,"nov",11,"dec",12,"no month")</f>
        <v>3</v>
      </c>
      <c r="C585" s="12" t="str">
        <f>LEFT('All Transactions'!$E585,3)</f>
        <v>Mar</v>
      </c>
      <c r="D585" s="12" t="str">
        <f t="shared" si="19"/>
        <v>2026</v>
      </c>
      <c r="E585" s="22" t="s">
        <v>2026</v>
      </c>
      <c r="F585" s="23" t="s">
        <v>235</v>
      </c>
      <c r="G585" s="27" t="s">
        <v>54</v>
      </c>
      <c r="H585" s="24">
        <v>40</v>
      </c>
      <c r="I585" s="25" t="s">
        <v>156</v>
      </c>
      <c r="J585" s="25" t="s">
        <v>2027</v>
      </c>
      <c r="K585" s="26" t="s">
        <v>2028</v>
      </c>
      <c r="L585" s="25" t="s">
        <v>58</v>
      </c>
      <c r="M585" t="str">
        <f>TEXT(A585,"dddd")</f>
        <v>Monday</v>
      </c>
      <c r="N585" s="35">
        <f>DATE(Table4[[#This Row],[year]],Table4[[#This Row],[month2]],Table4[[#This Row],[day]])</f>
        <v>46111</v>
      </c>
    </row>
    <row r="586" spans="1:14" ht="16" x14ac:dyDescent="0.35">
      <c r="A586" t="str">
        <f t="shared" si="18"/>
        <v>30</v>
      </c>
      <c r="B586">
        <f>_xlfn.SWITCH(Table4[[#This Row],[month]],"jan",1,"feb",2,"mar",3,"apr",4,"may",5,"jun",6,"jul",7,"aug",8,"sep",9,"oct",10,"nov",11,"dec",12,"no month")</f>
        <v>3</v>
      </c>
      <c r="C586" s="12" t="str">
        <f>LEFT('All Transactions'!$E586,3)</f>
        <v>Mar</v>
      </c>
      <c r="D586" s="12" t="str">
        <f t="shared" si="19"/>
        <v>2026</v>
      </c>
      <c r="E586" s="16" t="s">
        <v>2026</v>
      </c>
      <c r="F586" s="17" t="s">
        <v>951</v>
      </c>
      <c r="G586" s="18" t="s">
        <v>28</v>
      </c>
      <c r="H586" s="19">
        <v>30</v>
      </c>
      <c r="I586" s="20" t="s">
        <v>2029</v>
      </c>
      <c r="J586" s="20" t="s">
        <v>2030</v>
      </c>
      <c r="K586" s="21" t="s">
        <v>2031</v>
      </c>
      <c r="L586" s="20" t="s">
        <v>32</v>
      </c>
      <c r="M586" t="str">
        <f>TEXT(A586,"dddd")</f>
        <v>Monday</v>
      </c>
      <c r="N586" s="35">
        <f>DATE(Table4[[#This Row],[year]],Table4[[#This Row],[month2]],Table4[[#This Row],[day]])</f>
        <v>46111</v>
      </c>
    </row>
    <row r="587" spans="1:14" ht="16" x14ac:dyDescent="0.35">
      <c r="A587" t="str">
        <f t="shared" si="18"/>
        <v>30</v>
      </c>
      <c r="B587">
        <f>_xlfn.SWITCH(Table4[[#This Row],[month]],"jan",1,"feb",2,"mar",3,"apr",4,"may",5,"jun",6,"jul",7,"aug",8,"sep",9,"oct",10,"nov",11,"dec",12,"no month")</f>
        <v>3</v>
      </c>
      <c r="C587" s="12" t="str">
        <f>LEFT('All Transactions'!$E587,3)</f>
        <v>Mar</v>
      </c>
      <c r="D587" s="12" t="str">
        <f t="shared" si="19"/>
        <v>2026</v>
      </c>
      <c r="E587" s="22" t="s">
        <v>2026</v>
      </c>
      <c r="F587" s="23" t="s">
        <v>2032</v>
      </c>
      <c r="G587" s="18" t="s">
        <v>28</v>
      </c>
      <c r="H587" s="24">
        <v>20</v>
      </c>
      <c r="I587" s="25" t="s">
        <v>2033</v>
      </c>
      <c r="J587" s="25" t="s">
        <v>2034</v>
      </c>
      <c r="K587" s="26" t="s">
        <v>2035</v>
      </c>
      <c r="L587" s="25" t="s">
        <v>32</v>
      </c>
      <c r="M587" t="str">
        <f>TEXT(A587,"dddd")</f>
        <v>Monday</v>
      </c>
      <c r="N587" s="35">
        <f>DATE(Table4[[#This Row],[year]],Table4[[#This Row],[month2]],Table4[[#This Row],[day]])</f>
        <v>46111</v>
      </c>
    </row>
    <row r="588" spans="1:14" ht="16" x14ac:dyDescent="0.35">
      <c r="A588" t="str">
        <f t="shared" si="18"/>
        <v>30</v>
      </c>
      <c r="B588">
        <f>_xlfn.SWITCH(Table4[[#This Row],[month]],"jan",1,"feb",2,"mar",3,"apr",4,"may",5,"jun",6,"jul",7,"aug",8,"sep",9,"oct",10,"nov",11,"dec",12,"no month")</f>
        <v>3</v>
      </c>
      <c r="C588" s="12" t="str">
        <f>LEFT('All Transactions'!$E588,3)</f>
        <v>Mar</v>
      </c>
      <c r="D588" s="12" t="str">
        <f t="shared" si="19"/>
        <v>2026</v>
      </c>
      <c r="E588" s="16" t="s">
        <v>2026</v>
      </c>
      <c r="F588" s="17" t="s">
        <v>2036</v>
      </c>
      <c r="G588" s="18" t="s">
        <v>28</v>
      </c>
      <c r="H588" s="19">
        <v>14.9</v>
      </c>
      <c r="I588" s="20" t="s">
        <v>359</v>
      </c>
      <c r="J588" s="20" t="s">
        <v>2037</v>
      </c>
      <c r="K588" s="21" t="s">
        <v>2038</v>
      </c>
      <c r="L588" s="20" t="s">
        <v>32</v>
      </c>
      <c r="M588" t="str">
        <f>TEXT(A588,"dddd")</f>
        <v>Monday</v>
      </c>
      <c r="N588" s="35">
        <f>DATE(Table4[[#This Row],[year]],Table4[[#This Row],[month2]],Table4[[#This Row],[day]])</f>
        <v>46111</v>
      </c>
    </row>
    <row r="589" spans="1:14" ht="16" x14ac:dyDescent="0.35">
      <c r="A589" t="str">
        <f t="shared" si="18"/>
        <v>30</v>
      </c>
      <c r="B589">
        <f>_xlfn.SWITCH(Table4[[#This Row],[month]],"jan",1,"feb",2,"mar",3,"apr",4,"may",5,"jun",6,"jul",7,"aug",8,"sep",9,"oct",10,"nov",11,"dec",12,"no month")</f>
        <v>3</v>
      </c>
      <c r="C589" s="12" t="str">
        <f>LEFT('All Transactions'!$E589,3)</f>
        <v>Mar</v>
      </c>
      <c r="D589" s="12" t="str">
        <f t="shared" si="19"/>
        <v>2026</v>
      </c>
      <c r="E589" s="22" t="s">
        <v>2026</v>
      </c>
      <c r="F589" s="23" t="s">
        <v>569</v>
      </c>
      <c r="G589" s="27" t="s">
        <v>54</v>
      </c>
      <c r="H589" s="24">
        <v>150</v>
      </c>
      <c r="I589" s="25" t="s">
        <v>2039</v>
      </c>
      <c r="J589" s="25" t="s">
        <v>2040</v>
      </c>
      <c r="K589" s="26" t="s">
        <v>2041</v>
      </c>
      <c r="L589" s="25" t="s">
        <v>58</v>
      </c>
      <c r="M589" t="str">
        <f>TEXT(A589,"dddd")</f>
        <v>Monday</v>
      </c>
      <c r="N589" s="35">
        <f>DATE(Table4[[#This Row],[year]],Table4[[#This Row],[month2]],Table4[[#This Row],[day]])</f>
        <v>46111</v>
      </c>
    </row>
    <row r="590" spans="1:14" ht="16" x14ac:dyDescent="0.35">
      <c r="A590" t="str">
        <f t="shared" si="18"/>
        <v>30</v>
      </c>
      <c r="B590">
        <f>_xlfn.SWITCH(Table4[[#This Row],[month]],"jan",1,"feb",2,"mar",3,"apr",4,"may",5,"jun",6,"jul",7,"aug",8,"sep",9,"oct",10,"nov",11,"dec",12,"no month")</f>
        <v>3</v>
      </c>
      <c r="C590" s="12" t="str">
        <f>LEFT('All Transactions'!$E590,3)</f>
        <v>Mar</v>
      </c>
      <c r="D590" s="12" t="str">
        <f t="shared" si="19"/>
        <v>2026</v>
      </c>
      <c r="E590" s="16" t="s">
        <v>2026</v>
      </c>
      <c r="F590" s="17" t="s">
        <v>2042</v>
      </c>
      <c r="G590" s="27" t="s">
        <v>54</v>
      </c>
      <c r="H590" s="19">
        <v>74</v>
      </c>
      <c r="I590" s="20" t="s">
        <v>2043</v>
      </c>
      <c r="J590" s="20" t="s">
        <v>2044</v>
      </c>
      <c r="K590" s="21" t="s">
        <v>2045</v>
      </c>
      <c r="L590" s="20" t="s">
        <v>58</v>
      </c>
      <c r="M590" t="str">
        <f>TEXT(A590,"dddd")</f>
        <v>Monday</v>
      </c>
      <c r="N590" s="35">
        <f>DATE(Table4[[#This Row],[year]],Table4[[#This Row],[month2]],Table4[[#This Row],[day]])</f>
        <v>46111</v>
      </c>
    </row>
    <row r="591" spans="1:14" ht="16" x14ac:dyDescent="0.35">
      <c r="A591" t="str">
        <f t="shared" si="18"/>
        <v>30</v>
      </c>
      <c r="B591">
        <f>_xlfn.SWITCH(Table4[[#This Row],[month]],"jan",1,"feb",2,"mar",3,"apr",4,"may",5,"jun",6,"jul",7,"aug",8,"sep",9,"oct",10,"nov",11,"dec",12,"no month")</f>
        <v>3</v>
      </c>
      <c r="C591" s="12" t="str">
        <f>LEFT('All Transactions'!$E591,3)</f>
        <v>Mar</v>
      </c>
      <c r="D591" s="12" t="str">
        <f t="shared" si="19"/>
        <v>2026</v>
      </c>
      <c r="E591" s="22" t="s">
        <v>2026</v>
      </c>
      <c r="F591" s="23" t="s">
        <v>2046</v>
      </c>
      <c r="G591" s="18" t="s">
        <v>28</v>
      </c>
      <c r="H591" s="24">
        <v>30</v>
      </c>
      <c r="I591" s="25" t="s">
        <v>374</v>
      </c>
      <c r="J591" s="25" t="s">
        <v>2047</v>
      </c>
      <c r="K591" s="26" t="s">
        <v>2048</v>
      </c>
      <c r="L591" s="25" t="s">
        <v>32</v>
      </c>
      <c r="M591" t="str">
        <f>TEXT(A591,"dddd")</f>
        <v>Monday</v>
      </c>
      <c r="N591" s="35">
        <f>DATE(Table4[[#This Row],[year]],Table4[[#This Row],[month2]],Table4[[#This Row],[day]])</f>
        <v>46111</v>
      </c>
    </row>
    <row r="592" spans="1:14" ht="16" x14ac:dyDescent="0.35">
      <c r="A592" t="str">
        <f t="shared" si="18"/>
        <v>30</v>
      </c>
      <c r="B592">
        <f>_xlfn.SWITCH(Table4[[#This Row],[month]],"jan",1,"feb",2,"mar",3,"apr",4,"may",5,"jun",6,"jul",7,"aug",8,"sep",9,"oct",10,"nov",11,"dec",12,"no month")</f>
        <v>3</v>
      </c>
      <c r="C592" s="12" t="str">
        <f>LEFT('All Transactions'!$E592,3)</f>
        <v>Mar</v>
      </c>
      <c r="D592" s="12" t="str">
        <f t="shared" si="19"/>
        <v>2026</v>
      </c>
      <c r="E592" s="16" t="s">
        <v>2026</v>
      </c>
      <c r="F592" s="17" t="s">
        <v>2049</v>
      </c>
      <c r="G592" s="18" t="s">
        <v>28</v>
      </c>
      <c r="H592" s="19">
        <v>40</v>
      </c>
      <c r="I592" s="20" t="s">
        <v>37</v>
      </c>
      <c r="J592" s="20" t="s">
        <v>2050</v>
      </c>
      <c r="K592" s="21" t="s">
        <v>2051</v>
      </c>
      <c r="L592" s="20" t="s">
        <v>32</v>
      </c>
      <c r="M592" t="str">
        <f>TEXT(A592,"dddd")</f>
        <v>Monday</v>
      </c>
      <c r="N592" s="35">
        <f>DATE(Table4[[#This Row],[year]],Table4[[#This Row],[month2]],Table4[[#This Row],[day]])</f>
        <v>46111</v>
      </c>
    </row>
    <row r="593" spans="1:14" ht="16" x14ac:dyDescent="0.35">
      <c r="A593" t="str">
        <f t="shared" si="18"/>
        <v>30</v>
      </c>
      <c r="B593">
        <f>_xlfn.SWITCH(Table4[[#This Row],[month]],"jan",1,"feb",2,"mar",3,"apr",4,"may",5,"jun",6,"jul",7,"aug",8,"sep",9,"oct",10,"nov",11,"dec",12,"no month")</f>
        <v>3</v>
      </c>
      <c r="C593" s="12" t="str">
        <f>LEFT('All Transactions'!$E593,3)</f>
        <v>Mar</v>
      </c>
      <c r="D593" s="12" t="str">
        <f t="shared" si="19"/>
        <v>2026</v>
      </c>
      <c r="E593" s="22" t="s">
        <v>2026</v>
      </c>
      <c r="F593" s="23" t="s">
        <v>2052</v>
      </c>
      <c r="G593" s="18" t="s">
        <v>28</v>
      </c>
      <c r="H593" s="24">
        <v>20</v>
      </c>
      <c r="I593" s="25" t="s">
        <v>1810</v>
      </c>
      <c r="J593" s="25" t="s">
        <v>2053</v>
      </c>
      <c r="K593" s="26" t="s">
        <v>2054</v>
      </c>
      <c r="L593" s="25" t="s">
        <v>32</v>
      </c>
      <c r="M593" t="str">
        <f>TEXT(A593,"dddd")</f>
        <v>Monday</v>
      </c>
      <c r="N593" s="35">
        <f>DATE(Table4[[#This Row],[year]],Table4[[#This Row],[month2]],Table4[[#This Row],[day]])</f>
        <v>46111</v>
      </c>
    </row>
    <row r="594" spans="1:14" ht="16" x14ac:dyDescent="0.35">
      <c r="A594" t="str">
        <f t="shared" si="18"/>
        <v>29</v>
      </c>
      <c r="B594">
        <f>_xlfn.SWITCH(Table4[[#This Row],[month]],"jan",1,"feb",2,"mar",3,"apr",4,"may",5,"jun",6,"jul",7,"aug",8,"sep",9,"oct",10,"nov",11,"dec",12,"no month")</f>
        <v>3</v>
      </c>
      <c r="C594" s="12" t="str">
        <f>LEFT('All Transactions'!$E594,3)</f>
        <v>Mar</v>
      </c>
      <c r="D594" s="12" t="str">
        <f t="shared" si="19"/>
        <v>2026</v>
      </c>
      <c r="E594" s="16" t="s">
        <v>2055</v>
      </c>
      <c r="F594" s="17" t="s">
        <v>2056</v>
      </c>
      <c r="G594" s="18" t="s">
        <v>28</v>
      </c>
      <c r="H594" s="19">
        <v>764</v>
      </c>
      <c r="I594" s="20" t="s">
        <v>2057</v>
      </c>
      <c r="J594" s="20" t="s">
        <v>2058</v>
      </c>
      <c r="K594" s="21" t="s">
        <v>2059</v>
      </c>
      <c r="L594" s="20" t="s">
        <v>32</v>
      </c>
      <c r="M594" t="str">
        <f>TEXT(A594,"dddd")</f>
        <v>Sunday</v>
      </c>
      <c r="N594" s="35">
        <f>DATE(Table4[[#This Row],[year]],Table4[[#This Row],[month2]],Table4[[#This Row],[day]])</f>
        <v>46110</v>
      </c>
    </row>
    <row r="595" spans="1:14" ht="16" x14ac:dyDescent="0.35">
      <c r="A595" t="str">
        <f t="shared" si="18"/>
        <v>29</v>
      </c>
      <c r="B595">
        <f>_xlfn.SWITCH(Table4[[#This Row],[month]],"jan",1,"feb",2,"mar",3,"apr",4,"may",5,"jun",6,"jul",7,"aug",8,"sep",9,"oct",10,"nov",11,"dec",12,"no month")</f>
        <v>3</v>
      </c>
      <c r="C595" s="12" t="str">
        <f>LEFT('All Transactions'!$E595,3)</f>
        <v>Mar</v>
      </c>
      <c r="D595" s="12" t="str">
        <f t="shared" si="19"/>
        <v>2026</v>
      </c>
      <c r="E595" s="22" t="s">
        <v>2055</v>
      </c>
      <c r="F595" s="23" t="s">
        <v>53</v>
      </c>
      <c r="G595" s="27" t="s">
        <v>54</v>
      </c>
      <c r="H595" s="24">
        <v>700</v>
      </c>
      <c r="I595" s="25" t="s">
        <v>156</v>
      </c>
      <c r="J595" s="25" t="s">
        <v>2060</v>
      </c>
      <c r="K595" s="26" t="s">
        <v>2061</v>
      </c>
      <c r="L595" s="25" t="s">
        <v>58</v>
      </c>
      <c r="M595" t="str">
        <f>TEXT(A595,"dddd")</f>
        <v>Sunday</v>
      </c>
      <c r="N595" s="35">
        <f>DATE(Table4[[#This Row],[year]],Table4[[#This Row],[month2]],Table4[[#This Row],[day]])</f>
        <v>46110</v>
      </c>
    </row>
    <row r="596" spans="1:14" ht="16" x14ac:dyDescent="0.35">
      <c r="A596" t="str">
        <f t="shared" si="18"/>
        <v>29</v>
      </c>
      <c r="B596">
        <f>_xlfn.SWITCH(Table4[[#This Row],[month]],"jan",1,"feb",2,"mar",3,"apr",4,"may",5,"jun",6,"jul",7,"aug",8,"sep",9,"oct",10,"nov",11,"dec",12,"no month")</f>
        <v>3</v>
      </c>
      <c r="C596" s="12" t="str">
        <f>LEFT('All Transactions'!$E596,3)</f>
        <v>Mar</v>
      </c>
      <c r="D596" s="12" t="str">
        <f t="shared" si="19"/>
        <v>2026</v>
      </c>
      <c r="E596" s="16" t="s">
        <v>2055</v>
      </c>
      <c r="F596" s="17" t="s">
        <v>932</v>
      </c>
      <c r="G596" s="18" t="s">
        <v>28</v>
      </c>
      <c r="H596" s="19">
        <v>20</v>
      </c>
      <c r="I596" s="20" t="s">
        <v>201</v>
      </c>
      <c r="J596" s="20" t="s">
        <v>2062</v>
      </c>
      <c r="K596" s="21" t="s">
        <v>2063</v>
      </c>
      <c r="L596" s="20" t="s">
        <v>32</v>
      </c>
      <c r="M596" t="str">
        <f>TEXT(A596,"dddd")</f>
        <v>Sunday</v>
      </c>
      <c r="N596" s="35">
        <f>DATE(Table4[[#This Row],[year]],Table4[[#This Row],[month2]],Table4[[#This Row],[day]])</f>
        <v>46110</v>
      </c>
    </row>
    <row r="597" spans="1:14" ht="16" x14ac:dyDescent="0.35">
      <c r="A597" t="str">
        <f t="shared" si="18"/>
        <v>29</v>
      </c>
      <c r="B597">
        <f>_xlfn.SWITCH(Table4[[#This Row],[month]],"jan",1,"feb",2,"mar",3,"apr",4,"may",5,"jun",6,"jul",7,"aug",8,"sep",9,"oct",10,"nov",11,"dec",12,"no month")</f>
        <v>3</v>
      </c>
      <c r="C597" s="12" t="str">
        <f>LEFT('All Transactions'!$E597,3)</f>
        <v>Mar</v>
      </c>
      <c r="D597" s="12" t="str">
        <f t="shared" si="19"/>
        <v>2026</v>
      </c>
      <c r="E597" s="22" t="s">
        <v>2055</v>
      </c>
      <c r="F597" s="23" t="s">
        <v>2064</v>
      </c>
      <c r="G597" s="18" t="s">
        <v>28</v>
      </c>
      <c r="H597" s="24">
        <v>10000</v>
      </c>
      <c r="I597" s="25" t="s">
        <v>12</v>
      </c>
      <c r="J597" s="25" t="s">
        <v>2065</v>
      </c>
      <c r="K597" s="26" t="s">
        <v>2066</v>
      </c>
      <c r="L597" s="25" t="s">
        <v>1808</v>
      </c>
      <c r="M597" t="str">
        <f>TEXT(A597,"dddd")</f>
        <v>Sunday</v>
      </c>
      <c r="N597" s="35">
        <f>DATE(Table4[[#This Row],[year]],Table4[[#This Row],[month2]],Table4[[#This Row],[day]])</f>
        <v>46110</v>
      </c>
    </row>
    <row r="598" spans="1:14" ht="16" x14ac:dyDescent="0.35">
      <c r="A598" t="str">
        <f t="shared" si="18"/>
        <v>29</v>
      </c>
      <c r="B598">
        <f>_xlfn.SWITCH(Table4[[#This Row],[month]],"jan",1,"feb",2,"mar",3,"apr",4,"may",5,"jun",6,"jul",7,"aug",8,"sep",9,"oct",10,"nov",11,"dec",12,"no month")</f>
        <v>3</v>
      </c>
      <c r="C598" s="12" t="str">
        <f>LEFT('All Transactions'!$E598,3)</f>
        <v>Mar</v>
      </c>
      <c r="D598" s="12" t="str">
        <f t="shared" si="19"/>
        <v>2026</v>
      </c>
      <c r="E598" s="16" t="s">
        <v>2055</v>
      </c>
      <c r="F598" s="17" t="s">
        <v>362</v>
      </c>
      <c r="G598" s="18" t="s">
        <v>28</v>
      </c>
      <c r="H598" s="19">
        <v>10000</v>
      </c>
      <c r="I598" s="20" t="s">
        <v>13</v>
      </c>
      <c r="J598" s="20" t="s">
        <v>2067</v>
      </c>
      <c r="K598" s="21" t="s">
        <v>2068</v>
      </c>
      <c r="L598" s="20" t="s">
        <v>32</v>
      </c>
      <c r="M598" t="str">
        <f>TEXT(A598,"dddd")</f>
        <v>Sunday</v>
      </c>
      <c r="N598" s="35">
        <f>DATE(Table4[[#This Row],[year]],Table4[[#This Row],[month2]],Table4[[#This Row],[day]])</f>
        <v>46110</v>
      </c>
    </row>
    <row r="599" spans="1:14" ht="16" x14ac:dyDescent="0.35">
      <c r="A599" t="str">
        <f t="shared" si="18"/>
        <v>29</v>
      </c>
      <c r="B599">
        <f>_xlfn.SWITCH(Table4[[#This Row],[month]],"jan",1,"feb",2,"mar",3,"apr",4,"may",5,"jun",6,"jul",7,"aug",8,"sep",9,"oct",10,"nov",11,"dec",12,"no month")</f>
        <v>3</v>
      </c>
      <c r="C599" s="12" t="str">
        <f>LEFT('All Transactions'!$E599,3)</f>
        <v>Mar</v>
      </c>
      <c r="D599" s="12" t="str">
        <f t="shared" si="19"/>
        <v>2026</v>
      </c>
      <c r="E599" s="22" t="s">
        <v>2055</v>
      </c>
      <c r="F599" s="23" t="s">
        <v>478</v>
      </c>
      <c r="G599" s="27" t="s">
        <v>54</v>
      </c>
      <c r="H599" s="24">
        <v>10000</v>
      </c>
      <c r="I599" s="25" t="s">
        <v>156</v>
      </c>
      <c r="J599" s="25" t="s">
        <v>2069</v>
      </c>
      <c r="K599" s="26" t="s">
        <v>2070</v>
      </c>
      <c r="L599" s="25" t="s">
        <v>58</v>
      </c>
      <c r="M599" t="str">
        <f>TEXT(A599,"dddd")</f>
        <v>Sunday</v>
      </c>
      <c r="N599" s="35">
        <f>DATE(Table4[[#This Row],[year]],Table4[[#This Row],[month2]],Table4[[#This Row],[day]])</f>
        <v>46110</v>
      </c>
    </row>
    <row r="600" spans="1:14" ht="16" x14ac:dyDescent="0.35">
      <c r="A600" t="str">
        <f t="shared" si="18"/>
        <v>29</v>
      </c>
      <c r="B600">
        <f>_xlfn.SWITCH(Table4[[#This Row],[month]],"jan",1,"feb",2,"mar",3,"apr",4,"may",5,"jun",6,"jul",7,"aug",8,"sep",9,"oct",10,"nov",11,"dec",12,"no month")</f>
        <v>3</v>
      </c>
      <c r="C600" s="12" t="str">
        <f>LEFT('All Transactions'!$E600,3)</f>
        <v>Mar</v>
      </c>
      <c r="D600" s="12" t="str">
        <f t="shared" si="19"/>
        <v>2026</v>
      </c>
      <c r="E600" s="16" t="s">
        <v>2055</v>
      </c>
      <c r="F600" s="17" t="s">
        <v>1164</v>
      </c>
      <c r="G600" s="18" t="s">
        <v>28</v>
      </c>
      <c r="H600" s="19">
        <v>60</v>
      </c>
      <c r="I600" s="20" t="s">
        <v>800</v>
      </c>
      <c r="J600" s="20" t="s">
        <v>2071</v>
      </c>
      <c r="K600" s="21" t="s">
        <v>2072</v>
      </c>
      <c r="L600" s="20" t="s">
        <v>32</v>
      </c>
      <c r="M600" t="str">
        <f>TEXT(A600,"dddd")</f>
        <v>Sunday</v>
      </c>
      <c r="N600" s="35">
        <f>DATE(Table4[[#This Row],[year]],Table4[[#This Row],[month2]],Table4[[#This Row],[day]])</f>
        <v>46110</v>
      </c>
    </row>
    <row r="601" spans="1:14" ht="16" x14ac:dyDescent="0.35">
      <c r="A601" t="str">
        <f t="shared" si="18"/>
        <v>29</v>
      </c>
      <c r="B601">
        <f>_xlfn.SWITCH(Table4[[#This Row],[month]],"jan",1,"feb",2,"mar",3,"apr",4,"may",5,"jun",6,"jul",7,"aug",8,"sep",9,"oct",10,"nov",11,"dec",12,"no month")</f>
        <v>3</v>
      </c>
      <c r="C601" s="12" t="str">
        <f>LEFT('All Transactions'!$E601,3)</f>
        <v>Mar</v>
      </c>
      <c r="D601" s="12" t="str">
        <f t="shared" si="19"/>
        <v>2026</v>
      </c>
      <c r="E601" s="22" t="s">
        <v>2055</v>
      </c>
      <c r="F601" s="23" t="s">
        <v>2073</v>
      </c>
      <c r="G601" s="18" t="s">
        <v>28</v>
      </c>
      <c r="H601" s="24">
        <v>20</v>
      </c>
      <c r="I601" s="25" t="s">
        <v>2074</v>
      </c>
      <c r="J601" s="25" t="s">
        <v>2075</v>
      </c>
      <c r="K601" s="26" t="s">
        <v>2076</v>
      </c>
      <c r="L601" s="25" t="s">
        <v>32</v>
      </c>
      <c r="M601" t="str">
        <f>TEXT(A601,"dddd")</f>
        <v>Sunday</v>
      </c>
      <c r="N601" s="35">
        <f>DATE(Table4[[#This Row],[year]],Table4[[#This Row],[month2]],Table4[[#This Row],[day]])</f>
        <v>46110</v>
      </c>
    </row>
    <row r="602" spans="1:14" ht="16" x14ac:dyDescent="0.35">
      <c r="A602" t="str">
        <f t="shared" si="18"/>
        <v>29</v>
      </c>
      <c r="B602">
        <f>_xlfn.SWITCH(Table4[[#This Row],[month]],"jan",1,"feb",2,"mar",3,"apr",4,"may",5,"jun",6,"jul",7,"aug",8,"sep",9,"oct",10,"nov",11,"dec",12,"no month")</f>
        <v>3</v>
      </c>
      <c r="C602" s="12" t="str">
        <f>LEFT('All Transactions'!$E602,3)</f>
        <v>Mar</v>
      </c>
      <c r="D602" s="12" t="str">
        <f t="shared" si="19"/>
        <v>2026</v>
      </c>
      <c r="E602" s="16" t="s">
        <v>2055</v>
      </c>
      <c r="F602" s="17" t="s">
        <v>2077</v>
      </c>
      <c r="G602" s="18" t="s">
        <v>28</v>
      </c>
      <c r="H602" s="19">
        <v>5</v>
      </c>
      <c r="I602" s="20" t="s">
        <v>2078</v>
      </c>
      <c r="J602" s="20" t="s">
        <v>2079</v>
      </c>
      <c r="K602" s="21" t="s">
        <v>2080</v>
      </c>
      <c r="L602" s="20" t="s">
        <v>32</v>
      </c>
      <c r="M602" t="str">
        <f>TEXT(A602,"dddd")</f>
        <v>Sunday</v>
      </c>
      <c r="N602" s="35">
        <f>DATE(Table4[[#This Row],[year]],Table4[[#This Row],[month2]],Table4[[#This Row],[day]])</f>
        <v>46110</v>
      </c>
    </row>
    <row r="603" spans="1:14" ht="16" x14ac:dyDescent="0.35">
      <c r="A603" t="str">
        <f t="shared" si="18"/>
        <v>29</v>
      </c>
      <c r="B603">
        <f>_xlfn.SWITCH(Table4[[#This Row],[month]],"jan",1,"feb",2,"mar",3,"apr",4,"may",5,"jun",6,"jul",7,"aug",8,"sep",9,"oct",10,"nov",11,"dec",12,"no month")</f>
        <v>3</v>
      </c>
      <c r="C603" s="12" t="str">
        <f>LEFT('All Transactions'!$E603,3)</f>
        <v>Mar</v>
      </c>
      <c r="D603" s="12" t="str">
        <f t="shared" si="19"/>
        <v>2026</v>
      </c>
      <c r="E603" s="22" t="s">
        <v>2055</v>
      </c>
      <c r="F603" s="23" t="s">
        <v>513</v>
      </c>
      <c r="G603" s="27" t="s">
        <v>54</v>
      </c>
      <c r="H603" s="24">
        <v>120</v>
      </c>
      <c r="I603" s="25" t="s">
        <v>2081</v>
      </c>
      <c r="J603" s="25" t="s">
        <v>2082</v>
      </c>
      <c r="K603" s="26" t="s">
        <v>2083</v>
      </c>
      <c r="L603" s="25" t="s">
        <v>58</v>
      </c>
      <c r="M603" t="str">
        <f>TEXT(A603,"dddd")</f>
        <v>Sunday</v>
      </c>
      <c r="N603" s="35">
        <f>DATE(Table4[[#This Row],[year]],Table4[[#This Row],[month2]],Table4[[#This Row],[day]])</f>
        <v>46110</v>
      </c>
    </row>
    <row r="604" spans="1:14" ht="16" x14ac:dyDescent="0.35">
      <c r="A604" t="str">
        <f t="shared" si="18"/>
        <v>29</v>
      </c>
      <c r="B604">
        <f>_xlfn.SWITCH(Table4[[#This Row],[month]],"jan",1,"feb",2,"mar",3,"apr",4,"may",5,"jun",6,"jul",7,"aug",8,"sep",9,"oct",10,"nov",11,"dec",12,"no month")</f>
        <v>3</v>
      </c>
      <c r="C604" s="12" t="str">
        <f>LEFT('All Transactions'!$E604,3)</f>
        <v>Mar</v>
      </c>
      <c r="D604" s="12" t="str">
        <f t="shared" si="19"/>
        <v>2026</v>
      </c>
      <c r="E604" s="16" t="s">
        <v>2055</v>
      </c>
      <c r="F604" s="17" t="s">
        <v>2084</v>
      </c>
      <c r="G604" s="27" t="s">
        <v>54</v>
      </c>
      <c r="H604" s="19">
        <v>130</v>
      </c>
      <c r="I604" s="20" t="s">
        <v>89</v>
      </c>
      <c r="J604" s="20" t="s">
        <v>2085</v>
      </c>
      <c r="K604" s="21" t="s">
        <v>2086</v>
      </c>
      <c r="L604" s="20" t="s">
        <v>58</v>
      </c>
      <c r="M604" t="str">
        <f>TEXT(A604,"dddd")</f>
        <v>Sunday</v>
      </c>
      <c r="N604" s="35">
        <f>DATE(Table4[[#This Row],[year]],Table4[[#This Row],[month2]],Table4[[#This Row],[day]])</f>
        <v>46110</v>
      </c>
    </row>
    <row r="605" spans="1:14" ht="16" x14ac:dyDescent="0.35">
      <c r="A605" t="str">
        <f t="shared" si="18"/>
        <v>29</v>
      </c>
      <c r="B605">
        <f>_xlfn.SWITCH(Table4[[#This Row],[month]],"jan",1,"feb",2,"mar",3,"apr",4,"may",5,"jun",6,"jul",7,"aug",8,"sep",9,"oct",10,"nov",11,"dec",12,"no month")</f>
        <v>3</v>
      </c>
      <c r="C605" s="12" t="str">
        <f>LEFT('All Transactions'!$E605,3)</f>
        <v>Mar</v>
      </c>
      <c r="D605" s="12" t="str">
        <f t="shared" si="19"/>
        <v>2026</v>
      </c>
      <c r="E605" s="22" t="s">
        <v>2055</v>
      </c>
      <c r="F605" s="23" t="s">
        <v>2087</v>
      </c>
      <c r="G605" s="27" t="s">
        <v>54</v>
      </c>
      <c r="H605" s="24">
        <v>84</v>
      </c>
      <c r="I605" s="25" t="s">
        <v>2088</v>
      </c>
      <c r="J605" s="25" t="s">
        <v>2089</v>
      </c>
      <c r="K605" s="26" t="s">
        <v>2090</v>
      </c>
      <c r="L605" s="25" t="s">
        <v>58</v>
      </c>
      <c r="M605" t="str">
        <f>TEXT(A605,"dddd")</f>
        <v>Sunday</v>
      </c>
      <c r="N605" s="35">
        <f>DATE(Table4[[#This Row],[year]],Table4[[#This Row],[month2]],Table4[[#This Row],[day]])</f>
        <v>46110</v>
      </c>
    </row>
    <row r="606" spans="1:14" ht="16" x14ac:dyDescent="0.35">
      <c r="A606" t="str">
        <f t="shared" si="18"/>
        <v>29</v>
      </c>
      <c r="B606">
        <f>_xlfn.SWITCH(Table4[[#This Row],[month]],"jan",1,"feb",2,"mar",3,"apr",4,"may",5,"jun",6,"jul",7,"aug",8,"sep",9,"oct",10,"nov",11,"dec",12,"no month")</f>
        <v>3</v>
      </c>
      <c r="C606" s="12" t="str">
        <f>LEFT('All Transactions'!$E606,3)</f>
        <v>Mar</v>
      </c>
      <c r="D606" s="12" t="str">
        <f t="shared" si="19"/>
        <v>2026</v>
      </c>
      <c r="E606" s="16" t="s">
        <v>2055</v>
      </c>
      <c r="F606" s="17" t="s">
        <v>2091</v>
      </c>
      <c r="G606" s="27" t="s">
        <v>54</v>
      </c>
      <c r="H606" s="19">
        <v>88</v>
      </c>
      <c r="I606" s="20" t="s">
        <v>2092</v>
      </c>
      <c r="J606" s="20" t="s">
        <v>2093</v>
      </c>
      <c r="K606" s="21" t="s">
        <v>2094</v>
      </c>
      <c r="L606" s="20" t="s">
        <v>58</v>
      </c>
      <c r="M606" t="str">
        <f>TEXT(A606,"dddd")</f>
        <v>Sunday</v>
      </c>
      <c r="N606" s="35">
        <f>DATE(Table4[[#This Row],[year]],Table4[[#This Row],[month2]],Table4[[#This Row],[day]])</f>
        <v>46110</v>
      </c>
    </row>
    <row r="607" spans="1:14" ht="16" x14ac:dyDescent="0.35">
      <c r="A607" t="str">
        <f t="shared" si="18"/>
        <v>29</v>
      </c>
      <c r="B607">
        <f>_xlfn.SWITCH(Table4[[#This Row],[month]],"jan",1,"feb",2,"mar",3,"apr",4,"may",5,"jun",6,"jul",7,"aug",8,"sep",9,"oct",10,"nov",11,"dec",12,"no month")</f>
        <v>3</v>
      </c>
      <c r="C607" s="12" t="str">
        <f>LEFT('All Transactions'!$E607,3)</f>
        <v>Mar</v>
      </c>
      <c r="D607" s="12" t="str">
        <f t="shared" si="19"/>
        <v>2026</v>
      </c>
      <c r="E607" s="22" t="s">
        <v>2055</v>
      </c>
      <c r="F607" s="23" t="s">
        <v>2095</v>
      </c>
      <c r="G607" s="27" t="s">
        <v>54</v>
      </c>
      <c r="H607" s="24">
        <v>45</v>
      </c>
      <c r="I607" s="25" t="s">
        <v>2096</v>
      </c>
      <c r="J607" s="25" t="s">
        <v>2097</v>
      </c>
      <c r="K607" s="26" t="s">
        <v>2098</v>
      </c>
      <c r="L607" s="25" t="s">
        <v>58</v>
      </c>
      <c r="M607" t="str">
        <f>TEXT(A607,"dddd")</f>
        <v>Sunday</v>
      </c>
      <c r="N607" s="35">
        <f>DATE(Table4[[#This Row],[year]],Table4[[#This Row],[month2]],Table4[[#This Row],[day]])</f>
        <v>46110</v>
      </c>
    </row>
    <row r="608" spans="1:14" ht="16" x14ac:dyDescent="0.35">
      <c r="A608" t="str">
        <f t="shared" si="18"/>
        <v>28</v>
      </c>
      <c r="B608">
        <f>_xlfn.SWITCH(Table4[[#This Row],[month]],"jan",1,"feb",2,"mar",3,"apr",4,"may",5,"jun",6,"jul",7,"aug",8,"sep",9,"oct",10,"nov",11,"dec",12,"no month")</f>
        <v>3</v>
      </c>
      <c r="C608" s="12" t="str">
        <f>LEFT('All Transactions'!$E608,3)</f>
        <v>Mar</v>
      </c>
      <c r="D608" s="12" t="str">
        <f t="shared" si="19"/>
        <v>2026</v>
      </c>
      <c r="E608" s="16" t="s">
        <v>2099</v>
      </c>
      <c r="F608" s="17" t="s">
        <v>2100</v>
      </c>
      <c r="G608" s="27" t="s">
        <v>54</v>
      </c>
      <c r="H608" s="19">
        <v>82</v>
      </c>
      <c r="I608" s="20" t="s">
        <v>2101</v>
      </c>
      <c r="J608" s="20" t="s">
        <v>2102</v>
      </c>
      <c r="K608" s="21" t="s">
        <v>2103</v>
      </c>
      <c r="L608" s="20" t="s">
        <v>58</v>
      </c>
      <c r="M608" t="str">
        <f>TEXT(A608,"dddd")</f>
        <v>Saturday</v>
      </c>
      <c r="N608" s="35">
        <f>DATE(Table4[[#This Row],[year]],Table4[[#This Row],[month2]],Table4[[#This Row],[day]])</f>
        <v>46109</v>
      </c>
    </row>
    <row r="609" spans="1:14" ht="16" x14ac:dyDescent="0.35">
      <c r="A609" t="str">
        <f t="shared" si="18"/>
        <v>28</v>
      </c>
      <c r="B609">
        <f>_xlfn.SWITCH(Table4[[#This Row],[month]],"jan",1,"feb",2,"mar",3,"apr",4,"may",5,"jun",6,"jul",7,"aug",8,"sep",9,"oct",10,"nov",11,"dec",12,"no month")</f>
        <v>3</v>
      </c>
      <c r="C609" s="12" t="str">
        <f>LEFT('All Transactions'!$E609,3)</f>
        <v>Mar</v>
      </c>
      <c r="D609" s="12" t="str">
        <f t="shared" si="19"/>
        <v>2026</v>
      </c>
      <c r="E609" s="22" t="s">
        <v>2099</v>
      </c>
      <c r="F609" s="23" t="s">
        <v>155</v>
      </c>
      <c r="G609" s="18" t="s">
        <v>28</v>
      </c>
      <c r="H609" s="24">
        <v>200</v>
      </c>
      <c r="I609" s="25" t="s">
        <v>2104</v>
      </c>
      <c r="J609" s="25" t="s">
        <v>2105</v>
      </c>
      <c r="K609" s="26" t="s">
        <v>2106</v>
      </c>
      <c r="L609" s="25" t="s">
        <v>32</v>
      </c>
      <c r="M609" t="str">
        <f>TEXT(A609,"dddd")</f>
        <v>Saturday</v>
      </c>
      <c r="N609" s="35">
        <f>DATE(Table4[[#This Row],[year]],Table4[[#This Row],[month2]],Table4[[#This Row],[day]])</f>
        <v>46109</v>
      </c>
    </row>
    <row r="610" spans="1:14" ht="16" x14ac:dyDescent="0.35">
      <c r="A610" t="str">
        <f t="shared" si="18"/>
        <v>28</v>
      </c>
      <c r="B610">
        <f>_xlfn.SWITCH(Table4[[#This Row],[month]],"jan",1,"feb",2,"mar",3,"apr",4,"may",5,"jun",6,"jul",7,"aug",8,"sep",9,"oct",10,"nov",11,"dec",12,"no month")</f>
        <v>3</v>
      </c>
      <c r="C610" s="12" t="str">
        <f>LEFT('All Transactions'!$E610,3)</f>
        <v>Mar</v>
      </c>
      <c r="D610" s="12" t="str">
        <f t="shared" si="19"/>
        <v>2026</v>
      </c>
      <c r="E610" s="16" t="s">
        <v>2099</v>
      </c>
      <c r="F610" s="17" t="s">
        <v>826</v>
      </c>
      <c r="G610" s="27" t="s">
        <v>54</v>
      </c>
      <c r="H610" s="19">
        <v>220</v>
      </c>
      <c r="I610" s="20" t="s">
        <v>2107</v>
      </c>
      <c r="J610" s="20" t="s">
        <v>2108</v>
      </c>
      <c r="K610" s="21" t="s">
        <v>2109</v>
      </c>
      <c r="L610" s="20" t="s">
        <v>58</v>
      </c>
      <c r="M610" t="str">
        <f>TEXT(A610,"dddd")</f>
        <v>Saturday</v>
      </c>
      <c r="N610" s="35">
        <f>DATE(Table4[[#This Row],[year]],Table4[[#This Row],[month2]],Table4[[#This Row],[day]])</f>
        <v>46109</v>
      </c>
    </row>
    <row r="611" spans="1:14" ht="16" x14ac:dyDescent="0.35">
      <c r="A611" t="str">
        <f t="shared" si="18"/>
        <v>28</v>
      </c>
      <c r="B611">
        <f>_xlfn.SWITCH(Table4[[#This Row],[month]],"jan",1,"feb",2,"mar",3,"apr",4,"may",5,"jun",6,"jul",7,"aug",8,"sep",9,"oct",10,"nov",11,"dec",12,"no month")</f>
        <v>3</v>
      </c>
      <c r="C611" s="12" t="str">
        <f>LEFT('All Transactions'!$E611,3)</f>
        <v>Mar</v>
      </c>
      <c r="D611" s="12" t="str">
        <f t="shared" si="19"/>
        <v>2026</v>
      </c>
      <c r="E611" s="22" t="s">
        <v>2099</v>
      </c>
      <c r="F611" s="23" t="s">
        <v>1453</v>
      </c>
      <c r="G611" s="18" t="s">
        <v>28</v>
      </c>
      <c r="H611" s="24">
        <v>1116.0999999999999</v>
      </c>
      <c r="I611" s="25" t="s">
        <v>438</v>
      </c>
      <c r="J611" s="25" t="s">
        <v>2110</v>
      </c>
      <c r="K611" s="26" t="s">
        <v>2111</v>
      </c>
      <c r="L611" s="25" t="s">
        <v>32</v>
      </c>
      <c r="M611" t="str">
        <f>TEXT(A611,"dddd")</f>
        <v>Saturday</v>
      </c>
      <c r="N611" s="35">
        <f>DATE(Table4[[#This Row],[year]],Table4[[#This Row],[month2]],Table4[[#This Row],[day]])</f>
        <v>46109</v>
      </c>
    </row>
    <row r="612" spans="1:14" ht="16" x14ac:dyDescent="0.35">
      <c r="A612" t="str">
        <f t="shared" si="18"/>
        <v>28</v>
      </c>
      <c r="B612">
        <f>_xlfn.SWITCH(Table4[[#This Row],[month]],"jan",1,"feb",2,"mar",3,"apr",4,"may",5,"jun",6,"jul",7,"aug",8,"sep",9,"oct",10,"nov",11,"dec",12,"no month")</f>
        <v>3</v>
      </c>
      <c r="C612" s="12" t="str">
        <f>LEFT('All Transactions'!$E612,3)</f>
        <v>Mar</v>
      </c>
      <c r="D612" s="12" t="str">
        <f t="shared" si="19"/>
        <v>2026</v>
      </c>
      <c r="E612" s="16" t="s">
        <v>2099</v>
      </c>
      <c r="F612" s="17" t="s">
        <v>1453</v>
      </c>
      <c r="G612" s="27" t="s">
        <v>54</v>
      </c>
      <c r="H612" s="19">
        <v>1150</v>
      </c>
      <c r="I612" s="20" t="s">
        <v>2107</v>
      </c>
      <c r="J612" s="20" t="s">
        <v>2112</v>
      </c>
      <c r="K612" s="21" t="s">
        <v>2113</v>
      </c>
      <c r="L612" s="20" t="s">
        <v>58</v>
      </c>
      <c r="M612" t="str">
        <f>TEXT(A612,"dddd")</f>
        <v>Saturday</v>
      </c>
      <c r="N612" s="35">
        <f>DATE(Table4[[#This Row],[year]],Table4[[#This Row],[month2]],Table4[[#This Row],[day]])</f>
        <v>46109</v>
      </c>
    </row>
    <row r="613" spans="1:14" ht="16" x14ac:dyDescent="0.35">
      <c r="A613" t="str">
        <f t="shared" si="18"/>
        <v>28</v>
      </c>
      <c r="B613">
        <f>_xlfn.SWITCH(Table4[[#This Row],[month]],"jan",1,"feb",2,"mar",3,"apr",4,"may",5,"jun",6,"jul",7,"aug",8,"sep",9,"oct",10,"nov",11,"dec",12,"no month")</f>
        <v>3</v>
      </c>
      <c r="C613" s="12" t="str">
        <f>LEFT('All Transactions'!$E613,3)</f>
        <v>Mar</v>
      </c>
      <c r="D613" s="12" t="str">
        <f t="shared" si="19"/>
        <v>2026</v>
      </c>
      <c r="E613" s="22" t="s">
        <v>2099</v>
      </c>
      <c r="F613" s="23" t="s">
        <v>2114</v>
      </c>
      <c r="G613" s="27" t="s">
        <v>54</v>
      </c>
      <c r="H613" s="24">
        <v>75</v>
      </c>
      <c r="I613" s="25" t="s">
        <v>2107</v>
      </c>
      <c r="J613" s="25" t="s">
        <v>2115</v>
      </c>
      <c r="K613" s="26" t="s">
        <v>2116</v>
      </c>
      <c r="L613" s="25" t="s">
        <v>58</v>
      </c>
      <c r="M613" t="str">
        <f>TEXT(A613,"dddd")</f>
        <v>Saturday</v>
      </c>
      <c r="N613" s="35">
        <f>DATE(Table4[[#This Row],[year]],Table4[[#This Row],[month2]],Table4[[#This Row],[day]])</f>
        <v>46109</v>
      </c>
    </row>
    <row r="614" spans="1:14" ht="16" x14ac:dyDescent="0.35">
      <c r="A614" t="str">
        <f t="shared" si="18"/>
        <v>28</v>
      </c>
      <c r="B614">
        <f>_xlfn.SWITCH(Table4[[#This Row],[month]],"jan",1,"feb",2,"mar",3,"apr",4,"may",5,"jun",6,"jul",7,"aug",8,"sep",9,"oct",10,"nov",11,"dec",12,"no month")</f>
        <v>3</v>
      </c>
      <c r="C614" s="12" t="str">
        <f>LEFT('All Transactions'!$E614,3)</f>
        <v>Mar</v>
      </c>
      <c r="D614" s="12" t="str">
        <f t="shared" si="19"/>
        <v>2026</v>
      </c>
      <c r="E614" s="16" t="s">
        <v>2099</v>
      </c>
      <c r="F614" s="17" t="s">
        <v>2117</v>
      </c>
      <c r="G614" s="18" t="s">
        <v>28</v>
      </c>
      <c r="H614" s="19">
        <v>75</v>
      </c>
      <c r="I614" s="20" t="s">
        <v>438</v>
      </c>
      <c r="J614" s="20" t="s">
        <v>2118</v>
      </c>
      <c r="K614" s="21" t="s">
        <v>2119</v>
      </c>
      <c r="L614" s="20" t="s">
        <v>32</v>
      </c>
      <c r="M614" t="str">
        <f>TEXT(A614,"dddd")</f>
        <v>Saturday</v>
      </c>
      <c r="N614" s="35">
        <f>DATE(Table4[[#This Row],[year]],Table4[[#This Row],[month2]],Table4[[#This Row],[day]])</f>
        <v>46109</v>
      </c>
    </row>
    <row r="615" spans="1:14" ht="16" x14ac:dyDescent="0.35">
      <c r="A615" t="str">
        <f t="shared" si="18"/>
        <v>28</v>
      </c>
      <c r="B615">
        <f>_xlfn.SWITCH(Table4[[#This Row],[month]],"jan",1,"feb",2,"mar",3,"apr",4,"may",5,"jun",6,"jul",7,"aug",8,"sep",9,"oct",10,"nov",11,"dec",12,"no month")</f>
        <v>3</v>
      </c>
      <c r="C615" s="12" t="str">
        <f>LEFT('All Transactions'!$E615,3)</f>
        <v>Mar</v>
      </c>
      <c r="D615" s="12" t="str">
        <f t="shared" si="19"/>
        <v>2026</v>
      </c>
      <c r="E615" s="22" t="s">
        <v>2099</v>
      </c>
      <c r="F615" s="23" t="s">
        <v>597</v>
      </c>
      <c r="G615" s="18" t="s">
        <v>28</v>
      </c>
      <c r="H615" s="24">
        <v>224</v>
      </c>
      <c r="I615" s="25" t="s">
        <v>2120</v>
      </c>
      <c r="J615" s="25" t="s">
        <v>2121</v>
      </c>
      <c r="K615" s="26" t="s">
        <v>2122</v>
      </c>
      <c r="L615" s="25" t="s">
        <v>32</v>
      </c>
      <c r="M615" t="str">
        <f>TEXT(A615,"dddd")</f>
        <v>Saturday</v>
      </c>
      <c r="N615" s="35">
        <f>DATE(Table4[[#This Row],[year]],Table4[[#This Row],[month2]],Table4[[#This Row],[day]])</f>
        <v>46109</v>
      </c>
    </row>
    <row r="616" spans="1:14" ht="16" x14ac:dyDescent="0.35">
      <c r="A616" t="str">
        <f t="shared" si="18"/>
        <v>28</v>
      </c>
      <c r="B616">
        <f>_xlfn.SWITCH(Table4[[#This Row],[month]],"jan",1,"feb",2,"mar",3,"apr",4,"may",5,"jun",6,"jul",7,"aug",8,"sep",9,"oct",10,"nov",11,"dec",12,"no month")</f>
        <v>3</v>
      </c>
      <c r="C616" s="12" t="str">
        <f>LEFT('All Transactions'!$E616,3)</f>
        <v>Mar</v>
      </c>
      <c r="D616" s="12" t="str">
        <f t="shared" si="19"/>
        <v>2026</v>
      </c>
      <c r="E616" s="16" t="s">
        <v>2099</v>
      </c>
      <c r="F616" s="17" t="s">
        <v>685</v>
      </c>
      <c r="G616" s="27" t="s">
        <v>54</v>
      </c>
      <c r="H616" s="19">
        <v>230</v>
      </c>
      <c r="I616" s="20" t="s">
        <v>156</v>
      </c>
      <c r="J616" s="20" t="s">
        <v>2123</v>
      </c>
      <c r="K616" s="21" t="s">
        <v>2124</v>
      </c>
      <c r="L616" s="20" t="s">
        <v>58</v>
      </c>
      <c r="M616" t="str">
        <f>TEXT(A616,"dddd")</f>
        <v>Saturday</v>
      </c>
      <c r="N616" s="35">
        <f>DATE(Table4[[#This Row],[year]],Table4[[#This Row],[month2]],Table4[[#This Row],[day]])</f>
        <v>46109</v>
      </c>
    </row>
    <row r="617" spans="1:14" ht="16" x14ac:dyDescent="0.35">
      <c r="A617" t="str">
        <f t="shared" si="18"/>
        <v>28</v>
      </c>
      <c r="B617">
        <f>_xlfn.SWITCH(Table4[[#This Row],[month]],"jan",1,"feb",2,"mar",3,"apr",4,"may",5,"jun",6,"jul",7,"aug",8,"sep",9,"oct",10,"nov",11,"dec",12,"no month")</f>
        <v>3</v>
      </c>
      <c r="C617" s="12" t="str">
        <f>LEFT('All Transactions'!$E617,3)</f>
        <v>Mar</v>
      </c>
      <c r="D617" s="12" t="str">
        <f t="shared" si="19"/>
        <v>2026</v>
      </c>
      <c r="E617" s="22" t="s">
        <v>2099</v>
      </c>
      <c r="F617" s="23" t="s">
        <v>2125</v>
      </c>
      <c r="G617" s="18" t="s">
        <v>28</v>
      </c>
      <c r="H617" s="24">
        <v>173.5</v>
      </c>
      <c r="I617" s="25" t="s">
        <v>336</v>
      </c>
      <c r="J617" s="25" t="s">
        <v>2126</v>
      </c>
      <c r="K617" s="26" t="s">
        <v>2127</v>
      </c>
      <c r="L617" s="25" t="s">
        <v>32</v>
      </c>
      <c r="M617" t="str">
        <f>TEXT(A617,"dddd")</f>
        <v>Saturday</v>
      </c>
      <c r="N617" s="35">
        <f>DATE(Table4[[#This Row],[year]],Table4[[#This Row],[month2]],Table4[[#This Row],[day]])</f>
        <v>46109</v>
      </c>
    </row>
    <row r="618" spans="1:14" ht="16" x14ac:dyDescent="0.35">
      <c r="A618" t="str">
        <f t="shared" si="18"/>
        <v>28</v>
      </c>
      <c r="B618">
        <f>_xlfn.SWITCH(Table4[[#This Row],[month]],"jan",1,"feb",2,"mar",3,"apr",4,"may",5,"jun",6,"jul",7,"aug",8,"sep",9,"oct",10,"nov",11,"dec",12,"no month")</f>
        <v>3</v>
      </c>
      <c r="C618" s="12" t="str">
        <f>LEFT('All Transactions'!$E618,3)</f>
        <v>Mar</v>
      </c>
      <c r="D618" s="12" t="str">
        <f t="shared" si="19"/>
        <v>2026</v>
      </c>
      <c r="E618" s="16" t="s">
        <v>2099</v>
      </c>
      <c r="F618" s="17" t="s">
        <v>2128</v>
      </c>
      <c r="G618" s="18" t="s">
        <v>28</v>
      </c>
      <c r="H618" s="19">
        <v>167.63</v>
      </c>
      <c r="I618" s="20" t="s">
        <v>2129</v>
      </c>
      <c r="J618" s="20" t="s">
        <v>2130</v>
      </c>
      <c r="K618" s="21" t="s">
        <v>2131</v>
      </c>
      <c r="L618" s="20" t="s">
        <v>32</v>
      </c>
      <c r="M618" t="str">
        <f>TEXT(A618,"dddd")</f>
        <v>Saturday</v>
      </c>
      <c r="N618" s="35">
        <f>DATE(Table4[[#This Row],[year]],Table4[[#This Row],[month2]],Table4[[#This Row],[day]])</f>
        <v>46109</v>
      </c>
    </row>
    <row r="619" spans="1:14" ht="16" x14ac:dyDescent="0.35">
      <c r="A619" t="str">
        <f t="shared" si="18"/>
        <v>27</v>
      </c>
      <c r="B619">
        <f>_xlfn.SWITCH(Table4[[#This Row],[month]],"jan",1,"feb",2,"mar",3,"apr",4,"may",5,"jun",6,"jul",7,"aug",8,"sep",9,"oct",10,"nov",11,"dec",12,"no month")</f>
        <v>3</v>
      </c>
      <c r="C619" s="12" t="str">
        <f>LEFT('All Transactions'!$E619,3)</f>
        <v>Mar</v>
      </c>
      <c r="D619" s="12" t="str">
        <f t="shared" si="19"/>
        <v>2026</v>
      </c>
      <c r="E619" s="22" t="s">
        <v>2132</v>
      </c>
      <c r="F619" s="23" t="s">
        <v>1744</v>
      </c>
      <c r="G619" s="18" t="s">
        <v>28</v>
      </c>
      <c r="H619" s="24">
        <v>40</v>
      </c>
      <c r="I619" s="25" t="s">
        <v>2133</v>
      </c>
      <c r="J619" s="25" t="s">
        <v>2134</v>
      </c>
      <c r="K619" s="26" t="s">
        <v>2135</v>
      </c>
      <c r="L619" s="25" t="s">
        <v>32</v>
      </c>
      <c r="M619" t="str">
        <f>TEXT(A619,"dddd")</f>
        <v>Friday</v>
      </c>
      <c r="N619" s="35">
        <f>DATE(Table4[[#This Row],[year]],Table4[[#This Row],[month2]],Table4[[#This Row],[day]])</f>
        <v>46108</v>
      </c>
    </row>
    <row r="620" spans="1:14" ht="16" x14ac:dyDescent="0.35">
      <c r="A620" t="str">
        <f t="shared" si="18"/>
        <v>27</v>
      </c>
      <c r="B620">
        <f>_xlfn.SWITCH(Table4[[#This Row],[month]],"jan",1,"feb",2,"mar",3,"apr",4,"may",5,"jun",6,"jul",7,"aug",8,"sep",9,"oct",10,"nov",11,"dec",12,"no month")</f>
        <v>3</v>
      </c>
      <c r="C620" s="12" t="str">
        <f>LEFT('All Transactions'!$E620,3)</f>
        <v>Mar</v>
      </c>
      <c r="D620" s="12" t="str">
        <f t="shared" si="19"/>
        <v>2026</v>
      </c>
      <c r="E620" s="16" t="s">
        <v>2132</v>
      </c>
      <c r="F620" s="17" t="s">
        <v>723</v>
      </c>
      <c r="G620" s="27" t="s">
        <v>54</v>
      </c>
      <c r="H620" s="19">
        <v>135</v>
      </c>
      <c r="I620" s="20" t="s">
        <v>2136</v>
      </c>
      <c r="J620" s="20" t="s">
        <v>2137</v>
      </c>
      <c r="K620" s="21" t="s">
        <v>2138</v>
      </c>
      <c r="L620" s="20" t="s">
        <v>58</v>
      </c>
      <c r="M620" t="str">
        <f>TEXT(A620,"dddd")</f>
        <v>Friday</v>
      </c>
      <c r="N620" s="35">
        <f>DATE(Table4[[#This Row],[year]],Table4[[#This Row],[month2]],Table4[[#This Row],[day]])</f>
        <v>46108</v>
      </c>
    </row>
    <row r="621" spans="1:14" ht="16" x14ac:dyDescent="0.35">
      <c r="A621" t="str">
        <f t="shared" si="18"/>
        <v>27</v>
      </c>
      <c r="B621">
        <f>_xlfn.SWITCH(Table4[[#This Row],[month]],"jan",1,"feb",2,"mar",3,"apr",4,"may",5,"jun",6,"jul",7,"aug",8,"sep",9,"oct",10,"nov",11,"dec",12,"no month")</f>
        <v>3</v>
      </c>
      <c r="C621" s="12" t="str">
        <f>LEFT('All Transactions'!$E621,3)</f>
        <v>Mar</v>
      </c>
      <c r="D621" s="12" t="str">
        <f t="shared" si="19"/>
        <v>2026</v>
      </c>
      <c r="E621" s="22" t="s">
        <v>2132</v>
      </c>
      <c r="F621" s="23" t="s">
        <v>2139</v>
      </c>
      <c r="G621" s="18" t="s">
        <v>28</v>
      </c>
      <c r="H621" s="24">
        <v>20</v>
      </c>
      <c r="I621" s="25" t="s">
        <v>2140</v>
      </c>
      <c r="J621" s="25" t="s">
        <v>2141</v>
      </c>
      <c r="K621" s="26" t="s">
        <v>2142</v>
      </c>
      <c r="L621" s="25" t="s">
        <v>32</v>
      </c>
      <c r="M621" t="str">
        <f>TEXT(A621,"dddd")</f>
        <v>Friday</v>
      </c>
      <c r="N621" s="35">
        <f>DATE(Table4[[#This Row],[year]],Table4[[#This Row],[month2]],Table4[[#This Row],[day]])</f>
        <v>46108</v>
      </c>
    </row>
    <row r="622" spans="1:14" ht="16" x14ac:dyDescent="0.35">
      <c r="A622" t="str">
        <f t="shared" si="18"/>
        <v>27</v>
      </c>
      <c r="B622">
        <f>_xlfn.SWITCH(Table4[[#This Row],[month]],"jan",1,"feb",2,"mar",3,"apr",4,"may",5,"jun",6,"jul",7,"aug",8,"sep",9,"oct",10,"nov",11,"dec",12,"no month")</f>
        <v>3</v>
      </c>
      <c r="C622" s="12" t="str">
        <f>LEFT('All Transactions'!$E622,3)</f>
        <v>Mar</v>
      </c>
      <c r="D622" s="12" t="str">
        <f t="shared" si="19"/>
        <v>2026</v>
      </c>
      <c r="E622" s="16" t="s">
        <v>2132</v>
      </c>
      <c r="F622" s="17" t="s">
        <v>2143</v>
      </c>
      <c r="G622" s="18" t="s">
        <v>28</v>
      </c>
      <c r="H622" s="19">
        <v>20</v>
      </c>
      <c r="I622" s="20" t="s">
        <v>1810</v>
      </c>
      <c r="J622" s="20" t="s">
        <v>2144</v>
      </c>
      <c r="K622" s="21" t="s">
        <v>2145</v>
      </c>
      <c r="L622" s="20" t="s">
        <v>32</v>
      </c>
      <c r="M622" t="str">
        <f>TEXT(A622,"dddd")</f>
        <v>Friday</v>
      </c>
      <c r="N622" s="35">
        <f>DATE(Table4[[#This Row],[year]],Table4[[#This Row],[month2]],Table4[[#This Row],[day]])</f>
        <v>46108</v>
      </c>
    </row>
    <row r="623" spans="1:14" ht="16" x14ac:dyDescent="0.35">
      <c r="A623" t="str">
        <f t="shared" si="18"/>
        <v>27</v>
      </c>
      <c r="B623">
        <f>_xlfn.SWITCH(Table4[[#This Row],[month]],"jan",1,"feb",2,"mar",3,"apr",4,"may",5,"jun",6,"jul",7,"aug",8,"sep",9,"oct",10,"nov",11,"dec",12,"no month")</f>
        <v>3</v>
      </c>
      <c r="C623" s="12" t="str">
        <f>LEFT('All Transactions'!$E623,3)</f>
        <v>Mar</v>
      </c>
      <c r="D623" s="12" t="str">
        <f t="shared" si="19"/>
        <v>2026</v>
      </c>
      <c r="E623" s="22" t="s">
        <v>2132</v>
      </c>
      <c r="F623" s="23" t="s">
        <v>2146</v>
      </c>
      <c r="G623" s="18" t="s">
        <v>28</v>
      </c>
      <c r="H623" s="24">
        <v>55</v>
      </c>
      <c r="I623" s="25" t="s">
        <v>2147</v>
      </c>
      <c r="J623" s="25" t="s">
        <v>2148</v>
      </c>
      <c r="K623" s="26" t="s">
        <v>2149</v>
      </c>
      <c r="L623" s="25" t="s">
        <v>32</v>
      </c>
      <c r="M623" t="str">
        <f>TEXT(A623,"dddd")</f>
        <v>Friday</v>
      </c>
      <c r="N623" s="35">
        <f>DATE(Table4[[#This Row],[year]],Table4[[#This Row],[month2]],Table4[[#This Row],[day]])</f>
        <v>46108</v>
      </c>
    </row>
    <row r="624" spans="1:14" ht="16" x14ac:dyDescent="0.35">
      <c r="A624" t="str">
        <f t="shared" si="18"/>
        <v>27</v>
      </c>
      <c r="B624">
        <f>_xlfn.SWITCH(Table4[[#This Row],[month]],"jan",1,"feb",2,"mar",3,"apr",4,"may",5,"jun",6,"jul",7,"aug",8,"sep",9,"oct",10,"nov",11,"dec",12,"no month")</f>
        <v>3</v>
      </c>
      <c r="C624" s="12" t="str">
        <f>LEFT('All Transactions'!$E624,3)</f>
        <v>Mar</v>
      </c>
      <c r="D624" s="12" t="str">
        <f t="shared" si="19"/>
        <v>2026</v>
      </c>
      <c r="E624" s="16" t="s">
        <v>2132</v>
      </c>
      <c r="F624" s="17" t="s">
        <v>2150</v>
      </c>
      <c r="G624" s="18" t="s">
        <v>28</v>
      </c>
      <c r="H624" s="19">
        <v>40</v>
      </c>
      <c r="I624" s="20" t="s">
        <v>384</v>
      </c>
      <c r="J624" s="20" t="s">
        <v>2151</v>
      </c>
      <c r="K624" s="21" t="s">
        <v>2152</v>
      </c>
      <c r="L624" s="20" t="s">
        <v>32</v>
      </c>
      <c r="M624" t="str">
        <f>TEXT(A624,"dddd")</f>
        <v>Friday</v>
      </c>
      <c r="N624" s="35">
        <f>DATE(Table4[[#This Row],[year]],Table4[[#This Row],[month2]],Table4[[#This Row],[day]])</f>
        <v>46108</v>
      </c>
    </row>
    <row r="625" spans="1:14" ht="16" x14ac:dyDescent="0.35">
      <c r="A625" t="str">
        <f t="shared" si="18"/>
        <v>27</v>
      </c>
      <c r="B625">
        <f>_xlfn.SWITCH(Table4[[#This Row],[month]],"jan",1,"feb",2,"mar",3,"apr",4,"may",5,"jun",6,"jul",7,"aug",8,"sep",9,"oct",10,"nov",11,"dec",12,"no month")</f>
        <v>3</v>
      </c>
      <c r="C625" s="12" t="str">
        <f>LEFT('All Transactions'!$E625,3)</f>
        <v>Mar</v>
      </c>
      <c r="D625" s="12" t="str">
        <f t="shared" si="19"/>
        <v>2026</v>
      </c>
      <c r="E625" s="22" t="s">
        <v>2132</v>
      </c>
      <c r="F625" s="23" t="s">
        <v>2153</v>
      </c>
      <c r="G625" s="27" t="s">
        <v>54</v>
      </c>
      <c r="H625" s="24">
        <v>90</v>
      </c>
      <c r="I625" s="25" t="s">
        <v>89</v>
      </c>
      <c r="J625" s="25" t="s">
        <v>2154</v>
      </c>
      <c r="K625" s="26" t="s">
        <v>2155</v>
      </c>
      <c r="L625" s="25" t="s">
        <v>58</v>
      </c>
      <c r="M625" t="str">
        <f>TEXT(A625,"dddd")</f>
        <v>Friday</v>
      </c>
      <c r="N625" s="35">
        <f>DATE(Table4[[#This Row],[year]],Table4[[#This Row],[month2]],Table4[[#This Row],[day]])</f>
        <v>46108</v>
      </c>
    </row>
    <row r="626" spans="1:14" ht="16" x14ac:dyDescent="0.35">
      <c r="A626" t="str">
        <f t="shared" si="18"/>
        <v>26</v>
      </c>
      <c r="B626">
        <f>_xlfn.SWITCH(Table4[[#This Row],[month]],"jan",1,"feb",2,"mar",3,"apr",4,"may",5,"jun",6,"jul",7,"aug",8,"sep",9,"oct",10,"nov",11,"dec",12,"no month")</f>
        <v>3</v>
      </c>
      <c r="C626" s="12" t="str">
        <f>LEFT('All Transactions'!$E626,3)</f>
        <v>Mar</v>
      </c>
      <c r="D626" s="12" t="str">
        <f t="shared" si="19"/>
        <v>2026</v>
      </c>
      <c r="E626" s="16" t="s">
        <v>2156</v>
      </c>
      <c r="F626" s="17" t="s">
        <v>548</v>
      </c>
      <c r="G626" s="18" t="s">
        <v>28</v>
      </c>
      <c r="H626" s="19">
        <v>20</v>
      </c>
      <c r="I626" s="20" t="s">
        <v>2157</v>
      </c>
      <c r="J626" s="20" t="s">
        <v>2158</v>
      </c>
      <c r="K626" s="21" t="s">
        <v>2159</v>
      </c>
      <c r="L626" s="20" t="s">
        <v>32</v>
      </c>
      <c r="M626" t="str">
        <f>TEXT(A626,"dddd")</f>
        <v>Thursday</v>
      </c>
      <c r="N626" s="35">
        <f>DATE(Table4[[#This Row],[year]],Table4[[#This Row],[month2]],Table4[[#This Row],[day]])</f>
        <v>46107</v>
      </c>
    </row>
    <row r="627" spans="1:14" ht="16" x14ac:dyDescent="0.35">
      <c r="A627" t="str">
        <f t="shared" si="18"/>
        <v>26</v>
      </c>
      <c r="B627">
        <f>_xlfn.SWITCH(Table4[[#This Row],[month]],"jan",1,"feb",2,"mar",3,"apr",4,"may",5,"jun",6,"jul",7,"aug",8,"sep",9,"oct",10,"nov",11,"dec",12,"no month")</f>
        <v>3</v>
      </c>
      <c r="C627" s="12" t="str">
        <f>LEFT('All Transactions'!$E627,3)</f>
        <v>Mar</v>
      </c>
      <c r="D627" s="12" t="str">
        <f t="shared" si="19"/>
        <v>2026</v>
      </c>
      <c r="E627" s="22" t="s">
        <v>2156</v>
      </c>
      <c r="F627" s="23" t="s">
        <v>2160</v>
      </c>
      <c r="G627" s="27" t="s">
        <v>54</v>
      </c>
      <c r="H627" s="24">
        <v>150</v>
      </c>
      <c r="I627" s="25" t="s">
        <v>156</v>
      </c>
      <c r="J627" s="25" t="s">
        <v>2161</v>
      </c>
      <c r="K627" s="26" t="s">
        <v>2162</v>
      </c>
      <c r="L627" s="25" t="s">
        <v>58</v>
      </c>
      <c r="M627" t="str">
        <f>TEXT(A627,"dddd")</f>
        <v>Thursday</v>
      </c>
      <c r="N627" s="35">
        <f>DATE(Table4[[#This Row],[year]],Table4[[#This Row],[month2]],Table4[[#This Row],[day]])</f>
        <v>46107</v>
      </c>
    </row>
    <row r="628" spans="1:14" ht="16" x14ac:dyDescent="0.35">
      <c r="A628" t="str">
        <f t="shared" si="18"/>
        <v>26</v>
      </c>
      <c r="B628">
        <f>_xlfn.SWITCH(Table4[[#This Row],[month]],"jan",1,"feb",2,"mar",3,"apr",4,"may",5,"jun",6,"jul",7,"aug",8,"sep",9,"oct",10,"nov",11,"dec",12,"no month")</f>
        <v>3</v>
      </c>
      <c r="C628" s="12" t="str">
        <f>LEFT('All Transactions'!$E628,3)</f>
        <v>Mar</v>
      </c>
      <c r="D628" s="12" t="str">
        <f t="shared" si="19"/>
        <v>2026</v>
      </c>
      <c r="E628" s="16" t="s">
        <v>2156</v>
      </c>
      <c r="F628" s="17" t="s">
        <v>822</v>
      </c>
      <c r="G628" s="18" t="s">
        <v>28</v>
      </c>
      <c r="H628" s="19">
        <v>30</v>
      </c>
      <c r="I628" s="20" t="s">
        <v>800</v>
      </c>
      <c r="J628" s="20" t="s">
        <v>2163</v>
      </c>
      <c r="K628" s="21" t="s">
        <v>2164</v>
      </c>
      <c r="L628" s="20" t="s">
        <v>32</v>
      </c>
      <c r="M628" t="str">
        <f>TEXT(A628,"dddd")</f>
        <v>Thursday</v>
      </c>
      <c r="N628" s="35">
        <f>DATE(Table4[[#This Row],[year]],Table4[[#This Row],[month2]],Table4[[#This Row],[day]])</f>
        <v>46107</v>
      </c>
    </row>
    <row r="629" spans="1:14" ht="16" x14ac:dyDescent="0.35">
      <c r="A629" t="str">
        <f t="shared" si="18"/>
        <v>26</v>
      </c>
      <c r="B629">
        <f>_xlfn.SWITCH(Table4[[#This Row],[month]],"jan",1,"feb",2,"mar",3,"apr",4,"may",5,"jun",6,"jul",7,"aug",8,"sep",9,"oct",10,"nov",11,"dec",12,"no month")</f>
        <v>3</v>
      </c>
      <c r="C629" s="12" t="str">
        <f>LEFT('All Transactions'!$E629,3)</f>
        <v>Mar</v>
      </c>
      <c r="D629" s="12" t="str">
        <f t="shared" si="19"/>
        <v>2026</v>
      </c>
      <c r="E629" s="22" t="s">
        <v>2156</v>
      </c>
      <c r="F629" s="23" t="s">
        <v>2165</v>
      </c>
      <c r="G629" s="27" t="s">
        <v>54</v>
      </c>
      <c r="H629" s="24">
        <v>96</v>
      </c>
      <c r="I629" s="25" t="s">
        <v>2166</v>
      </c>
      <c r="J629" s="25" t="s">
        <v>2167</v>
      </c>
      <c r="K629" s="26" t="s">
        <v>2168</v>
      </c>
      <c r="L629" s="25" t="s">
        <v>58</v>
      </c>
      <c r="M629" t="str">
        <f>TEXT(A629,"dddd")</f>
        <v>Thursday</v>
      </c>
      <c r="N629" s="35">
        <f>DATE(Table4[[#This Row],[year]],Table4[[#This Row],[month2]],Table4[[#This Row],[day]])</f>
        <v>46107</v>
      </c>
    </row>
    <row r="630" spans="1:14" ht="16" x14ac:dyDescent="0.35">
      <c r="A630" t="str">
        <f t="shared" si="18"/>
        <v>26</v>
      </c>
      <c r="B630">
        <f>_xlfn.SWITCH(Table4[[#This Row],[month]],"jan",1,"feb",2,"mar",3,"apr",4,"may",5,"jun",6,"jul",7,"aug",8,"sep",9,"oct",10,"nov",11,"dec",12,"no month")</f>
        <v>3</v>
      </c>
      <c r="C630" s="12" t="str">
        <f>LEFT('All Transactions'!$E630,3)</f>
        <v>Mar</v>
      </c>
      <c r="D630" s="12" t="str">
        <f t="shared" si="19"/>
        <v>2026</v>
      </c>
      <c r="E630" s="16" t="s">
        <v>2156</v>
      </c>
      <c r="F630" s="17" t="s">
        <v>343</v>
      </c>
      <c r="G630" s="27" t="s">
        <v>54</v>
      </c>
      <c r="H630" s="19">
        <v>52</v>
      </c>
      <c r="I630" s="20" t="s">
        <v>2169</v>
      </c>
      <c r="J630" s="20" t="s">
        <v>2170</v>
      </c>
      <c r="K630" s="21" t="s">
        <v>2171</v>
      </c>
      <c r="L630" s="20" t="s">
        <v>58</v>
      </c>
      <c r="M630" t="str">
        <f>TEXT(A630,"dddd")</f>
        <v>Thursday</v>
      </c>
      <c r="N630" s="35">
        <f>DATE(Table4[[#This Row],[year]],Table4[[#This Row],[month2]],Table4[[#This Row],[day]])</f>
        <v>46107</v>
      </c>
    </row>
    <row r="631" spans="1:14" ht="16" x14ac:dyDescent="0.35">
      <c r="A631" t="str">
        <f t="shared" si="18"/>
        <v>26</v>
      </c>
      <c r="B631">
        <f>_xlfn.SWITCH(Table4[[#This Row],[month]],"jan",1,"feb",2,"mar",3,"apr",4,"may",5,"jun",6,"jul",7,"aug",8,"sep",9,"oct",10,"nov",11,"dec",12,"no month")</f>
        <v>3</v>
      </c>
      <c r="C631" s="12" t="str">
        <f>LEFT('All Transactions'!$E631,3)</f>
        <v>Mar</v>
      </c>
      <c r="D631" s="12" t="str">
        <f t="shared" si="19"/>
        <v>2026</v>
      </c>
      <c r="E631" s="22" t="s">
        <v>2156</v>
      </c>
      <c r="F631" s="23" t="s">
        <v>1605</v>
      </c>
      <c r="G631" s="18" t="s">
        <v>28</v>
      </c>
      <c r="H631" s="24">
        <v>30</v>
      </c>
      <c r="I631" s="25" t="s">
        <v>2172</v>
      </c>
      <c r="J631" s="25" t="s">
        <v>2173</v>
      </c>
      <c r="K631" s="26" t="s">
        <v>2174</v>
      </c>
      <c r="L631" s="25" t="s">
        <v>32</v>
      </c>
      <c r="M631" t="str">
        <f>TEXT(A631,"dddd")</f>
        <v>Thursday</v>
      </c>
      <c r="N631" s="35">
        <f>DATE(Table4[[#This Row],[year]],Table4[[#This Row],[month2]],Table4[[#This Row],[day]])</f>
        <v>46107</v>
      </c>
    </row>
    <row r="632" spans="1:14" ht="16" x14ac:dyDescent="0.35">
      <c r="A632" t="str">
        <f t="shared" si="18"/>
        <v>26</v>
      </c>
      <c r="B632">
        <f>_xlfn.SWITCH(Table4[[#This Row],[month]],"jan",1,"feb",2,"mar",3,"apr",4,"may",5,"jun",6,"jul",7,"aug",8,"sep",9,"oct",10,"nov",11,"dec",12,"no month")</f>
        <v>3</v>
      </c>
      <c r="C632" s="12" t="str">
        <f>LEFT('All Transactions'!$E632,3)</f>
        <v>Mar</v>
      </c>
      <c r="D632" s="12" t="str">
        <f t="shared" si="19"/>
        <v>2026</v>
      </c>
      <c r="E632" s="16" t="s">
        <v>2156</v>
      </c>
      <c r="F632" s="17" t="s">
        <v>166</v>
      </c>
      <c r="G632" s="27" t="s">
        <v>54</v>
      </c>
      <c r="H632" s="19">
        <v>66</v>
      </c>
      <c r="I632" s="20" t="s">
        <v>2175</v>
      </c>
      <c r="J632" s="20" t="s">
        <v>2176</v>
      </c>
      <c r="K632" s="21" t="s">
        <v>2177</v>
      </c>
      <c r="L632" s="20" t="s">
        <v>58</v>
      </c>
      <c r="M632" t="str">
        <f>TEXT(A632,"dddd")</f>
        <v>Thursday</v>
      </c>
      <c r="N632" s="35">
        <f>DATE(Table4[[#This Row],[year]],Table4[[#This Row],[month2]],Table4[[#This Row],[day]])</f>
        <v>46107</v>
      </c>
    </row>
    <row r="633" spans="1:14" ht="16" x14ac:dyDescent="0.35">
      <c r="A633" t="str">
        <f t="shared" si="18"/>
        <v>26</v>
      </c>
      <c r="B633">
        <f>_xlfn.SWITCH(Table4[[#This Row],[month]],"jan",1,"feb",2,"mar",3,"apr",4,"may",5,"jun",6,"jul",7,"aug",8,"sep",9,"oct",10,"nov",11,"dec",12,"no month")</f>
        <v>3</v>
      </c>
      <c r="C633" s="12" t="str">
        <f>LEFT('All Transactions'!$E633,3)</f>
        <v>Mar</v>
      </c>
      <c r="D633" s="12" t="str">
        <f t="shared" si="19"/>
        <v>2026</v>
      </c>
      <c r="E633" s="22" t="s">
        <v>2156</v>
      </c>
      <c r="F633" s="23" t="s">
        <v>665</v>
      </c>
      <c r="G633" s="27" t="s">
        <v>54</v>
      </c>
      <c r="H633" s="24">
        <v>200</v>
      </c>
      <c r="I633" s="25" t="s">
        <v>156</v>
      </c>
      <c r="J633" s="25" t="s">
        <v>2178</v>
      </c>
      <c r="K633" s="26" t="s">
        <v>2179</v>
      </c>
      <c r="L633" s="25" t="s">
        <v>58</v>
      </c>
      <c r="M633" t="str">
        <f>TEXT(A633,"dddd")</f>
        <v>Thursday</v>
      </c>
      <c r="N633" s="35">
        <f>DATE(Table4[[#This Row],[year]],Table4[[#This Row],[month2]],Table4[[#This Row],[day]])</f>
        <v>46107</v>
      </c>
    </row>
    <row r="634" spans="1:14" ht="16" x14ac:dyDescent="0.35">
      <c r="A634" t="str">
        <f t="shared" si="18"/>
        <v>26</v>
      </c>
      <c r="B634">
        <f>_xlfn.SWITCH(Table4[[#This Row],[month]],"jan",1,"feb",2,"mar",3,"apr",4,"may",5,"jun",6,"jul",7,"aug",8,"sep",9,"oct",10,"nov",11,"dec",12,"no month")</f>
        <v>3</v>
      </c>
      <c r="C634" s="12" t="str">
        <f>LEFT('All Transactions'!$E634,3)</f>
        <v>Mar</v>
      </c>
      <c r="D634" s="12" t="str">
        <f t="shared" si="19"/>
        <v>2026</v>
      </c>
      <c r="E634" s="16" t="s">
        <v>2156</v>
      </c>
      <c r="F634" s="17" t="s">
        <v>764</v>
      </c>
      <c r="G634" s="27" t="s">
        <v>54</v>
      </c>
      <c r="H634" s="19">
        <v>57</v>
      </c>
      <c r="I634" s="20" t="s">
        <v>2180</v>
      </c>
      <c r="J634" s="20" t="s">
        <v>2181</v>
      </c>
      <c r="K634" s="21" t="s">
        <v>2182</v>
      </c>
      <c r="L634" s="20" t="s">
        <v>58</v>
      </c>
      <c r="M634" t="str">
        <f>TEXT(A634,"dddd")</f>
        <v>Thursday</v>
      </c>
      <c r="N634" s="35">
        <f>DATE(Table4[[#This Row],[year]],Table4[[#This Row],[month2]],Table4[[#This Row],[day]])</f>
        <v>46107</v>
      </c>
    </row>
    <row r="635" spans="1:14" ht="16" x14ac:dyDescent="0.35">
      <c r="A635" t="str">
        <f t="shared" si="18"/>
        <v>26</v>
      </c>
      <c r="B635">
        <f>_xlfn.SWITCH(Table4[[#This Row],[month]],"jan",1,"feb",2,"mar",3,"apr",4,"may",5,"jun",6,"jul",7,"aug",8,"sep",9,"oct",10,"nov",11,"dec",12,"no month")</f>
        <v>3</v>
      </c>
      <c r="C635" s="12" t="str">
        <f>LEFT('All Transactions'!$E635,3)</f>
        <v>Mar</v>
      </c>
      <c r="D635" s="12" t="str">
        <f t="shared" si="19"/>
        <v>2026</v>
      </c>
      <c r="E635" s="22" t="s">
        <v>2156</v>
      </c>
      <c r="F635" s="23" t="s">
        <v>100</v>
      </c>
      <c r="G635" s="18" t="s">
        <v>28</v>
      </c>
      <c r="H635" s="24">
        <v>20</v>
      </c>
      <c r="I635" s="25" t="s">
        <v>2183</v>
      </c>
      <c r="J635" s="25" t="s">
        <v>2184</v>
      </c>
      <c r="K635" s="26" t="s">
        <v>2185</v>
      </c>
      <c r="L635" s="25" t="s">
        <v>32</v>
      </c>
      <c r="M635" t="str">
        <f>TEXT(A635,"dddd")</f>
        <v>Thursday</v>
      </c>
      <c r="N635" s="35">
        <f>DATE(Table4[[#This Row],[year]],Table4[[#This Row],[month2]],Table4[[#This Row],[day]])</f>
        <v>46107</v>
      </c>
    </row>
    <row r="636" spans="1:14" ht="16" x14ac:dyDescent="0.35">
      <c r="A636" t="str">
        <f t="shared" si="18"/>
        <v>26</v>
      </c>
      <c r="B636">
        <f>_xlfn.SWITCH(Table4[[#This Row],[month]],"jan",1,"feb",2,"mar",3,"apr",4,"may",5,"jun",6,"jul",7,"aug",8,"sep",9,"oct",10,"nov",11,"dec",12,"no month")</f>
        <v>3</v>
      </c>
      <c r="C636" s="12" t="str">
        <f>LEFT('All Transactions'!$E636,3)</f>
        <v>Mar</v>
      </c>
      <c r="D636" s="12" t="str">
        <f t="shared" si="19"/>
        <v>2026</v>
      </c>
      <c r="E636" s="16" t="s">
        <v>2156</v>
      </c>
      <c r="F636" s="17" t="s">
        <v>1664</v>
      </c>
      <c r="G636" s="27" t="s">
        <v>54</v>
      </c>
      <c r="H636" s="19">
        <v>104</v>
      </c>
      <c r="I636" s="20" t="s">
        <v>2186</v>
      </c>
      <c r="J636" s="20" t="s">
        <v>2187</v>
      </c>
      <c r="K636" s="21" t="s">
        <v>2188</v>
      </c>
      <c r="L636" s="20" t="s">
        <v>58</v>
      </c>
      <c r="M636" t="str">
        <f>TEXT(A636,"dddd")</f>
        <v>Thursday</v>
      </c>
      <c r="N636" s="35">
        <f>DATE(Table4[[#This Row],[year]],Table4[[#This Row],[month2]],Table4[[#This Row],[day]])</f>
        <v>46107</v>
      </c>
    </row>
    <row r="637" spans="1:14" ht="16" x14ac:dyDescent="0.35">
      <c r="A637" t="str">
        <f t="shared" si="18"/>
        <v>26</v>
      </c>
      <c r="B637">
        <f>_xlfn.SWITCH(Table4[[#This Row],[month]],"jan",1,"feb",2,"mar",3,"apr",4,"may",5,"jun",6,"jul",7,"aug",8,"sep",9,"oct",10,"nov",11,"dec",12,"no month")</f>
        <v>3</v>
      </c>
      <c r="C637" s="12" t="str">
        <f>LEFT('All Transactions'!$E637,3)</f>
        <v>Mar</v>
      </c>
      <c r="D637" s="12" t="str">
        <f t="shared" si="19"/>
        <v>2026</v>
      </c>
      <c r="E637" s="22" t="s">
        <v>2156</v>
      </c>
      <c r="F637" s="23" t="s">
        <v>2189</v>
      </c>
      <c r="G637" s="27" t="s">
        <v>54</v>
      </c>
      <c r="H637" s="24">
        <v>80</v>
      </c>
      <c r="I637" s="25" t="s">
        <v>2190</v>
      </c>
      <c r="J637" s="25" t="s">
        <v>2191</v>
      </c>
      <c r="K637" s="26" t="s">
        <v>2192</v>
      </c>
      <c r="L637" s="25" t="s">
        <v>58</v>
      </c>
      <c r="M637" t="str">
        <f>TEXT(A637,"dddd")</f>
        <v>Thursday</v>
      </c>
      <c r="N637" s="35">
        <f>DATE(Table4[[#This Row],[year]],Table4[[#This Row],[month2]],Table4[[#This Row],[day]])</f>
        <v>46107</v>
      </c>
    </row>
    <row r="638" spans="1:14" ht="16" x14ac:dyDescent="0.35">
      <c r="A638" t="str">
        <f t="shared" si="18"/>
        <v>26</v>
      </c>
      <c r="B638">
        <f>_xlfn.SWITCH(Table4[[#This Row],[month]],"jan",1,"feb",2,"mar",3,"apr",4,"may",5,"jun",6,"jul",7,"aug",8,"sep",9,"oct",10,"nov",11,"dec",12,"no month")</f>
        <v>3</v>
      </c>
      <c r="C638" s="12" t="str">
        <f>LEFT('All Transactions'!$E638,3)</f>
        <v>Mar</v>
      </c>
      <c r="D638" s="12" t="str">
        <f t="shared" si="19"/>
        <v>2026</v>
      </c>
      <c r="E638" s="16" t="s">
        <v>2156</v>
      </c>
      <c r="F638" s="17" t="s">
        <v>2193</v>
      </c>
      <c r="G638" s="18" t="s">
        <v>28</v>
      </c>
      <c r="H638" s="19">
        <v>3</v>
      </c>
      <c r="I638" s="20" t="s">
        <v>201</v>
      </c>
      <c r="J638" s="20" t="s">
        <v>2194</v>
      </c>
      <c r="K638" s="21" t="s">
        <v>2195</v>
      </c>
      <c r="L638" s="20" t="s">
        <v>32</v>
      </c>
      <c r="M638" t="str">
        <f>TEXT(A638,"dddd")</f>
        <v>Thursday</v>
      </c>
      <c r="N638" s="35">
        <f>DATE(Table4[[#This Row],[year]],Table4[[#This Row],[month2]],Table4[[#This Row],[day]])</f>
        <v>46107</v>
      </c>
    </row>
    <row r="639" spans="1:14" ht="16" x14ac:dyDescent="0.35">
      <c r="A639" t="str">
        <f t="shared" si="18"/>
        <v>26</v>
      </c>
      <c r="B639">
        <f>_xlfn.SWITCH(Table4[[#This Row],[month]],"jan",1,"feb",2,"mar",3,"apr",4,"may",5,"jun",6,"jul",7,"aug",8,"sep",9,"oct",10,"nov",11,"dec",12,"no month")</f>
        <v>3</v>
      </c>
      <c r="C639" s="12" t="str">
        <f>LEFT('All Transactions'!$E639,3)</f>
        <v>Mar</v>
      </c>
      <c r="D639" s="12" t="str">
        <f t="shared" si="19"/>
        <v>2026</v>
      </c>
      <c r="E639" s="22" t="s">
        <v>2156</v>
      </c>
      <c r="F639" s="23" t="s">
        <v>2196</v>
      </c>
      <c r="G639" s="18" t="s">
        <v>28</v>
      </c>
      <c r="H639" s="24">
        <v>20</v>
      </c>
      <c r="I639" s="25" t="s">
        <v>2197</v>
      </c>
      <c r="J639" s="25" t="s">
        <v>2198</v>
      </c>
      <c r="K639" s="26" t="s">
        <v>2199</v>
      </c>
      <c r="L639" s="25" t="s">
        <v>32</v>
      </c>
      <c r="M639" t="str">
        <f>TEXT(A639,"dddd")</f>
        <v>Thursday</v>
      </c>
      <c r="N639" s="35">
        <f>DATE(Table4[[#This Row],[year]],Table4[[#This Row],[month2]],Table4[[#This Row],[day]])</f>
        <v>46107</v>
      </c>
    </row>
    <row r="640" spans="1:14" ht="16" x14ac:dyDescent="0.35">
      <c r="A640" t="str">
        <f t="shared" si="18"/>
        <v>25</v>
      </c>
      <c r="B640">
        <f>_xlfn.SWITCH(Table4[[#This Row],[month]],"jan",1,"feb",2,"mar",3,"apr",4,"may",5,"jun",6,"jul",7,"aug",8,"sep",9,"oct",10,"nov",11,"dec",12,"no month")</f>
        <v>3</v>
      </c>
      <c r="C640" s="12" t="str">
        <f>LEFT('All Transactions'!$E640,3)</f>
        <v>Mar</v>
      </c>
      <c r="D640" s="12" t="str">
        <f t="shared" si="19"/>
        <v>2026</v>
      </c>
      <c r="E640" s="16" t="s">
        <v>2200</v>
      </c>
      <c r="F640" s="17" t="s">
        <v>2201</v>
      </c>
      <c r="G640" s="27" t="s">
        <v>54</v>
      </c>
      <c r="H640" s="19">
        <v>50</v>
      </c>
      <c r="I640" s="20" t="s">
        <v>2202</v>
      </c>
      <c r="J640" s="20" t="s">
        <v>2203</v>
      </c>
      <c r="K640" s="21" t="s">
        <v>2204</v>
      </c>
      <c r="L640" s="20" t="s">
        <v>58</v>
      </c>
      <c r="M640" t="str">
        <f>TEXT(A640,"dddd")</f>
        <v>Wednesday</v>
      </c>
      <c r="N640" s="35">
        <f>DATE(Table4[[#This Row],[year]],Table4[[#This Row],[month2]],Table4[[#This Row],[day]])</f>
        <v>46106</v>
      </c>
    </row>
    <row r="641" spans="1:14" ht="16" x14ac:dyDescent="0.35">
      <c r="A641" t="str">
        <f t="shared" si="18"/>
        <v>25</v>
      </c>
      <c r="B641">
        <f>_xlfn.SWITCH(Table4[[#This Row],[month]],"jan",1,"feb",2,"mar",3,"apr",4,"may",5,"jun",6,"jul",7,"aug",8,"sep",9,"oct",10,"nov",11,"dec",12,"no month")</f>
        <v>3</v>
      </c>
      <c r="C641" s="12" t="str">
        <f>LEFT('All Transactions'!$E641,3)</f>
        <v>Mar</v>
      </c>
      <c r="D641" s="12" t="str">
        <f t="shared" si="19"/>
        <v>2026</v>
      </c>
      <c r="E641" s="22" t="s">
        <v>2200</v>
      </c>
      <c r="F641" s="23" t="s">
        <v>891</v>
      </c>
      <c r="G641" s="27" t="s">
        <v>54</v>
      </c>
      <c r="H641" s="24">
        <v>100</v>
      </c>
      <c r="I641" s="25" t="s">
        <v>2205</v>
      </c>
      <c r="J641" s="25" t="s">
        <v>2206</v>
      </c>
      <c r="K641" s="26" t="s">
        <v>2207</v>
      </c>
      <c r="L641" s="25" t="s">
        <v>58</v>
      </c>
      <c r="M641" t="str">
        <f>TEXT(A641,"dddd")</f>
        <v>Wednesday</v>
      </c>
      <c r="N641" s="35">
        <f>DATE(Table4[[#This Row],[year]],Table4[[#This Row],[month2]],Table4[[#This Row],[day]])</f>
        <v>46106</v>
      </c>
    </row>
    <row r="642" spans="1:14" ht="16" x14ac:dyDescent="0.35">
      <c r="A642" t="str">
        <f t="shared" si="18"/>
        <v>25</v>
      </c>
      <c r="B642">
        <f>_xlfn.SWITCH(Table4[[#This Row],[month]],"jan",1,"feb",2,"mar",3,"apr",4,"may",5,"jun",6,"jul",7,"aug",8,"sep",9,"oct",10,"nov",11,"dec",12,"no month")</f>
        <v>3</v>
      </c>
      <c r="C642" s="12" t="str">
        <f>LEFT('All Transactions'!$E642,3)</f>
        <v>Mar</v>
      </c>
      <c r="D642" s="12" t="str">
        <f t="shared" si="19"/>
        <v>2026</v>
      </c>
      <c r="E642" s="16" t="s">
        <v>2200</v>
      </c>
      <c r="F642" s="17" t="s">
        <v>2208</v>
      </c>
      <c r="G642" s="18" t="s">
        <v>28</v>
      </c>
      <c r="H642" s="19">
        <v>20</v>
      </c>
      <c r="I642" s="20" t="s">
        <v>2209</v>
      </c>
      <c r="J642" s="20" t="s">
        <v>2210</v>
      </c>
      <c r="K642" s="21" t="s">
        <v>2211</v>
      </c>
      <c r="L642" s="20" t="s">
        <v>32</v>
      </c>
      <c r="M642" t="str">
        <f>TEXT(A642,"dddd")</f>
        <v>Wednesday</v>
      </c>
      <c r="N642" s="35">
        <f>DATE(Table4[[#This Row],[year]],Table4[[#This Row],[month2]],Table4[[#This Row],[day]])</f>
        <v>46106</v>
      </c>
    </row>
    <row r="643" spans="1:14" ht="16" x14ac:dyDescent="0.35">
      <c r="A643" t="str">
        <f t="shared" ref="A643:A706" si="20">MID(E643,5,2)</f>
        <v>25</v>
      </c>
      <c r="B643">
        <f>_xlfn.SWITCH(Table4[[#This Row],[month]],"jan",1,"feb",2,"mar",3,"apr",4,"may",5,"jun",6,"jul",7,"aug",8,"sep",9,"oct",10,"nov",11,"dec",12,"no month")</f>
        <v>3</v>
      </c>
      <c r="C643" s="12" t="str">
        <f>LEFT('All Transactions'!$E643,3)</f>
        <v>Mar</v>
      </c>
      <c r="D643" s="12" t="str">
        <f t="shared" ref="D643:D706" si="21">RIGHT(E643,4)</f>
        <v>2026</v>
      </c>
      <c r="E643" s="22" t="s">
        <v>2200</v>
      </c>
      <c r="F643" s="23" t="s">
        <v>672</v>
      </c>
      <c r="G643" s="18" t="s">
        <v>28</v>
      </c>
      <c r="H643" s="24">
        <v>40</v>
      </c>
      <c r="I643" s="25" t="s">
        <v>2212</v>
      </c>
      <c r="J643" s="25" t="s">
        <v>2213</v>
      </c>
      <c r="K643" s="26" t="s">
        <v>2214</v>
      </c>
      <c r="L643" s="25" t="s">
        <v>32</v>
      </c>
      <c r="M643" t="str">
        <f>TEXT(A643,"dddd")</f>
        <v>Wednesday</v>
      </c>
      <c r="N643" s="35">
        <f>DATE(Table4[[#This Row],[year]],Table4[[#This Row],[month2]],Table4[[#This Row],[day]])</f>
        <v>46106</v>
      </c>
    </row>
    <row r="644" spans="1:14" ht="16" x14ac:dyDescent="0.35">
      <c r="A644" t="str">
        <f t="shared" si="20"/>
        <v>25</v>
      </c>
      <c r="B644">
        <f>_xlfn.SWITCH(Table4[[#This Row],[month]],"jan",1,"feb",2,"mar",3,"apr",4,"may",5,"jun",6,"jul",7,"aug",8,"sep",9,"oct",10,"nov",11,"dec",12,"no month")</f>
        <v>3</v>
      </c>
      <c r="C644" s="12" t="str">
        <f>LEFT('All Transactions'!$E644,3)</f>
        <v>Mar</v>
      </c>
      <c r="D644" s="12" t="str">
        <f t="shared" si="21"/>
        <v>2026</v>
      </c>
      <c r="E644" s="16" t="s">
        <v>2200</v>
      </c>
      <c r="F644" s="17" t="s">
        <v>2215</v>
      </c>
      <c r="G644" s="27" t="s">
        <v>54</v>
      </c>
      <c r="H644" s="19">
        <v>33</v>
      </c>
      <c r="I644" s="20" t="s">
        <v>2216</v>
      </c>
      <c r="J644" s="20" t="s">
        <v>2217</v>
      </c>
      <c r="K644" s="21" t="s">
        <v>2218</v>
      </c>
      <c r="L644" s="20" t="s">
        <v>58</v>
      </c>
      <c r="M644" t="str">
        <f>TEXT(A644,"dddd")</f>
        <v>Wednesday</v>
      </c>
      <c r="N644" s="35">
        <f>DATE(Table4[[#This Row],[year]],Table4[[#This Row],[month2]],Table4[[#This Row],[day]])</f>
        <v>46106</v>
      </c>
    </row>
    <row r="645" spans="1:14" ht="16" x14ac:dyDescent="0.35">
      <c r="A645" t="str">
        <f t="shared" si="20"/>
        <v>25</v>
      </c>
      <c r="B645">
        <f>_xlfn.SWITCH(Table4[[#This Row],[month]],"jan",1,"feb",2,"mar",3,"apr",4,"may",5,"jun",6,"jul",7,"aug",8,"sep",9,"oct",10,"nov",11,"dec",12,"no month")</f>
        <v>3</v>
      </c>
      <c r="C645" s="12" t="str">
        <f>LEFT('All Transactions'!$E645,3)</f>
        <v>Mar</v>
      </c>
      <c r="D645" s="12" t="str">
        <f t="shared" si="21"/>
        <v>2026</v>
      </c>
      <c r="E645" s="22" t="s">
        <v>2200</v>
      </c>
      <c r="F645" s="23" t="s">
        <v>2042</v>
      </c>
      <c r="G645" s="27" t="s">
        <v>54</v>
      </c>
      <c r="H645" s="24">
        <v>155</v>
      </c>
      <c r="I645" s="25" t="s">
        <v>2219</v>
      </c>
      <c r="J645" s="25" t="s">
        <v>2220</v>
      </c>
      <c r="K645" s="26" t="s">
        <v>2221</v>
      </c>
      <c r="L645" s="25" t="s">
        <v>58</v>
      </c>
      <c r="M645" t="str">
        <f>TEXT(A645,"dddd")</f>
        <v>Wednesday</v>
      </c>
      <c r="N645" s="35">
        <f>DATE(Table4[[#This Row],[year]],Table4[[#This Row],[month2]],Table4[[#This Row],[day]])</f>
        <v>46106</v>
      </c>
    </row>
    <row r="646" spans="1:14" ht="16" x14ac:dyDescent="0.35">
      <c r="A646" t="str">
        <f t="shared" si="20"/>
        <v>25</v>
      </c>
      <c r="B646">
        <f>_xlfn.SWITCH(Table4[[#This Row],[month]],"jan",1,"feb",2,"mar",3,"apr",4,"may",5,"jun",6,"jul",7,"aug",8,"sep",9,"oct",10,"nov",11,"dec",12,"no month")</f>
        <v>3</v>
      </c>
      <c r="C646" s="12" t="str">
        <f>LEFT('All Transactions'!$E646,3)</f>
        <v>Mar</v>
      </c>
      <c r="D646" s="12" t="str">
        <f t="shared" si="21"/>
        <v>2026</v>
      </c>
      <c r="E646" s="16" t="s">
        <v>2200</v>
      </c>
      <c r="F646" s="17" t="s">
        <v>467</v>
      </c>
      <c r="G646" s="18" t="s">
        <v>28</v>
      </c>
      <c r="H646" s="19">
        <v>177</v>
      </c>
      <c r="I646" s="20" t="s">
        <v>594</v>
      </c>
      <c r="J646" s="20" t="s">
        <v>2222</v>
      </c>
      <c r="K646" s="21" t="s">
        <v>2223</v>
      </c>
      <c r="L646" s="20" t="s">
        <v>32</v>
      </c>
      <c r="M646" t="str">
        <f>TEXT(A646,"dddd")</f>
        <v>Wednesday</v>
      </c>
      <c r="N646" s="35">
        <f>DATE(Table4[[#This Row],[year]],Table4[[#This Row],[month2]],Table4[[#This Row],[day]])</f>
        <v>46106</v>
      </c>
    </row>
    <row r="647" spans="1:14" ht="16" x14ac:dyDescent="0.35">
      <c r="A647" t="str">
        <f t="shared" si="20"/>
        <v>25</v>
      </c>
      <c r="B647">
        <f>_xlfn.SWITCH(Table4[[#This Row],[month]],"jan",1,"feb",2,"mar",3,"apr",4,"may",5,"jun",6,"jul",7,"aug",8,"sep",9,"oct",10,"nov",11,"dec",12,"no month")</f>
        <v>3</v>
      </c>
      <c r="C647" s="12" t="str">
        <f>LEFT('All Transactions'!$E647,3)</f>
        <v>Mar</v>
      </c>
      <c r="D647" s="12" t="str">
        <f t="shared" si="21"/>
        <v>2026</v>
      </c>
      <c r="E647" s="22" t="s">
        <v>2200</v>
      </c>
      <c r="F647" s="23" t="s">
        <v>2224</v>
      </c>
      <c r="G647" s="27" t="s">
        <v>54</v>
      </c>
      <c r="H647" s="24">
        <v>80</v>
      </c>
      <c r="I647" s="25" t="s">
        <v>156</v>
      </c>
      <c r="J647" s="25" t="s">
        <v>2225</v>
      </c>
      <c r="K647" s="26" t="s">
        <v>2226</v>
      </c>
      <c r="L647" s="25" t="s">
        <v>58</v>
      </c>
      <c r="M647" t="str">
        <f>TEXT(A647,"dddd")</f>
        <v>Wednesday</v>
      </c>
      <c r="N647" s="35">
        <f>DATE(Table4[[#This Row],[year]],Table4[[#This Row],[month2]],Table4[[#This Row],[day]])</f>
        <v>46106</v>
      </c>
    </row>
    <row r="648" spans="1:14" ht="16" x14ac:dyDescent="0.35">
      <c r="A648" t="str">
        <f t="shared" si="20"/>
        <v>25</v>
      </c>
      <c r="B648">
        <f>_xlfn.SWITCH(Table4[[#This Row],[month]],"jan",1,"feb",2,"mar",3,"apr",4,"may",5,"jun",6,"jul",7,"aug",8,"sep",9,"oct",10,"nov",11,"dec",12,"no month")</f>
        <v>3</v>
      </c>
      <c r="C648" s="12" t="str">
        <f>LEFT('All Transactions'!$E648,3)</f>
        <v>Mar</v>
      </c>
      <c r="D648" s="12" t="str">
        <f t="shared" si="21"/>
        <v>2026</v>
      </c>
      <c r="E648" s="16" t="s">
        <v>2200</v>
      </c>
      <c r="F648" s="17" t="s">
        <v>1179</v>
      </c>
      <c r="G648" s="27" t="s">
        <v>54</v>
      </c>
      <c r="H648" s="19">
        <v>224</v>
      </c>
      <c r="I648" s="20" t="s">
        <v>947</v>
      </c>
      <c r="J648" s="20" t="s">
        <v>2227</v>
      </c>
      <c r="K648" s="21" t="s">
        <v>2228</v>
      </c>
      <c r="L648" s="20" t="s">
        <v>58</v>
      </c>
      <c r="M648" t="str">
        <f>TEXT(A648,"dddd")</f>
        <v>Wednesday</v>
      </c>
      <c r="N648" s="35">
        <f>DATE(Table4[[#This Row],[year]],Table4[[#This Row],[month2]],Table4[[#This Row],[day]])</f>
        <v>46106</v>
      </c>
    </row>
    <row r="649" spans="1:14" ht="16" x14ac:dyDescent="0.35">
      <c r="A649" t="str">
        <f t="shared" si="20"/>
        <v>25</v>
      </c>
      <c r="B649">
        <f>_xlfn.SWITCH(Table4[[#This Row],[month]],"jan",1,"feb",2,"mar",3,"apr",4,"may",5,"jun",6,"jul",7,"aug",8,"sep",9,"oct",10,"nov",11,"dec",12,"no month")</f>
        <v>3</v>
      </c>
      <c r="C649" s="12" t="str">
        <f>LEFT('All Transactions'!$E649,3)</f>
        <v>Mar</v>
      </c>
      <c r="D649" s="12" t="str">
        <f t="shared" si="21"/>
        <v>2026</v>
      </c>
      <c r="E649" s="22" t="s">
        <v>2200</v>
      </c>
      <c r="F649" s="23" t="s">
        <v>2229</v>
      </c>
      <c r="G649" s="18" t="s">
        <v>28</v>
      </c>
      <c r="H649" s="24">
        <v>124.53</v>
      </c>
      <c r="I649" s="25" t="s">
        <v>536</v>
      </c>
      <c r="J649" s="25" t="s">
        <v>2230</v>
      </c>
      <c r="K649" s="26" t="s">
        <v>2231</v>
      </c>
      <c r="L649" s="25" t="s">
        <v>32</v>
      </c>
      <c r="M649" t="str">
        <f>TEXT(A649,"dddd")</f>
        <v>Wednesday</v>
      </c>
      <c r="N649" s="35">
        <f>DATE(Table4[[#This Row],[year]],Table4[[#This Row],[month2]],Table4[[#This Row],[day]])</f>
        <v>46106</v>
      </c>
    </row>
    <row r="650" spans="1:14" ht="16" x14ac:dyDescent="0.35">
      <c r="A650" t="str">
        <f t="shared" si="20"/>
        <v>25</v>
      </c>
      <c r="B650">
        <f>_xlfn.SWITCH(Table4[[#This Row],[month]],"jan",1,"feb",2,"mar",3,"apr",4,"may",5,"jun",6,"jul",7,"aug",8,"sep",9,"oct",10,"nov",11,"dec",12,"no month")</f>
        <v>3</v>
      </c>
      <c r="C650" s="12" t="str">
        <f>LEFT('All Transactions'!$E650,3)</f>
        <v>Mar</v>
      </c>
      <c r="D650" s="12" t="str">
        <f t="shared" si="21"/>
        <v>2026</v>
      </c>
      <c r="E650" s="16" t="s">
        <v>2200</v>
      </c>
      <c r="F650" s="17" t="s">
        <v>2232</v>
      </c>
      <c r="G650" s="18" t="s">
        <v>28</v>
      </c>
      <c r="H650" s="19">
        <v>212.78</v>
      </c>
      <c r="I650" s="20" t="s">
        <v>336</v>
      </c>
      <c r="J650" s="20" t="s">
        <v>2233</v>
      </c>
      <c r="K650" s="21" t="s">
        <v>2234</v>
      </c>
      <c r="L650" s="20" t="s">
        <v>32</v>
      </c>
      <c r="M650" t="str">
        <f>TEXT(A650,"dddd")</f>
        <v>Wednesday</v>
      </c>
      <c r="N650" s="35">
        <f>DATE(Table4[[#This Row],[year]],Table4[[#This Row],[month2]],Table4[[#This Row],[day]])</f>
        <v>46106</v>
      </c>
    </row>
    <row r="651" spans="1:14" ht="16" x14ac:dyDescent="0.35">
      <c r="A651" t="str">
        <f t="shared" si="20"/>
        <v>25</v>
      </c>
      <c r="B651">
        <f>_xlfn.SWITCH(Table4[[#This Row],[month]],"jan",1,"feb",2,"mar",3,"apr",4,"may",5,"jun",6,"jul",7,"aug",8,"sep",9,"oct",10,"nov",11,"dec",12,"no month")</f>
        <v>3</v>
      </c>
      <c r="C651" s="12" t="str">
        <f>LEFT('All Transactions'!$E651,3)</f>
        <v>Mar</v>
      </c>
      <c r="D651" s="12" t="str">
        <f t="shared" si="21"/>
        <v>2026</v>
      </c>
      <c r="E651" s="22" t="s">
        <v>2200</v>
      </c>
      <c r="F651" s="23" t="s">
        <v>2235</v>
      </c>
      <c r="G651" s="27" t="s">
        <v>54</v>
      </c>
      <c r="H651" s="24">
        <v>220</v>
      </c>
      <c r="I651" s="25" t="s">
        <v>156</v>
      </c>
      <c r="J651" s="25" t="s">
        <v>2236</v>
      </c>
      <c r="K651" s="26" t="s">
        <v>2237</v>
      </c>
      <c r="L651" s="25" t="s">
        <v>58</v>
      </c>
      <c r="M651" t="str">
        <f>TEXT(A651,"dddd")</f>
        <v>Wednesday</v>
      </c>
      <c r="N651" s="35">
        <f>DATE(Table4[[#This Row],[year]],Table4[[#This Row],[month2]],Table4[[#This Row],[day]])</f>
        <v>46106</v>
      </c>
    </row>
    <row r="652" spans="1:14" ht="16" x14ac:dyDescent="0.35">
      <c r="A652" t="str">
        <f t="shared" si="20"/>
        <v>25</v>
      </c>
      <c r="B652">
        <f>_xlfn.SWITCH(Table4[[#This Row],[month]],"jan",1,"feb",2,"mar",3,"apr",4,"may",5,"jun",6,"jul",7,"aug",8,"sep",9,"oct",10,"nov",11,"dec",12,"no month")</f>
        <v>3</v>
      </c>
      <c r="C652" s="12" t="str">
        <f>LEFT('All Transactions'!$E652,3)</f>
        <v>Mar</v>
      </c>
      <c r="D652" s="12" t="str">
        <f t="shared" si="21"/>
        <v>2026</v>
      </c>
      <c r="E652" s="16" t="s">
        <v>2200</v>
      </c>
      <c r="F652" s="17" t="s">
        <v>2238</v>
      </c>
      <c r="G652" s="18" t="s">
        <v>28</v>
      </c>
      <c r="H652" s="19">
        <v>500</v>
      </c>
      <c r="I652" s="20" t="s">
        <v>12</v>
      </c>
      <c r="J652" s="20" t="s">
        <v>2239</v>
      </c>
      <c r="K652" s="21" t="s">
        <v>2240</v>
      </c>
      <c r="L652" s="20" t="s">
        <v>32</v>
      </c>
      <c r="M652" t="str">
        <f>TEXT(A652,"dddd")</f>
        <v>Wednesday</v>
      </c>
      <c r="N652" s="35">
        <f>DATE(Table4[[#This Row],[year]],Table4[[#This Row],[month2]],Table4[[#This Row],[day]])</f>
        <v>46106</v>
      </c>
    </row>
    <row r="653" spans="1:14" ht="16" x14ac:dyDescent="0.35">
      <c r="A653" t="str">
        <f t="shared" si="20"/>
        <v>24</v>
      </c>
      <c r="B653">
        <f>_xlfn.SWITCH(Table4[[#This Row],[month]],"jan",1,"feb",2,"mar",3,"apr",4,"may",5,"jun",6,"jul",7,"aug",8,"sep",9,"oct",10,"nov",11,"dec",12,"no month")</f>
        <v>3</v>
      </c>
      <c r="C653" s="12" t="str">
        <f>LEFT('All Transactions'!$E653,3)</f>
        <v>Mar</v>
      </c>
      <c r="D653" s="12" t="str">
        <f t="shared" si="21"/>
        <v>2026</v>
      </c>
      <c r="E653" s="22" t="s">
        <v>2241</v>
      </c>
      <c r="F653" s="23" t="s">
        <v>2242</v>
      </c>
      <c r="G653" s="27" t="s">
        <v>54</v>
      </c>
      <c r="H653" s="24">
        <v>600</v>
      </c>
      <c r="I653" s="25" t="s">
        <v>156</v>
      </c>
      <c r="J653" s="25" t="s">
        <v>2243</v>
      </c>
      <c r="K653" s="26" t="s">
        <v>2244</v>
      </c>
      <c r="L653" s="25" t="s">
        <v>58</v>
      </c>
      <c r="M653" t="str">
        <f>TEXT(A653,"dddd")</f>
        <v>Tuesday</v>
      </c>
      <c r="N653" s="35">
        <f>DATE(Table4[[#This Row],[year]],Table4[[#This Row],[month2]],Table4[[#This Row],[day]])</f>
        <v>46105</v>
      </c>
    </row>
    <row r="654" spans="1:14" ht="16" x14ac:dyDescent="0.35">
      <c r="A654" t="str">
        <f t="shared" si="20"/>
        <v>24</v>
      </c>
      <c r="B654">
        <f>_xlfn.SWITCH(Table4[[#This Row],[month]],"jan",1,"feb",2,"mar",3,"apr",4,"may",5,"jun",6,"jul",7,"aug",8,"sep",9,"oct",10,"nov",11,"dec",12,"no month")</f>
        <v>3</v>
      </c>
      <c r="C654" s="12" t="str">
        <f>LEFT('All Transactions'!$E654,3)</f>
        <v>Mar</v>
      </c>
      <c r="D654" s="12" t="str">
        <f t="shared" si="21"/>
        <v>2026</v>
      </c>
      <c r="E654" s="16" t="s">
        <v>2241</v>
      </c>
      <c r="F654" s="17" t="s">
        <v>951</v>
      </c>
      <c r="G654" s="18" t="s">
        <v>28</v>
      </c>
      <c r="H654" s="19">
        <v>20</v>
      </c>
      <c r="I654" s="20" t="s">
        <v>2245</v>
      </c>
      <c r="J654" s="20" t="s">
        <v>2246</v>
      </c>
      <c r="K654" s="21" t="s">
        <v>2247</v>
      </c>
      <c r="L654" s="20" t="s">
        <v>32</v>
      </c>
      <c r="M654" t="str">
        <f>TEXT(A654,"dddd")</f>
        <v>Tuesday</v>
      </c>
      <c r="N654" s="35">
        <f>DATE(Table4[[#This Row],[year]],Table4[[#This Row],[month2]],Table4[[#This Row],[day]])</f>
        <v>46105</v>
      </c>
    </row>
    <row r="655" spans="1:14" ht="16" x14ac:dyDescent="0.35">
      <c r="A655" t="str">
        <f t="shared" si="20"/>
        <v>24</v>
      </c>
      <c r="B655">
        <f>_xlfn.SWITCH(Table4[[#This Row],[month]],"jan",1,"feb",2,"mar",3,"apr",4,"may",5,"jun",6,"jul",7,"aug",8,"sep",9,"oct",10,"nov",11,"dec",12,"no month")</f>
        <v>3</v>
      </c>
      <c r="C655" s="12" t="str">
        <f>LEFT('All Transactions'!$E655,3)</f>
        <v>Mar</v>
      </c>
      <c r="D655" s="12" t="str">
        <f t="shared" si="21"/>
        <v>2026</v>
      </c>
      <c r="E655" s="22" t="s">
        <v>2241</v>
      </c>
      <c r="F655" s="23" t="s">
        <v>2248</v>
      </c>
      <c r="G655" s="18" t="s">
        <v>28</v>
      </c>
      <c r="H655" s="24">
        <v>50</v>
      </c>
      <c r="I655" s="25" t="s">
        <v>1465</v>
      </c>
      <c r="J655" s="25" t="s">
        <v>2249</v>
      </c>
      <c r="K655" s="26" t="s">
        <v>2250</v>
      </c>
      <c r="L655" s="25" t="s">
        <v>32</v>
      </c>
      <c r="M655" t="str">
        <f>TEXT(A655,"dddd")</f>
        <v>Tuesday</v>
      </c>
      <c r="N655" s="35">
        <f>DATE(Table4[[#This Row],[year]],Table4[[#This Row],[month2]],Table4[[#This Row],[day]])</f>
        <v>46105</v>
      </c>
    </row>
    <row r="656" spans="1:14" ht="16" x14ac:dyDescent="0.35">
      <c r="A656" t="str">
        <f t="shared" si="20"/>
        <v>24</v>
      </c>
      <c r="B656">
        <f>_xlfn.SWITCH(Table4[[#This Row],[month]],"jan",1,"feb",2,"mar",3,"apr",4,"may",5,"jun",6,"jul",7,"aug",8,"sep",9,"oct",10,"nov",11,"dec",12,"no month")</f>
        <v>3</v>
      </c>
      <c r="C656" s="12" t="str">
        <f>LEFT('All Transactions'!$E656,3)</f>
        <v>Mar</v>
      </c>
      <c r="D656" s="12" t="str">
        <f t="shared" si="21"/>
        <v>2026</v>
      </c>
      <c r="E656" s="16" t="s">
        <v>2241</v>
      </c>
      <c r="F656" s="17" t="s">
        <v>2251</v>
      </c>
      <c r="G656" s="18" t="s">
        <v>28</v>
      </c>
      <c r="H656" s="19">
        <v>30</v>
      </c>
      <c r="I656" s="20" t="s">
        <v>2252</v>
      </c>
      <c r="J656" s="20" t="s">
        <v>2253</v>
      </c>
      <c r="K656" s="21" t="s">
        <v>2254</v>
      </c>
      <c r="L656" s="20" t="s">
        <v>32</v>
      </c>
      <c r="M656" t="str">
        <f>TEXT(A656,"dddd")</f>
        <v>Tuesday</v>
      </c>
      <c r="N656" s="35">
        <f>DATE(Table4[[#This Row],[year]],Table4[[#This Row],[month2]],Table4[[#This Row],[day]])</f>
        <v>46105</v>
      </c>
    </row>
    <row r="657" spans="1:14" ht="16" x14ac:dyDescent="0.35">
      <c r="A657" t="str">
        <f t="shared" si="20"/>
        <v>24</v>
      </c>
      <c r="B657">
        <f>_xlfn.SWITCH(Table4[[#This Row],[month]],"jan",1,"feb",2,"mar",3,"apr",4,"may",5,"jun",6,"jul",7,"aug",8,"sep",9,"oct",10,"nov",11,"dec",12,"no month")</f>
        <v>3</v>
      </c>
      <c r="C657" s="12" t="str">
        <f>LEFT('All Transactions'!$E657,3)</f>
        <v>Mar</v>
      </c>
      <c r="D657" s="12" t="str">
        <f t="shared" si="21"/>
        <v>2026</v>
      </c>
      <c r="E657" s="22" t="s">
        <v>2241</v>
      </c>
      <c r="F657" s="23" t="s">
        <v>2255</v>
      </c>
      <c r="G657" s="18" t="s">
        <v>28</v>
      </c>
      <c r="H657" s="24">
        <v>20</v>
      </c>
      <c r="I657" s="25" t="s">
        <v>2256</v>
      </c>
      <c r="J657" s="25" t="s">
        <v>2257</v>
      </c>
      <c r="K657" s="26" t="s">
        <v>2258</v>
      </c>
      <c r="L657" s="25" t="s">
        <v>32</v>
      </c>
      <c r="M657" t="str">
        <f>TEXT(A657,"dddd")</f>
        <v>Tuesday</v>
      </c>
      <c r="N657" s="35">
        <f>DATE(Table4[[#This Row],[year]],Table4[[#This Row],[month2]],Table4[[#This Row],[day]])</f>
        <v>46105</v>
      </c>
    </row>
    <row r="658" spans="1:14" ht="16" x14ac:dyDescent="0.35">
      <c r="A658" t="str">
        <f t="shared" si="20"/>
        <v>24</v>
      </c>
      <c r="B658">
        <f>_xlfn.SWITCH(Table4[[#This Row],[month]],"jan",1,"feb",2,"mar",3,"apr",4,"may",5,"jun",6,"jul",7,"aug",8,"sep",9,"oct",10,"nov",11,"dec",12,"no month")</f>
        <v>3</v>
      </c>
      <c r="C658" s="12" t="str">
        <f>LEFT('All Transactions'!$E658,3)</f>
        <v>Mar</v>
      </c>
      <c r="D658" s="12" t="str">
        <f t="shared" si="21"/>
        <v>2026</v>
      </c>
      <c r="E658" s="16" t="s">
        <v>2241</v>
      </c>
      <c r="F658" s="17" t="s">
        <v>2259</v>
      </c>
      <c r="G658" s="18" t="s">
        <v>28</v>
      </c>
      <c r="H658" s="19">
        <v>8</v>
      </c>
      <c r="I658" s="20" t="s">
        <v>2260</v>
      </c>
      <c r="J658" s="20" t="s">
        <v>2261</v>
      </c>
      <c r="K658" s="21" t="s">
        <v>2262</v>
      </c>
      <c r="L658" s="20" t="s">
        <v>32</v>
      </c>
      <c r="M658" t="str">
        <f>TEXT(A658,"dddd")</f>
        <v>Tuesday</v>
      </c>
      <c r="N658" s="35">
        <f>DATE(Table4[[#This Row],[year]],Table4[[#This Row],[month2]],Table4[[#This Row],[day]])</f>
        <v>46105</v>
      </c>
    </row>
    <row r="659" spans="1:14" ht="16" x14ac:dyDescent="0.35">
      <c r="A659" t="str">
        <f t="shared" si="20"/>
        <v>24</v>
      </c>
      <c r="B659">
        <f>_xlfn.SWITCH(Table4[[#This Row],[month]],"jan",1,"feb",2,"mar",3,"apr",4,"may",5,"jun",6,"jul",7,"aug",8,"sep",9,"oct",10,"nov",11,"dec",12,"no month")</f>
        <v>3</v>
      </c>
      <c r="C659" s="12" t="str">
        <f>LEFT('All Transactions'!$E659,3)</f>
        <v>Mar</v>
      </c>
      <c r="D659" s="12" t="str">
        <f t="shared" si="21"/>
        <v>2026</v>
      </c>
      <c r="E659" s="22" t="s">
        <v>2241</v>
      </c>
      <c r="F659" s="23" t="s">
        <v>2263</v>
      </c>
      <c r="G659" s="27" t="s">
        <v>54</v>
      </c>
      <c r="H659" s="24">
        <v>124</v>
      </c>
      <c r="I659" s="25" t="s">
        <v>2264</v>
      </c>
      <c r="J659" s="25" t="s">
        <v>2265</v>
      </c>
      <c r="K659" s="26" t="s">
        <v>2266</v>
      </c>
      <c r="L659" s="25" t="s">
        <v>58</v>
      </c>
      <c r="M659" t="str">
        <f>TEXT(A659,"dddd")</f>
        <v>Tuesday</v>
      </c>
      <c r="N659" s="35">
        <f>DATE(Table4[[#This Row],[year]],Table4[[#This Row],[month2]],Table4[[#This Row],[day]])</f>
        <v>46105</v>
      </c>
    </row>
    <row r="660" spans="1:14" ht="16" x14ac:dyDescent="0.35">
      <c r="A660" t="str">
        <f t="shared" si="20"/>
        <v>24</v>
      </c>
      <c r="B660">
        <f>_xlfn.SWITCH(Table4[[#This Row],[month]],"jan",1,"feb",2,"mar",3,"apr",4,"may",5,"jun",6,"jul",7,"aug",8,"sep",9,"oct",10,"nov",11,"dec",12,"no month")</f>
        <v>3</v>
      </c>
      <c r="C660" s="12" t="str">
        <f>LEFT('All Transactions'!$E660,3)</f>
        <v>Mar</v>
      </c>
      <c r="D660" s="12" t="str">
        <f t="shared" si="21"/>
        <v>2026</v>
      </c>
      <c r="E660" s="16" t="s">
        <v>2241</v>
      </c>
      <c r="F660" s="17" t="s">
        <v>2267</v>
      </c>
      <c r="G660" s="18" t="s">
        <v>28</v>
      </c>
      <c r="H660" s="19">
        <v>40</v>
      </c>
      <c r="I660" s="20" t="s">
        <v>384</v>
      </c>
      <c r="J660" s="20" t="s">
        <v>2268</v>
      </c>
      <c r="K660" s="21" t="s">
        <v>2269</v>
      </c>
      <c r="L660" s="20" t="s">
        <v>32</v>
      </c>
      <c r="M660" t="str">
        <f>TEXT(A660,"dddd")</f>
        <v>Tuesday</v>
      </c>
      <c r="N660" s="35">
        <f>DATE(Table4[[#This Row],[year]],Table4[[#This Row],[month2]],Table4[[#This Row],[day]])</f>
        <v>46105</v>
      </c>
    </row>
    <row r="661" spans="1:14" ht="16" x14ac:dyDescent="0.35">
      <c r="A661" t="str">
        <f t="shared" si="20"/>
        <v>24</v>
      </c>
      <c r="B661">
        <f>_xlfn.SWITCH(Table4[[#This Row],[month]],"jan",1,"feb",2,"mar",3,"apr",4,"may",5,"jun",6,"jul",7,"aug",8,"sep",9,"oct",10,"nov",11,"dec",12,"no month")</f>
        <v>3</v>
      </c>
      <c r="C661" s="12" t="str">
        <f>LEFT('All Transactions'!$E661,3)</f>
        <v>Mar</v>
      </c>
      <c r="D661" s="12" t="str">
        <f t="shared" si="21"/>
        <v>2026</v>
      </c>
      <c r="E661" s="22" t="s">
        <v>2241</v>
      </c>
      <c r="F661" s="23" t="s">
        <v>2270</v>
      </c>
      <c r="G661" s="27" t="s">
        <v>54</v>
      </c>
      <c r="H661" s="24">
        <v>258</v>
      </c>
      <c r="I661" s="25" t="s">
        <v>2271</v>
      </c>
      <c r="J661" s="25" t="s">
        <v>2272</v>
      </c>
      <c r="K661" s="26" t="s">
        <v>2273</v>
      </c>
      <c r="L661" s="25" t="s">
        <v>58</v>
      </c>
      <c r="M661" t="str">
        <f>TEXT(A661,"dddd")</f>
        <v>Tuesday</v>
      </c>
      <c r="N661" s="35">
        <f>DATE(Table4[[#This Row],[year]],Table4[[#This Row],[month2]],Table4[[#This Row],[day]])</f>
        <v>46105</v>
      </c>
    </row>
    <row r="662" spans="1:14" ht="16" x14ac:dyDescent="0.35">
      <c r="A662" t="str">
        <f t="shared" si="20"/>
        <v>23</v>
      </c>
      <c r="B662">
        <f>_xlfn.SWITCH(Table4[[#This Row],[month]],"jan",1,"feb",2,"mar",3,"apr",4,"may",5,"jun",6,"jul",7,"aug",8,"sep",9,"oct",10,"nov",11,"dec",12,"no month")</f>
        <v>3</v>
      </c>
      <c r="C662" s="12" t="str">
        <f>LEFT('All Transactions'!$E662,3)</f>
        <v>Mar</v>
      </c>
      <c r="D662" s="12" t="str">
        <f t="shared" si="21"/>
        <v>2026</v>
      </c>
      <c r="E662" s="16" t="s">
        <v>2274</v>
      </c>
      <c r="F662" s="17" t="s">
        <v>2275</v>
      </c>
      <c r="G662" s="18" t="s">
        <v>28</v>
      </c>
      <c r="H662" s="19">
        <v>140.84</v>
      </c>
      <c r="I662" s="20" t="s">
        <v>336</v>
      </c>
      <c r="J662" s="20" t="s">
        <v>2276</v>
      </c>
      <c r="K662" s="21" t="s">
        <v>2277</v>
      </c>
      <c r="L662" s="20" t="s">
        <v>32</v>
      </c>
      <c r="M662" t="str">
        <f>TEXT(A662,"dddd")</f>
        <v>Monday</v>
      </c>
      <c r="N662" s="35">
        <f>DATE(Table4[[#This Row],[year]],Table4[[#This Row],[month2]],Table4[[#This Row],[day]])</f>
        <v>46104</v>
      </c>
    </row>
    <row r="663" spans="1:14" ht="16" x14ac:dyDescent="0.35">
      <c r="A663" t="str">
        <f t="shared" si="20"/>
        <v>23</v>
      </c>
      <c r="B663">
        <f>_xlfn.SWITCH(Table4[[#This Row],[month]],"jan",1,"feb",2,"mar",3,"apr",4,"may",5,"jun",6,"jul",7,"aug",8,"sep",9,"oct",10,"nov",11,"dec",12,"no month")</f>
        <v>3</v>
      </c>
      <c r="C663" s="12" t="str">
        <f>LEFT('All Transactions'!$E663,3)</f>
        <v>Mar</v>
      </c>
      <c r="D663" s="12" t="str">
        <f t="shared" si="21"/>
        <v>2026</v>
      </c>
      <c r="E663" s="22" t="s">
        <v>2274</v>
      </c>
      <c r="F663" s="23" t="s">
        <v>2278</v>
      </c>
      <c r="G663" s="18" t="s">
        <v>28</v>
      </c>
      <c r="H663" s="24">
        <v>95.07</v>
      </c>
      <c r="I663" s="25" t="s">
        <v>536</v>
      </c>
      <c r="J663" s="25" t="s">
        <v>2279</v>
      </c>
      <c r="K663" s="26" t="s">
        <v>2280</v>
      </c>
      <c r="L663" s="25" t="s">
        <v>32</v>
      </c>
      <c r="M663" t="str">
        <f>TEXT(A663,"dddd")</f>
        <v>Monday</v>
      </c>
      <c r="N663" s="35">
        <f>DATE(Table4[[#This Row],[year]],Table4[[#This Row],[month2]],Table4[[#This Row],[day]])</f>
        <v>46104</v>
      </c>
    </row>
    <row r="664" spans="1:14" ht="16" x14ac:dyDescent="0.35">
      <c r="A664" t="str">
        <f t="shared" si="20"/>
        <v>23</v>
      </c>
      <c r="B664">
        <f>_xlfn.SWITCH(Table4[[#This Row],[month]],"jan",1,"feb",2,"mar",3,"apr",4,"may",5,"jun",6,"jul",7,"aug",8,"sep",9,"oct",10,"nov",11,"dec",12,"no month")</f>
        <v>3</v>
      </c>
      <c r="C664" s="12" t="str">
        <f>LEFT('All Transactions'!$E664,3)</f>
        <v>Mar</v>
      </c>
      <c r="D664" s="12" t="str">
        <f t="shared" si="21"/>
        <v>2026</v>
      </c>
      <c r="E664" s="16" t="s">
        <v>2274</v>
      </c>
      <c r="F664" s="17" t="s">
        <v>2281</v>
      </c>
      <c r="G664" s="27" t="s">
        <v>54</v>
      </c>
      <c r="H664" s="19">
        <v>75</v>
      </c>
      <c r="I664" s="20" t="s">
        <v>2282</v>
      </c>
      <c r="J664" s="20" t="s">
        <v>2283</v>
      </c>
      <c r="K664" s="21" t="s">
        <v>2284</v>
      </c>
      <c r="L664" s="20" t="s">
        <v>58</v>
      </c>
      <c r="M664" t="str">
        <f>TEXT(A664,"dddd")</f>
        <v>Monday</v>
      </c>
      <c r="N664" s="35">
        <f>DATE(Table4[[#This Row],[year]],Table4[[#This Row],[month2]],Table4[[#This Row],[day]])</f>
        <v>46104</v>
      </c>
    </row>
    <row r="665" spans="1:14" ht="16" x14ac:dyDescent="0.35">
      <c r="A665" t="str">
        <f t="shared" si="20"/>
        <v>22</v>
      </c>
      <c r="B665">
        <f>_xlfn.SWITCH(Table4[[#This Row],[month]],"jan",1,"feb",2,"mar",3,"apr",4,"may",5,"jun",6,"jul",7,"aug",8,"sep",9,"oct",10,"nov",11,"dec",12,"no month")</f>
        <v>3</v>
      </c>
      <c r="C665" s="12" t="str">
        <f>LEFT('All Transactions'!$E665,3)</f>
        <v>Mar</v>
      </c>
      <c r="D665" s="12" t="str">
        <f t="shared" si="21"/>
        <v>2026</v>
      </c>
      <c r="E665" s="22" t="s">
        <v>2285</v>
      </c>
      <c r="F665" s="23" t="s">
        <v>350</v>
      </c>
      <c r="G665" s="27" t="s">
        <v>54</v>
      </c>
      <c r="H665" s="24">
        <v>70</v>
      </c>
      <c r="I665" s="25" t="s">
        <v>2286</v>
      </c>
      <c r="J665" s="25" t="s">
        <v>2287</v>
      </c>
      <c r="K665" s="26" t="s">
        <v>2288</v>
      </c>
      <c r="L665" s="25" t="s">
        <v>58</v>
      </c>
      <c r="M665" t="str">
        <f>TEXT(A665,"dddd")</f>
        <v>Sunday</v>
      </c>
      <c r="N665" s="35">
        <f>DATE(Table4[[#This Row],[year]],Table4[[#This Row],[month2]],Table4[[#This Row],[day]])</f>
        <v>46103</v>
      </c>
    </row>
    <row r="666" spans="1:14" ht="16" x14ac:dyDescent="0.35">
      <c r="A666" t="str">
        <f t="shared" si="20"/>
        <v>22</v>
      </c>
      <c r="B666">
        <f>_xlfn.SWITCH(Table4[[#This Row],[month]],"jan",1,"feb",2,"mar",3,"apr",4,"may",5,"jun",6,"jul",7,"aug",8,"sep",9,"oct",10,"nov",11,"dec",12,"no month")</f>
        <v>3</v>
      </c>
      <c r="C666" s="12" t="str">
        <f>LEFT('All Transactions'!$E666,3)</f>
        <v>Mar</v>
      </c>
      <c r="D666" s="12" t="str">
        <f t="shared" si="21"/>
        <v>2026</v>
      </c>
      <c r="E666" s="16" t="s">
        <v>2285</v>
      </c>
      <c r="F666" s="17" t="s">
        <v>518</v>
      </c>
      <c r="G666" s="27" t="s">
        <v>54</v>
      </c>
      <c r="H666" s="19">
        <v>110</v>
      </c>
      <c r="I666" s="20" t="s">
        <v>2289</v>
      </c>
      <c r="J666" s="20" t="s">
        <v>2290</v>
      </c>
      <c r="K666" s="21" t="s">
        <v>2291</v>
      </c>
      <c r="L666" s="20" t="s">
        <v>58</v>
      </c>
      <c r="M666" t="str">
        <f>TEXT(A666,"dddd")</f>
        <v>Sunday</v>
      </c>
      <c r="N666" s="35">
        <f>DATE(Table4[[#This Row],[year]],Table4[[#This Row],[month2]],Table4[[#This Row],[day]])</f>
        <v>46103</v>
      </c>
    </row>
    <row r="667" spans="1:14" ht="16" x14ac:dyDescent="0.35">
      <c r="A667" t="str">
        <f t="shared" si="20"/>
        <v>22</v>
      </c>
      <c r="B667">
        <f>_xlfn.SWITCH(Table4[[#This Row],[month]],"jan",1,"feb",2,"mar",3,"apr",4,"may",5,"jun",6,"jul",7,"aug",8,"sep",9,"oct",10,"nov",11,"dec",12,"no month")</f>
        <v>3</v>
      </c>
      <c r="C667" s="12" t="str">
        <f>LEFT('All Transactions'!$E667,3)</f>
        <v>Mar</v>
      </c>
      <c r="D667" s="12" t="str">
        <f t="shared" si="21"/>
        <v>2026</v>
      </c>
      <c r="E667" s="22" t="s">
        <v>2285</v>
      </c>
      <c r="F667" s="23" t="s">
        <v>1282</v>
      </c>
      <c r="G667" s="18" t="s">
        <v>28</v>
      </c>
      <c r="H667" s="24">
        <v>9</v>
      </c>
      <c r="I667" s="25" t="s">
        <v>2292</v>
      </c>
      <c r="J667" s="25" t="s">
        <v>2293</v>
      </c>
      <c r="K667" s="26" t="s">
        <v>2294</v>
      </c>
      <c r="L667" s="25" t="s">
        <v>1808</v>
      </c>
      <c r="M667" t="str">
        <f>TEXT(A667,"dddd")</f>
        <v>Sunday</v>
      </c>
      <c r="N667" s="35">
        <f>DATE(Table4[[#This Row],[year]],Table4[[#This Row],[month2]],Table4[[#This Row],[day]])</f>
        <v>46103</v>
      </c>
    </row>
    <row r="668" spans="1:14" ht="16" x14ac:dyDescent="0.35">
      <c r="A668" t="str">
        <f t="shared" si="20"/>
        <v>22</v>
      </c>
      <c r="B668">
        <f>_xlfn.SWITCH(Table4[[#This Row],[month]],"jan",1,"feb",2,"mar",3,"apr",4,"may",5,"jun",6,"jul",7,"aug",8,"sep",9,"oct",10,"nov",11,"dec",12,"no month")</f>
        <v>3</v>
      </c>
      <c r="C668" s="12" t="str">
        <f>LEFT('All Transactions'!$E668,3)</f>
        <v>Mar</v>
      </c>
      <c r="D668" s="12" t="str">
        <f t="shared" si="21"/>
        <v>2026</v>
      </c>
      <c r="E668" s="16" t="s">
        <v>2285</v>
      </c>
      <c r="F668" s="17" t="s">
        <v>2295</v>
      </c>
      <c r="G668" s="18" t="s">
        <v>28</v>
      </c>
      <c r="H668" s="19">
        <v>19</v>
      </c>
      <c r="I668" s="20" t="s">
        <v>2296</v>
      </c>
      <c r="J668" s="20" t="s">
        <v>2297</v>
      </c>
      <c r="K668" s="21" t="s">
        <v>2298</v>
      </c>
      <c r="L668" s="20" t="s">
        <v>32</v>
      </c>
      <c r="M668" t="str">
        <f>TEXT(A668,"dddd")</f>
        <v>Sunday</v>
      </c>
      <c r="N668" s="35">
        <f>DATE(Table4[[#This Row],[year]],Table4[[#This Row],[month2]],Table4[[#This Row],[day]])</f>
        <v>46103</v>
      </c>
    </row>
    <row r="669" spans="1:14" ht="16" x14ac:dyDescent="0.35">
      <c r="A669" t="str">
        <f t="shared" si="20"/>
        <v>22</v>
      </c>
      <c r="B669">
        <f>_xlfn.SWITCH(Table4[[#This Row],[month]],"jan",1,"feb",2,"mar",3,"apr",4,"may",5,"jun",6,"jul",7,"aug",8,"sep",9,"oct",10,"nov",11,"dec",12,"no month")</f>
        <v>3</v>
      </c>
      <c r="C669" s="12" t="str">
        <f>LEFT('All Transactions'!$E669,3)</f>
        <v>Mar</v>
      </c>
      <c r="D669" s="12" t="str">
        <f t="shared" si="21"/>
        <v>2026</v>
      </c>
      <c r="E669" s="22" t="s">
        <v>2285</v>
      </c>
      <c r="F669" s="23" t="s">
        <v>773</v>
      </c>
      <c r="G669" s="27" t="s">
        <v>54</v>
      </c>
      <c r="H669" s="24">
        <v>400</v>
      </c>
      <c r="I669" s="25" t="s">
        <v>156</v>
      </c>
      <c r="J669" s="25" t="s">
        <v>2299</v>
      </c>
      <c r="K669" s="26" t="s">
        <v>2300</v>
      </c>
      <c r="L669" s="25" t="s">
        <v>58</v>
      </c>
      <c r="M669" t="str">
        <f>TEXT(A669,"dddd")</f>
        <v>Sunday</v>
      </c>
      <c r="N669" s="35">
        <f>DATE(Table4[[#This Row],[year]],Table4[[#This Row],[month2]],Table4[[#This Row],[day]])</f>
        <v>46103</v>
      </c>
    </row>
    <row r="670" spans="1:14" ht="16" x14ac:dyDescent="0.35">
      <c r="A670" t="str">
        <f t="shared" si="20"/>
        <v>22</v>
      </c>
      <c r="B670">
        <f>_xlfn.SWITCH(Table4[[#This Row],[month]],"jan",1,"feb",2,"mar",3,"apr",4,"may",5,"jun",6,"jul",7,"aug",8,"sep",9,"oct",10,"nov",11,"dec",12,"no month")</f>
        <v>3</v>
      </c>
      <c r="C670" s="12" t="str">
        <f>LEFT('All Transactions'!$E670,3)</f>
        <v>Mar</v>
      </c>
      <c r="D670" s="12" t="str">
        <f t="shared" si="21"/>
        <v>2026</v>
      </c>
      <c r="E670" s="16" t="s">
        <v>2285</v>
      </c>
      <c r="F670" s="17" t="s">
        <v>2301</v>
      </c>
      <c r="G670" s="18" t="s">
        <v>28</v>
      </c>
      <c r="H670" s="19">
        <v>10</v>
      </c>
      <c r="I670" s="20" t="s">
        <v>2302</v>
      </c>
      <c r="J670" s="20" t="s">
        <v>2303</v>
      </c>
      <c r="K670" s="21" t="s">
        <v>2304</v>
      </c>
      <c r="L670" s="20" t="s">
        <v>32</v>
      </c>
      <c r="M670" t="str">
        <f>TEXT(A670,"dddd")</f>
        <v>Sunday</v>
      </c>
      <c r="N670" s="35">
        <f>DATE(Table4[[#This Row],[year]],Table4[[#This Row],[month2]],Table4[[#This Row],[day]])</f>
        <v>46103</v>
      </c>
    </row>
    <row r="671" spans="1:14" ht="16" x14ac:dyDescent="0.35">
      <c r="A671" t="str">
        <f t="shared" si="20"/>
        <v>22</v>
      </c>
      <c r="B671">
        <f>_xlfn.SWITCH(Table4[[#This Row],[month]],"jan",1,"feb",2,"mar",3,"apr",4,"may",5,"jun",6,"jul",7,"aug",8,"sep",9,"oct",10,"nov",11,"dec",12,"no month")</f>
        <v>3</v>
      </c>
      <c r="C671" s="12" t="str">
        <f>LEFT('All Transactions'!$E671,3)</f>
        <v>Mar</v>
      </c>
      <c r="D671" s="12" t="str">
        <f t="shared" si="21"/>
        <v>2026</v>
      </c>
      <c r="E671" s="22" t="s">
        <v>2285</v>
      </c>
      <c r="F671" s="23" t="s">
        <v>2305</v>
      </c>
      <c r="G671" s="18" t="s">
        <v>28</v>
      </c>
      <c r="H671" s="24">
        <v>25</v>
      </c>
      <c r="I671" s="25" t="s">
        <v>20</v>
      </c>
      <c r="J671" s="25" t="s">
        <v>2306</v>
      </c>
      <c r="K671" s="26" t="s">
        <v>2307</v>
      </c>
      <c r="L671" s="25" t="s">
        <v>1808</v>
      </c>
      <c r="M671" t="str">
        <f>TEXT(A671,"dddd")</f>
        <v>Sunday</v>
      </c>
      <c r="N671" s="35">
        <f>DATE(Table4[[#This Row],[year]],Table4[[#This Row],[month2]],Table4[[#This Row],[day]])</f>
        <v>46103</v>
      </c>
    </row>
    <row r="672" spans="1:14" ht="16" x14ac:dyDescent="0.35">
      <c r="A672" t="str">
        <f t="shared" si="20"/>
        <v>21</v>
      </c>
      <c r="B672">
        <f>_xlfn.SWITCH(Table4[[#This Row],[month]],"jan",1,"feb",2,"mar",3,"apr",4,"may",5,"jun",6,"jul",7,"aug",8,"sep",9,"oct",10,"nov",11,"dec",12,"no month")</f>
        <v>3</v>
      </c>
      <c r="C672" s="12" t="str">
        <f>LEFT('All Transactions'!$E672,3)</f>
        <v>Mar</v>
      </c>
      <c r="D672" s="12" t="str">
        <f t="shared" si="21"/>
        <v>2026</v>
      </c>
      <c r="E672" s="16" t="s">
        <v>2308</v>
      </c>
      <c r="F672" s="17" t="s">
        <v>2309</v>
      </c>
      <c r="G672" s="18" t="s">
        <v>28</v>
      </c>
      <c r="H672" s="19">
        <v>19</v>
      </c>
      <c r="I672" s="20" t="s">
        <v>2310</v>
      </c>
      <c r="J672" s="20" t="s">
        <v>2311</v>
      </c>
      <c r="K672" s="21" t="s">
        <v>2312</v>
      </c>
      <c r="L672" s="20" t="s">
        <v>32</v>
      </c>
      <c r="M672" t="str">
        <f>TEXT(A672,"dddd")</f>
        <v>Saturday</v>
      </c>
      <c r="N672" s="35">
        <f>DATE(Table4[[#This Row],[year]],Table4[[#This Row],[month2]],Table4[[#This Row],[day]])</f>
        <v>46102</v>
      </c>
    </row>
    <row r="673" spans="1:14" ht="16" x14ac:dyDescent="0.35">
      <c r="A673" t="str">
        <f t="shared" si="20"/>
        <v>21</v>
      </c>
      <c r="B673">
        <f>_xlfn.SWITCH(Table4[[#This Row],[month]],"jan",1,"feb",2,"mar",3,"apr",4,"may",5,"jun",6,"jul",7,"aug",8,"sep",9,"oct",10,"nov",11,"dec",12,"no month")</f>
        <v>3</v>
      </c>
      <c r="C673" s="12" t="str">
        <f>LEFT('All Transactions'!$E673,3)</f>
        <v>Mar</v>
      </c>
      <c r="D673" s="12" t="str">
        <f t="shared" si="21"/>
        <v>2026</v>
      </c>
      <c r="E673" s="22" t="s">
        <v>2308</v>
      </c>
      <c r="F673" s="23" t="s">
        <v>2313</v>
      </c>
      <c r="G673" s="18" t="s">
        <v>28</v>
      </c>
      <c r="H673" s="24">
        <v>400</v>
      </c>
      <c r="I673" s="25" t="s">
        <v>2314</v>
      </c>
      <c r="J673" s="25" t="s">
        <v>2315</v>
      </c>
      <c r="K673" s="26" t="s">
        <v>2316</v>
      </c>
      <c r="L673" s="25" t="s">
        <v>32</v>
      </c>
      <c r="M673" t="str">
        <f>TEXT(A673,"dddd")</f>
        <v>Saturday</v>
      </c>
      <c r="N673" s="35">
        <f>DATE(Table4[[#This Row],[year]],Table4[[#This Row],[month2]],Table4[[#This Row],[day]])</f>
        <v>46102</v>
      </c>
    </row>
    <row r="674" spans="1:14" ht="16" x14ac:dyDescent="0.35">
      <c r="A674" t="str">
        <f t="shared" si="20"/>
        <v>21</v>
      </c>
      <c r="B674">
        <f>_xlfn.SWITCH(Table4[[#This Row],[month]],"jan",1,"feb",2,"mar",3,"apr",4,"may",5,"jun",6,"jul",7,"aug",8,"sep",9,"oct",10,"nov",11,"dec",12,"no month")</f>
        <v>3</v>
      </c>
      <c r="C674" s="12" t="str">
        <f>LEFT('All Transactions'!$E674,3)</f>
        <v>Mar</v>
      </c>
      <c r="D674" s="12" t="str">
        <f t="shared" si="21"/>
        <v>2026</v>
      </c>
      <c r="E674" s="16" t="s">
        <v>2308</v>
      </c>
      <c r="F674" s="17" t="s">
        <v>2317</v>
      </c>
      <c r="G674" s="27" t="s">
        <v>54</v>
      </c>
      <c r="H674" s="19">
        <v>400</v>
      </c>
      <c r="I674" s="20" t="s">
        <v>143</v>
      </c>
      <c r="J674" s="20" t="s">
        <v>2318</v>
      </c>
      <c r="K674" s="21" t="s">
        <v>2319</v>
      </c>
      <c r="L674" s="20" t="s">
        <v>58</v>
      </c>
      <c r="M674" t="str">
        <f>TEXT(A674,"dddd")</f>
        <v>Saturday</v>
      </c>
      <c r="N674" s="35">
        <f>DATE(Table4[[#This Row],[year]],Table4[[#This Row],[month2]],Table4[[#This Row],[day]])</f>
        <v>46102</v>
      </c>
    </row>
    <row r="675" spans="1:14" ht="16" x14ac:dyDescent="0.35">
      <c r="A675" t="str">
        <f t="shared" si="20"/>
        <v>20</v>
      </c>
      <c r="B675">
        <f>_xlfn.SWITCH(Table4[[#This Row],[month]],"jan",1,"feb",2,"mar",3,"apr",4,"may",5,"jun",6,"jul",7,"aug",8,"sep",9,"oct",10,"nov",11,"dec",12,"no month")</f>
        <v>3</v>
      </c>
      <c r="C675" s="12" t="str">
        <f>LEFT('All Transactions'!$E675,3)</f>
        <v>Mar</v>
      </c>
      <c r="D675" s="12" t="str">
        <f t="shared" si="21"/>
        <v>2026</v>
      </c>
      <c r="E675" s="22" t="s">
        <v>2320</v>
      </c>
      <c r="F675" s="23" t="s">
        <v>2321</v>
      </c>
      <c r="G675" s="18" t="s">
        <v>28</v>
      </c>
      <c r="H675" s="24">
        <v>182.8</v>
      </c>
      <c r="I675" s="25" t="s">
        <v>336</v>
      </c>
      <c r="J675" s="25" t="s">
        <v>2322</v>
      </c>
      <c r="K675" s="26" t="s">
        <v>2323</v>
      </c>
      <c r="L675" s="25" t="s">
        <v>32</v>
      </c>
      <c r="M675" t="str">
        <f>TEXT(A675,"dddd")</f>
        <v>Friday</v>
      </c>
      <c r="N675" s="35">
        <f>DATE(Table4[[#This Row],[year]],Table4[[#This Row],[month2]],Table4[[#This Row],[day]])</f>
        <v>46101</v>
      </c>
    </row>
    <row r="676" spans="1:14" ht="16" x14ac:dyDescent="0.35">
      <c r="A676" t="str">
        <f t="shared" si="20"/>
        <v>20</v>
      </c>
      <c r="B676">
        <f>_xlfn.SWITCH(Table4[[#This Row],[month]],"jan",1,"feb",2,"mar",3,"apr",4,"may",5,"jun",6,"jul",7,"aug",8,"sep",9,"oct",10,"nov",11,"dec",12,"no month")</f>
        <v>3</v>
      </c>
      <c r="C676" s="12" t="str">
        <f>LEFT('All Transactions'!$E676,3)</f>
        <v>Mar</v>
      </c>
      <c r="D676" s="12" t="str">
        <f t="shared" si="21"/>
        <v>2026</v>
      </c>
      <c r="E676" s="16" t="s">
        <v>2320</v>
      </c>
      <c r="F676" s="17" t="s">
        <v>2032</v>
      </c>
      <c r="G676" s="18" t="s">
        <v>28</v>
      </c>
      <c r="H676" s="19">
        <v>1</v>
      </c>
      <c r="I676" s="20" t="s">
        <v>2324</v>
      </c>
      <c r="J676" s="20" t="s">
        <v>2325</v>
      </c>
      <c r="K676" s="21" t="s">
        <v>2326</v>
      </c>
      <c r="L676" s="20" t="s">
        <v>32</v>
      </c>
      <c r="M676" t="str">
        <f>TEXT(A676,"dddd")</f>
        <v>Friday</v>
      </c>
      <c r="N676" s="35">
        <f>DATE(Table4[[#This Row],[year]],Table4[[#This Row],[month2]],Table4[[#This Row],[day]])</f>
        <v>46101</v>
      </c>
    </row>
    <row r="677" spans="1:14" ht="16" x14ac:dyDescent="0.35">
      <c r="A677" t="str">
        <f t="shared" si="20"/>
        <v>20</v>
      </c>
      <c r="B677">
        <f>_xlfn.SWITCH(Table4[[#This Row],[month]],"jan",1,"feb",2,"mar",3,"apr",4,"may",5,"jun",6,"jul",7,"aug",8,"sep",9,"oct",10,"nov",11,"dec",12,"no month")</f>
        <v>3</v>
      </c>
      <c r="C677" s="12" t="str">
        <f>LEFT('All Transactions'!$E677,3)</f>
        <v>Mar</v>
      </c>
      <c r="D677" s="12" t="str">
        <f t="shared" si="21"/>
        <v>2026</v>
      </c>
      <c r="E677" s="22" t="s">
        <v>2320</v>
      </c>
      <c r="F677" s="23" t="s">
        <v>833</v>
      </c>
      <c r="G677" s="27" t="s">
        <v>54</v>
      </c>
      <c r="H677" s="24">
        <v>1</v>
      </c>
      <c r="I677" s="25" t="s">
        <v>2327</v>
      </c>
      <c r="J677" s="25" t="s">
        <v>2328</v>
      </c>
      <c r="K677" s="26" t="s">
        <v>2329</v>
      </c>
      <c r="L677" s="25" t="s">
        <v>2330</v>
      </c>
      <c r="M677" t="str">
        <f>TEXT(A677,"dddd")</f>
        <v>Friday</v>
      </c>
      <c r="N677" s="35">
        <f>DATE(Table4[[#This Row],[year]],Table4[[#This Row],[month2]],Table4[[#This Row],[day]])</f>
        <v>46101</v>
      </c>
    </row>
    <row r="678" spans="1:14" ht="16" x14ac:dyDescent="0.35">
      <c r="A678" t="str">
        <f t="shared" si="20"/>
        <v>20</v>
      </c>
      <c r="B678">
        <f>_xlfn.SWITCH(Table4[[#This Row],[month]],"jan",1,"feb",2,"mar",3,"apr",4,"may",5,"jun",6,"jul",7,"aug",8,"sep",9,"oct",10,"nov",11,"dec",12,"no month")</f>
        <v>3</v>
      </c>
      <c r="C678" s="12" t="str">
        <f>LEFT('All Transactions'!$E678,3)</f>
        <v>Mar</v>
      </c>
      <c r="D678" s="12" t="str">
        <f t="shared" si="21"/>
        <v>2026</v>
      </c>
      <c r="E678" s="16" t="s">
        <v>2320</v>
      </c>
      <c r="F678" s="17" t="s">
        <v>833</v>
      </c>
      <c r="G678" s="18" t="s">
        <v>28</v>
      </c>
      <c r="H678" s="19">
        <v>1</v>
      </c>
      <c r="I678" s="20" t="s">
        <v>2331</v>
      </c>
      <c r="J678" s="20" t="s">
        <v>2332</v>
      </c>
      <c r="K678" s="21" t="s">
        <v>2333</v>
      </c>
      <c r="L678" s="20" t="s">
        <v>1808</v>
      </c>
      <c r="M678" t="str">
        <f>TEXT(A678,"dddd")</f>
        <v>Friday</v>
      </c>
      <c r="N678" s="35">
        <f>DATE(Table4[[#This Row],[year]],Table4[[#This Row],[month2]],Table4[[#This Row],[day]])</f>
        <v>46101</v>
      </c>
    </row>
    <row r="679" spans="1:14" ht="16" x14ac:dyDescent="0.35">
      <c r="A679" t="str">
        <f t="shared" si="20"/>
        <v>20</v>
      </c>
      <c r="B679">
        <f>_xlfn.SWITCH(Table4[[#This Row],[month]],"jan",1,"feb",2,"mar",3,"apr",4,"may",5,"jun",6,"jul",7,"aug",8,"sep",9,"oct",10,"nov",11,"dec",12,"no month")</f>
        <v>3</v>
      </c>
      <c r="C679" s="12" t="str">
        <f>LEFT('All Transactions'!$E679,3)</f>
        <v>Mar</v>
      </c>
      <c r="D679" s="12" t="str">
        <f t="shared" si="21"/>
        <v>2026</v>
      </c>
      <c r="E679" s="22" t="s">
        <v>2320</v>
      </c>
      <c r="F679" s="23" t="s">
        <v>873</v>
      </c>
      <c r="G679" s="27" t="s">
        <v>54</v>
      </c>
      <c r="H679" s="24">
        <v>1</v>
      </c>
      <c r="I679" s="25" t="s">
        <v>2327</v>
      </c>
      <c r="J679" s="25" t="s">
        <v>2334</v>
      </c>
      <c r="K679" s="26" t="s">
        <v>2335</v>
      </c>
      <c r="L679" s="25" t="s">
        <v>58</v>
      </c>
      <c r="M679" t="str">
        <f>TEXT(A679,"dddd")</f>
        <v>Friday</v>
      </c>
      <c r="N679" s="35">
        <f>DATE(Table4[[#This Row],[year]],Table4[[#This Row],[month2]],Table4[[#This Row],[day]])</f>
        <v>46101</v>
      </c>
    </row>
    <row r="680" spans="1:14" ht="16" x14ac:dyDescent="0.35">
      <c r="A680" t="str">
        <f t="shared" si="20"/>
        <v>20</v>
      </c>
      <c r="B680">
        <f>_xlfn.SWITCH(Table4[[#This Row],[month]],"jan",1,"feb",2,"mar",3,"apr",4,"may",5,"jun",6,"jul",7,"aug",8,"sep",9,"oct",10,"nov",11,"dec",12,"no month")</f>
        <v>3</v>
      </c>
      <c r="C680" s="12" t="str">
        <f>LEFT('All Transactions'!$E680,3)</f>
        <v>Mar</v>
      </c>
      <c r="D680" s="12" t="str">
        <f t="shared" si="21"/>
        <v>2026</v>
      </c>
      <c r="E680" s="16" t="s">
        <v>2320</v>
      </c>
      <c r="F680" s="17" t="s">
        <v>873</v>
      </c>
      <c r="G680" s="18" t="s">
        <v>28</v>
      </c>
      <c r="H680" s="19">
        <v>1</v>
      </c>
      <c r="I680" s="20" t="s">
        <v>2331</v>
      </c>
      <c r="J680" s="20" t="s">
        <v>2336</v>
      </c>
      <c r="K680" s="21" t="s">
        <v>2337</v>
      </c>
      <c r="L680" s="20" t="s">
        <v>32</v>
      </c>
      <c r="M680" t="str">
        <f>TEXT(A680,"dddd")</f>
        <v>Friday</v>
      </c>
      <c r="N680" s="35">
        <f>DATE(Table4[[#This Row],[year]],Table4[[#This Row],[month2]],Table4[[#This Row],[day]])</f>
        <v>46101</v>
      </c>
    </row>
    <row r="681" spans="1:14" ht="16" x14ac:dyDescent="0.35">
      <c r="A681" t="str">
        <f t="shared" si="20"/>
        <v>20</v>
      </c>
      <c r="B681">
        <f>_xlfn.SWITCH(Table4[[#This Row],[month]],"jan",1,"feb",2,"mar",3,"apr",4,"may",5,"jun",6,"jul",7,"aug",8,"sep",9,"oct",10,"nov",11,"dec",12,"no month")</f>
        <v>3</v>
      </c>
      <c r="C681" s="12" t="str">
        <f>LEFT('All Transactions'!$E681,3)</f>
        <v>Mar</v>
      </c>
      <c r="D681" s="12" t="str">
        <f t="shared" si="21"/>
        <v>2026</v>
      </c>
      <c r="E681" s="22" t="s">
        <v>2320</v>
      </c>
      <c r="F681" s="23" t="s">
        <v>1438</v>
      </c>
      <c r="G681" s="27" t="s">
        <v>54</v>
      </c>
      <c r="H681" s="24">
        <v>1</v>
      </c>
      <c r="I681" s="25" t="s">
        <v>2327</v>
      </c>
      <c r="J681" s="25" t="s">
        <v>2338</v>
      </c>
      <c r="K681" s="26" t="s">
        <v>2339</v>
      </c>
      <c r="L681" s="25" t="s">
        <v>58</v>
      </c>
      <c r="M681" t="str">
        <f>TEXT(A681,"dddd")</f>
        <v>Friday</v>
      </c>
      <c r="N681" s="35">
        <f>DATE(Table4[[#This Row],[year]],Table4[[#This Row],[month2]],Table4[[#This Row],[day]])</f>
        <v>46101</v>
      </c>
    </row>
    <row r="682" spans="1:14" ht="16" x14ac:dyDescent="0.35">
      <c r="A682" t="str">
        <f t="shared" si="20"/>
        <v>20</v>
      </c>
      <c r="B682">
        <f>_xlfn.SWITCH(Table4[[#This Row],[month]],"jan",1,"feb",2,"mar",3,"apr",4,"may",5,"jun",6,"jul",7,"aug",8,"sep",9,"oct",10,"nov",11,"dec",12,"no month")</f>
        <v>3</v>
      </c>
      <c r="C682" s="12" t="str">
        <f>LEFT('All Transactions'!$E682,3)</f>
        <v>Mar</v>
      </c>
      <c r="D682" s="12" t="str">
        <f t="shared" si="21"/>
        <v>2026</v>
      </c>
      <c r="E682" s="16" t="s">
        <v>2320</v>
      </c>
      <c r="F682" s="17" t="s">
        <v>1438</v>
      </c>
      <c r="G682" s="18" t="s">
        <v>28</v>
      </c>
      <c r="H682" s="19">
        <v>1</v>
      </c>
      <c r="I682" s="20" t="s">
        <v>2331</v>
      </c>
      <c r="J682" s="20" t="s">
        <v>2340</v>
      </c>
      <c r="K682" s="21" t="s">
        <v>2341</v>
      </c>
      <c r="L682" s="20" t="s">
        <v>32</v>
      </c>
      <c r="M682" t="str">
        <f>TEXT(A682,"dddd")</f>
        <v>Friday</v>
      </c>
      <c r="N682" s="35">
        <f>DATE(Table4[[#This Row],[year]],Table4[[#This Row],[month2]],Table4[[#This Row],[day]])</f>
        <v>46101</v>
      </c>
    </row>
    <row r="683" spans="1:14" ht="16" x14ac:dyDescent="0.35">
      <c r="A683" t="str">
        <f t="shared" si="20"/>
        <v>20</v>
      </c>
      <c r="B683">
        <f>_xlfn.SWITCH(Table4[[#This Row],[month]],"jan",1,"feb",2,"mar",3,"apr",4,"may",5,"jun",6,"jul",7,"aug",8,"sep",9,"oct",10,"nov",11,"dec",12,"no month")</f>
        <v>3</v>
      </c>
      <c r="C683" s="12" t="str">
        <f>LEFT('All Transactions'!$E683,3)</f>
        <v>Mar</v>
      </c>
      <c r="D683" s="12" t="str">
        <f t="shared" si="21"/>
        <v>2026</v>
      </c>
      <c r="E683" s="22" t="s">
        <v>2320</v>
      </c>
      <c r="F683" s="23" t="s">
        <v>932</v>
      </c>
      <c r="G683" s="18" t="s">
        <v>28</v>
      </c>
      <c r="H683" s="24">
        <v>10</v>
      </c>
      <c r="I683" s="25" t="s">
        <v>13</v>
      </c>
      <c r="J683" s="25" t="s">
        <v>2342</v>
      </c>
      <c r="K683" s="26" t="s">
        <v>2343</v>
      </c>
      <c r="L683" s="25" t="s">
        <v>32</v>
      </c>
      <c r="M683" t="str">
        <f>TEXT(A683,"dddd")</f>
        <v>Friday</v>
      </c>
      <c r="N683" s="35">
        <f>DATE(Table4[[#This Row],[year]],Table4[[#This Row],[month2]],Table4[[#This Row],[day]])</f>
        <v>46101</v>
      </c>
    </row>
    <row r="684" spans="1:14" ht="16" x14ac:dyDescent="0.35">
      <c r="A684" t="str">
        <f t="shared" si="20"/>
        <v>20</v>
      </c>
      <c r="B684">
        <f>_xlfn.SWITCH(Table4[[#This Row],[month]],"jan",1,"feb",2,"mar",3,"apr",4,"may",5,"jun",6,"jul",7,"aug",8,"sep",9,"oct",10,"nov",11,"dec",12,"no month")</f>
        <v>3</v>
      </c>
      <c r="C684" s="12" t="str">
        <f>LEFT('All Transactions'!$E684,3)</f>
        <v>Mar</v>
      </c>
      <c r="D684" s="12" t="str">
        <f t="shared" si="21"/>
        <v>2026</v>
      </c>
      <c r="E684" s="16" t="s">
        <v>2320</v>
      </c>
      <c r="F684" s="17" t="s">
        <v>2344</v>
      </c>
      <c r="G684" s="18" t="s">
        <v>28</v>
      </c>
      <c r="H684" s="19">
        <v>210</v>
      </c>
      <c r="I684" s="20" t="s">
        <v>2345</v>
      </c>
      <c r="J684" s="20" t="s">
        <v>2346</v>
      </c>
      <c r="K684" s="21" t="s">
        <v>2347</v>
      </c>
      <c r="L684" s="20" t="s">
        <v>32</v>
      </c>
      <c r="M684" t="str">
        <f>TEXT(A684,"dddd")</f>
        <v>Friday</v>
      </c>
      <c r="N684" s="35">
        <f>DATE(Table4[[#This Row],[year]],Table4[[#This Row],[month2]],Table4[[#This Row],[day]])</f>
        <v>46101</v>
      </c>
    </row>
    <row r="685" spans="1:14" ht="16" x14ac:dyDescent="0.35">
      <c r="A685" t="str">
        <f t="shared" si="20"/>
        <v>20</v>
      </c>
      <c r="B685">
        <f>_xlfn.SWITCH(Table4[[#This Row],[month]],"jan",1,"feb",2,"mar",3,"apr",4,"may",5,"jun",6,"jul",7,"aug",8,"sep",9,"oct",10,"nov",11,"dec",12,"no month")</f>
        <v>3</v>
      </c>
      <c r="C685" s="12" t="str">
        <f>LEFT('All Transactions'!$E685,3)</f>
        <v>Mar</v>
      </c>
      <c r="D685" s="12" t="str">
        <f t="shared" si="21"/>
        <v>2026</v>
      </c>
      <c r="E685" s="22" t="s">
        <v>2320</v>
      </c>
      <c r="F685" s="23" t="s">
        <v>2348</v>
      </c>
      <c r="G685" s="18" t="s">
        <v>28</v>
      </c>
      <c r="H685" s="24">
        <v>130</v>
      </c>
      <c r="I685" s="25" t="s">
        <v>2349</v>
      </c>
      <c r="J685" s="25" t="s">
        <v>2350</v>
      </c>
      <c r="K685" s="26" t="s">
        <v>2351</v>
      </c>
      <c r="L685" s="25" t="s">
        <v>32</v>
      </c>
      <c r="M685" t="str">
        <f>TEXT(A685,"dddd")</f>
        <v>Friday</v>
      </c>
      <c r="N685" s="35">
        <f>DATE(Table4[[#This Row],[year]],Table4[[#This Row],[month2]],Table4[[#This Row],[day]])</f>
        <v>46101</v>
      </c>
    </row>
    <row r="686" spans="1:14" ht="16" x14ac:dyDescent="0.35">
      <c r="A686" t="str">
        <f t="shared" si="20"/>
        <v>20</v>
      </c>
      <c r="B686">
        <f>_xlfn.SWITCH(Table4[[#This Row],[month]],"jan",1,"feb",2,"mar",3,"apr",4,"may",5,"jun",6,"jul",7,"aug",8,"sep",9,"oct",10,"nov",11,"dec",12,"no month")</f>
        <v>3</v>
      </c>
      <c r="C686" s="12" t="str">
        <f>LEFT('All Transactions'!$E686,3)</f>
        <v>Mar</v>
      </c>
      <c r="D686" s="12" t="str">
        <f t="shared" si="21"/>
        <v>2026</v>
      </c>
      <c r="E686" s="16" t="s">
        <v>2320</v>
      </c>
      <c r="F686" s="17" t="s">
        <v>1694</v>
      </c>
      <c r="G686" s="27" t="s">
        <v>54</v>
      </c>
      <c r="H686" s="19">
        <v>300</v>
      </c>
      <c r="I686" s="20" t="s">
        <v>2352</v>
      </c>
      <c r="J686" s="20" t="s">
        <v>2353</v>
      </c>
      <c r="K686" s="21" t="s">
        <v>2354</v>
      </c>
      <c r="L686" s="20" t="s">
        <v>58</v>
      </c>
      <c r="M686" t="str">
        <f>TEXT(A686,"dddd")</f>
        <v>Friday</v>
      </c>
      <c r="N686" s="35">
        <f>DATE(Table4[[#This Row],[year]],Table4[[#This Row],[month2]],Table4[[#This Row],[day]])</f>
        <v>46101</v>
      </c>
    </row>
    <row r="687" spans="1:14" ht="16" x14ac:dyDescent="0.35">
      <c r="A687" t="str">
        <f t="shared" si="20"/>
        <v>20</v>
      </c>
      <c r="B687">
        <f>_xlfn.SWITCH(Table4[[#This Row],[month]],"jan",1,"feb",2,"mar",3,"apr",4,"may",5,"jun",6,"jul",7,"aug",8,"sep",9,"oct",10,"nov",11,"dec",12,"no month")</f>
        <v>3</v>
      </c>
      <c r="C687" s="12" t="str">
        <f>LEFT('All Transactions'!$E687,3)</f>
        <v>Mar</v>
      </c>
      <c r="D687" s="12" t="str">
        <f t="shared" si="21"/>
        <v>2026</v>
      </c>
      <c r="E687" s="22" t="s">
        <v>2320</v>
      </c>
      <c r="F687" s="23" t="s">
        <v>2355</v>
      </c>
      <c r="G687" s="27" t="s">
        <v>54</v>
      </c>
      <c r="H687" s="24">
        <v>100</v>
      </c>
      <c r="I687" s="25" t="s">
        <v>156</v>
      </c>
      <c r="J687" s="25" t="s">
        <v>2356</v>
      </c>
      <c r="K687" s="26" t="s">
        <v>2357</v>
      </c>
      <c r="L687" s="25" t="s">
        <v>58</v>
      </c>
      <c r="M687" t="str">
        <f>TEXT(A687,"dddd")</f>
        <v>Friday</v>
      </c>
      <c r="N687" s="35">
        <f>DATE(Table4[[#This Row],[year]],Table4[[#This Row],[month2]],Table4[[#This Row],[day]])</f>
        <v>46101</v>
      </c>
    </row>
    <row r="688" spans="1:14" ht="16" x14ac:dyDescent="0.35">
      <c r="A688" t="str">
        <f t="shared" si="20"/>
        <v>20</v>
      </c>
      <c r="B688">
        <f>_xlfn.SWITCH(Table4[[#This Row],[month]],"jan",1,"feb",2,"mar",3,"apr",4,"may",5,"jun",6,"jul",7,"aug",8,"sep",9,"oct",10,"nov",11,"dec",12,"no month")</f>
        <v>3</v>
      </c>
      <c r="C688" s="12" t="str">
        <f>LEFT('All Transactions'!$E688,3)</f>
        <v>Mar</v>
      </c>
      <c r="D688" s="12" t="str">
        <f t="shared" si="21"/>
        <v>2026</v>
      </c>
      <c r="E688" s="16" t="s">
        <v>2320</v>
      </c>
      <c r="F688" s="17" t="s">
        <v>1148</v>
      </c>
      <c r="G688" s="18" t="s">
        <v>28</v>
      </c>
      <c r="H688" s="19">
        <v>20</v>
      </c>
      <c r="I688" s="20" t="s">
        <v>2358</v>
      </c>
      <c r="J688" s="20" t="s">
        <v>2359</v>
      </c>
      <c r="K688" s="21" t="s">
        <v>2360</v>
      </c>
      <c r="L688" s="20" t="s">
        <v>32</v>
      </c>
      <c r="M688" t="str">
        <f>TEXT(A688,"dddd")</f>
        <v>Friday</v>
      </c>
      <c r="N688" s="35">
        <f>DATE(Table4[[#This Row],[year]],Table4[[#This Row],[month2]],Table4[[#This Row],[day]])</f>
        <v>46101</v>
      </c>
    </row>
    <row r="689" spans="1:14" ht="16" x14ac:dyDescent="0.35">
      <c r="A689" t="str">
        <f t="shared" si="20"/>
        <v>20</v>
      </c>
      <c r="B689">
        <f>_xlfn.SWITCH(Table4[[#This Row],[month]],"jan",1,"feb",2,"mar",3,"apr",4,"may",5,"jun",6,"jul",7,"aug",8,"sep",9,"oct",10,"nov",11,"dec",12,"no month")</f>
        <v>3</v>
      </c>
      <c r="C689" s="12" t="str">
        <f>LEFT('All Transactions'!$E689,3)</f>
        <v>Mar</v>
      </c>
      <c r="D689" s="12" t="str">
        <f t="shared" si="21"/>
        <v>2026</v>
      </c>
      <c r="E689" s="22" t="s">
        <v>2320</v>
      </c>
      <c r="F689" s="23" t="s">
        <v>2361</v>
      </c>
      <c r="G689" s="18" t="s">
        <v>28</v>
      </c>
      <c r="H689" s="24">
        <v>323</v>
      </c>
      <c r="I689" s="25" t="s">
        <v>2362</v>
      </c>
      <c r="J689" s="25" t="s">
        <v>2363</v>
      </c>
      <c r="K689" s="26" t="s">
        <v>2364</v>
      </c>
      <c r="L689" s="25" t="s">
        <v>32</v>
      </c>
      <c r="M689" t="str">
        <f>TEXT(A689,"dddd")</f>
        <v>Friday</v>
      </c>
      <c r="N689" s="35">
        <f>DATE(Table4[[#This Row],[year]],Table4[[#This Row],[month2]],Table4[[#This Row],[day]])</f>
        <v>46101</v>
      </c>
    </row>
    <row r="690" spans="1:14" ht="16" x14ac:dyDescent="0.35">
      <c r="A690" t="str">
        <f t="shared" si="20"/>
        <v>20</v>
      </c>
      <c r="B690">
        <f>_xlfn.SWITCH(Table4[[#This Row],[month]],"jan",1,"feb",2,"mar",3,"apr",4,"may",5,"jun",6,"jul",7,"aug",8,"sep",9,"oct",10,"nov",11,"dec",12,"no month")</f>
        <v>3</v>
      </c>
      <c r="C690" s="12" t="str">
        <f>LEFT('All Transactions'!$E690,3)</f>
        <v>Mar</v>
      </c>
      <c r="D690" s="12" t="str">
        <f t="shared" si="21"/>
        <v>2026</v>
      </c>
      <c r="E690" s="16" t="s">
        <v>2320</v>
      </c>
      <c r="F690" s="17" t="s">
        <v>2365</v>
      </c>
      <c r="G690" s="27" t="s">
        <v>54</v>
      </c>
      <c r="H690" s="19">
        <v>500</v>
      </c>
      <c r="I690" s="20" t="s">
        <v>143</v>
      </c>
      <c r="J690" s="20" t="s">
        <v>2366</v>
      </c>
      <c r="K690" s="21" t="s">
        <v>2367</v>
      </c>
      <c r="L690" s="20" t="s">
        <v>58</v>
      </c>
      <c r="M690" t="str">
        <f>TEXT(A690,"dddd")</f>
        <v>Friday</v>
      </c>
      <c r="N690" s="35">
        <f>DATE(Table4[[#This Row],[year]],Table4[[#This Row],[month2]],Table4[[#This Row],[day]])</f>
        <v>46101</v>
      </c>
    </row>
    <row r="691" spans="1:14" ht="16" x14ac:dyDescent="0.35">
      <c r="A691" t="str">
        <f t="shared" si="20"/>
        <v>19</v>
      </c>
      <c r="B691">
        <f>_xlfn.SWITCH(Table4[[#This Row],[month]],"jan",1,"feb",2,"mar",3,"apr",4,"may",5,"jun",6,"jul",7,"aug",8,"sep",9,"oct",10,"nov",11,"dec",12,"no month")</f>
        <v>3</v>
      </c>
      <c r="C691" s="12" t="str">
        <f>LEFT('All Transactions'!$E691,3)</f>
        <v>Mar</v>
      </c>
      <c r="D691" s="12" t="str">
        <f t="shared" si="21"/>
        <v>2026</v>
      </c>
      <c r="E691" s="22" t="s">
        <v>2368</v>
      </c>
      <c r="F691" s="23" t="s">
        <v>860</v>
      </c>
      <c r="G691" s="18" t="s">
        <v>28</v>
      </c>
      <c r="H691" s="24">
        <v>80</v>
      </c>
      <c r="I691" s="25" t="s">
        <v>2369</v>
      </c>
      <c r="J691" s="25" t="s">
        <v>2370</v>
      </c>
      <c r="K691" s="26" t="s">
        <v>2371</v>
      </c>
      <c r="L691" s="25" t="s">
        <v>32</v>
      </c>
      <c r="M691" t="str">
        <f>TEXT(A691,"dddd")</f>
        <v>Thursday</v>
      </c>
      <c r="N691" s="35">
        <f>DATE(Table4[[#This Row],[year]],Table4[[#This Row],[month2]],Table4[[#This Row],[day]])</f>
        <v>46100</v>
      </c>
    </row>
    <row r="692" spans="1:14" ht="16" x14ac:dyDescent="0.35">
      <c r="A692" t="str">
        <f t="shared" si="20"/>
        <v>19</v>
      </c>
      <c r="B692">
        <f>_xlfn.SWITCH(Table4[[#This Row],[month]],"jan",1,"feb",2,"mar",3,"apr",4,"may",5,"jun",6,"jul",7,"aug",8,"sep",9,"oct",10,"nov",11,"dec",12,"no month")</f>
        <v>3</v>
      </c>
      <c r="C692" s="12" t="str">
        <f>LEFT('All Transactions'!$E692,3)</f>
        <v>Mar</v>
      </c>
      <c r="D692" s="12" t="str">
        <f t="shared" si="21"/>
        <v>2026</v>
      </c>
      <c r="E692" s="16" t="s">
        <v>2368</v>
      </c>
      <c r="F692" s="17" t="s">
        <v>1124</v>
      </c>
      <c r="G692" s="27" t="s">
        <v>54</v>
      </c>
      <c r="H692" s="19">
        <v>53</v>
      </c>
      <c r="I692" s="20" t="s">
        <v>2372</v>
      </c>
      <c r="J692" s="20" t="s">
        <v>2373</v>
      </c>
      <c r="K692" s="21" t="s">
        <v>2374</v>
      </c>
      <c r="L692" s="20" t="s">
        <v>58</v>
      </c>
      <c r="M692" t="str">
        <f>TEXT(A692,"dddd")</f>
        <v>Thursday</v>
      </c>
      <c r="N692" s="35">
        <f>DATE(Table4[[#This Row],[year]],Table4[[#This Row],[month2]],Table4[[#This Row],[day]])</f>
        <v>46100</v>
      </c>
    </row>
    <row r="693" spans="1:14" ht="16" x14ac:dyDescent="0.35">
      <c r="A693" t="str">
        <f t="shared" si="20"/>
        <v>18</v>
      </c>
      <c r="B693">
        <f>_xlfn.SWITCH(Table4[[#This Row],[month]],"jan",1,"feb",2,"mar",3,"apr",4,"may",5,"jun",6,"jul",7,"aug",8,"sep",9,"oct",10,"nov",11,"dec",12,"no month")</f>
        <v>3</v>
      </c>
      <c r="C693" s="12" t="str">
        <f>LEFT('All Transactions'!$E693,3)</f>
        <v>Mar</v>
      </c>
      <c r="D693" s="12" t="str">
        <f t="shared" si="21"/>
        <v>2026</v>
      </c>
      <c r="E693" s="22" t="s">
        <v>2375</v>
      </c>
      <c r="F693" s="23" t="s">
        <v>2376</v>
      </c>
      <c r="G693" s="18" t="s">
        <v>28</v>
      </c>
      <c r="H693" s="24">
        <v>1700</v>
      </c>
      <c r="I693" s="25" t="s">
        <v>2377</v>
      </c>
      <c r="J693" s="25" t="s">
        <v>2378</v>
      </c>
      <c r="K693" s="26" t="s">
        <v>2379</v>
      </c>
      <c r="L693" s="25" t="s">
        <v>32</v>
      </c>
      <c r="M693" t="str">
        <f>TEXT(A693,"dddd")</f>
        <v>Wednesday</v>
      </c>
      <c r="N693" s="35">
        <f>DATE(Table4[[#This Row],[year]],Table4[[#This Row],[month2]],Table4[[#This Row],[day]])</f>
        <v>46099</v>
      </c>
    </row>
    <row r="694" spans="1:14" ht="16" x14ac:dyDescent="0.35">
      <c r="A694" t="str">
        <f t="shared" si="20"/>
        <v>18</v>
      </c>
      <c r="B694">
        <f>_xlfn.SWITCH(Table4[[#This Row],[month]],"jan",1,"feb",2,"mar",3,"apr",4,"may",5,"jun",6,"jul",7,"aug",8,"sep",9,"oct",10,"nov",11,"dec",12,"no month")</f>
        <v>3</v>
      </c>
      <c r="C694" s="12" t="str">
        <f>LEFT('All Transactions'!$E694,3)</f>
        <v>Mar</v>
      </c>
      <c r="D694" s="12" t="str">
        <f t="shared" si="21"/>
        <v>2026</v>
      </c>
      <c r="E694" s="16" t="s">
        <v>2375</v>
      </c>
      <c r="F694" s="17" t="s">
        <v>822</v>
      </c>
      <c r="G694" s="27" t="s">
        <v>54</v>
      </c>
      <c r="H694" s="19">
        <v>1500</v>
      </c>
      <c r="I694" s="20" t="s">
        <v>156</v>
      </c>
      <c r="J694" s="20" t="s">
        <v>2380</v>
      </c>
      <c r="K694" s="21" t="s">
        <v>2381</v>
      </c>
      <c r="L694" s="20" t="s">
        <v>58</v>
      </c>
      <c r="M694" t="str">
        <f>TEXT(A694,"dddd")</f>
        <v>Wednesday</v>
      </c>
      <c r="N694" s="35">
        <f>DATE(Table4[[#This Row],[year]],Table4[[#This Row],[month2]],Table4[[#This Row],[day]])</f>
        <v>46099</v>
      </c>
    </row>
    <row r="695" spans="1:14" ht="16" x14ac:dyDescent="0.35">
      <c r="A695" t="str">
        <f t="shared" si="20"/>
        <v>18</v>
      </c>
      <c r="B695">
        <f>_xlfn.SWITCH(Table4[[#This Row],[month]],"jan",1,"feb",2,"mar",3,"apr",4,"may",5,"jun",6,"jul",7,"aug",8,"sep",9,"oct",10,"nov",11,"dec",12,"no month")</f>
        <v>3</v>
      </c>
      <c r="C695" s="12" t="str">
        <f>LEFT('All Transactions'!$E695,3)</f>
        <v>Mar</v>
      </c>
      <c r="D695" s="12" t="str">
        <f t="shared" si="21"/>
        <v>2026</v>
      </c>
      <c r="E695" s="22" t="s">
        <v>2375</v>
      </c>
      <c r="F695" s="23" t="s">
        <v>2382</v>
      </c>
      <c r="G695" s="27" t="s">
        <v>54</v>
      </c>
      <c r="H695" s="24">
        <v>55</v>
      </c>
      <c r="I695" s="25" t="s">
        <v>2383</v>
      </c>
      <c r="J695" s="25" t="s">
        <v>2384</v>
      </c>
      <c r="K695" s="26" t="s">
        <v>2385</v>
      </c>
      <c r="L695" s="25" t="s">
        <v>58</v>
      </c>
      <c r="M695" t="str">
        <f>TEXT(A695,"dddd")</f>
        <v>Wednesday</v>
      </c>
      <c r="N695" s="35">
        <f>DATE(Table4[[#This Row],[year]],Table4[[#This Row],[month2]],Table4[[#This Row],[day]])</f>
        <v>46099</v>
      </c>
    </row>
    <row r="696" spans="1:14" ht="16" x14ac:dyDescent="0.35">
      <c r="A696" t="str">
        <f t="shared" si="20"/>
        <v>18</v>
      </c>
      <c r="B696">
        <f>_xlfn.SWITCH(Table4[[#This Row],[month]],"jan",1,"feb",2,"mar",3,"apr",4,"may",5,"jun",6,"jul",7,"aug",8,"sep",9,"oct",10,"nov",11,"dec",12,"no month")</f>
        <v>3</v>
      </c>
      <c r="C696" s="12" t="str">
        <f>LEFT('All Transactions'!$E696,3)</f>
        <v>Mar</v>
      </c>
      <c r="D696" s="12" t="str">
        <f t="shared" si="21"/>
        <v>2026</v>
      </c>
      <c r="E696" s="16" t="s">
        <v>2375</v>
      </c>
      <c r="F696" s="17" t="s">
        <v>2386</v>
      </c>
      <c r="G696" s="27" t="s">
        <v>54</v>
      </c>
      <c r="H696" s="19">
        <v>40</v>
      </c>
      <c r="I696" s="20" t="s">
        <v>2387</v>
      </c>
      <c r="J696" s="20" t="s">
        <v>2388</v>
      </c>
      <c r="K696" s="21" t="s">
        <v>2389</v>
      </c>
      <c r="L696" s="20" t="s">
        <v>58</v>
      </c>
      <c r="M696" t="str">
        <f>TEXT(A696,"dddd")</f>
        <v>Wednesday</v>
      </c>
      <c r="N696" s="35">
        <f>DATE(Table4[[#This Row],[year]],Table4[[#This Row],[month2]],Table4[[#This Row],[day]])</f>
        <v>46099</v>
      </c>
    </row>
    <row r="697" spans="1:14" ht="16" x14ac:dyDescent="0.35">
      <c r="A697" t="str">
        <f t="shared" si="20"/>
        <v>18</v>
      </c>
      <c r="B697">
        <f>_xlfn.SWITCH(Table4[[#This Row],[month]],"jan",1,"feb",2,"mar",3,"apr",4,"may",5,"jun",6,"jul",7,"aug",8,"sep",9,"oct",10,"nov",11,"dec",12,"no month")</f>
        <v>3</v>
      </c>
      <c r="C697" s="12" t="str">
        <f>LEFT('All Transactions'!$E697,3)</f>
        <v>Mar</v>
      </c>
      <c r="D697" s="12" t="str">
        <f t="shared" si="21"/>
        <v>2026</v>
      </c>
      <c r="E697" s="22" t="s">
        <v>2375</v>
      </c>
      <c r="F697" s="23" t="s">
        <v>826</v>
      </c>
      <c r="G697" s="27" t="s">
        <v>54</v>
      </c>
      <c r="H697" s="24">
        <v>60</v>
      </c>
      <c r="I697" s="25" t="s">
        <v>2390</v>
      </c>
      <c r="J697" s="25" t="s">
        <v>2391</v>
      </c>
      <c r="K697" s="26" t="s">
        <v>2392</v>
      </c>
      <c r="L697" s="25" t="s">
        <v>58</v>
      </c>
      <c r="M697" t="str">
        <f>TEXT(A697,"dddd")</f>
        <v>Wednesday</v>
      </c>
      <c r="N697" s="35">
        <f>DATE(Table4[[#This Row],[year]],Table4[[#This Row],[month2]],Table4[[#This Row],[day]])</f>
        <v>46099</v>
      </c>
    </row>
    <row r="698" spans="1:14" ht="16" x14ac:dyDescent="0.35">
      <c r="A698" t="str">
        <f t="shared" si="20"/>
        <v>18</v>
      </c>
      <c r="B698">
        <f>_xlfn.SWITCH(Table4[[#This Row],[month]],"jan",1,"feb",2,"mar",3,"apr",4,"may",5,"jun",6,"jul",7,"aug",8,"sep",9,"oct",10,"nov",11,"dec",12,"no month")</f>
        <v>3</v>
      </c>
      <c r="C698" s="12" t="str">
        <f>LEFT('All Transactions'!$E698,3)</f>
        <v>Mar</v>
      </c>
      <c r="D698" s="12" t="str">
        <f t="shared" si="21"/>
        <v>2026</v>
      </c>
      <c r="E698" s="16" t="s">
        <v>2375</v>
      </c>
      <c r="F698" s="17" t="s">
        <v>2393</v>
      </c>
      <c r="G698" s="27" t="s">
        <v>54</v>
      </c>
      <c r="H698" s="19">
        <v>130</v>
      </c>
      <c r="I698" s="20" t="s">
        <v>89</v>
      </c>
      <c r="J698" s="20" t="s">
        <v>2394</v>
      </c>
      <c r="K698" s="21" t="s">
        <v>2395</v>
      </c>
      <c r="L698" s="20" t="s">
        <v>58</v>
      </c>
      <c r="M698" t="str">
        <f>TEXT(A698,"dddd")</f>
        <v>Wednesday</v>
      </c>
      <c r="N698" s="35">
        <f>DATE(Table4[[#This Row],[year]],Table4[[#This Row],[month2]],Table4[[#This Row],[day]])</f>
        <v>46099</v>
      </c>
    </row>
    <row r="699" spans="1:14" ht="16" x14ac:dyDescent="0.35">
      <c r="A699" t="str">
        <f t="shared" si="20"/>
        <v>18</v>
      </c>
      <c r="B699">
        <f>_xlfn.SWITCH(Table4[[#This Row],[month]],"jan",1,"feb",2,"mar",3,"apr",4,"may",5,"jun",6,"jul",7,"aug",8,"sep",9,"oct",10,"nov",11,"dec",12,"no month")</f>
        <v>3</v>
      </c>
      <c r="C699" s="12" t="str">
        <f>LEFT('All Transactions'!$E699,3)</f>
        <v>Mar</v>
      </c>
      <c r="D699" s="12" t="str">
        <f t="shared" si="21"/>
        <v>2026</v>
      </c>
      <c r="E699" s="22" t="s">
        <v>2375</v>
      </c>
      <c r="F699" s="23" t="s">
        <v>2036</v>
      </c>
      <c r="G699" s="27" t="s">
        <v>54</v>
      </c>
      <c r="H699" s="24">
        <v>170</v>
      </c>
      <c r="I699" s="25" t="s">
        <v>2396</v>
      </c>
      <c r="J699" s="25" t="s">
        <v>2397</v>
      </c>
      <c r="K699" s="26" t="s">
        <v>2398</v>
      </c>
      <c r="L699" s="25" t="s">
        <v>58</v>
      </c>
      <c r="M699" t="str">
        <f>TEXT(A699,"dddd")</f>
        <v>Wednesday</v>
      </c>
      <c r="N699" s="35">
        <f>DATE(Table4[[#This Row],[year]],Table4[[#This Row],[month2]],Table4[[#This Row],[day]])</f>
        <v>46099</v>
      </c>
    </row>
    <row r="700" spans="1:14" ht="16" x14ac:dyDescent="0.35">
      <c r="A700" t="str">
        <f t="shared" si="20"/>
        <v>18</v>
      </c>
      <c r="B700">
        <f>_xlfn.SWITCH(Table4[[#This Row],[month]],"jan",1,"feb",2,"mar",3,"apr",4,"may",5,"jun",6,"jul",7,"aug",8,"sep",9,"oct",10,"nov",11,"dec",12,"no month")</f>
        <v>3</v>
      </c>
      <c r="C700" s="12" t="str">
        <f>LEFT('All Transactions'!$E700,3)</f>
        <v>Mar</v>
      </c>
      <c r="D700" s="12" t="str">
        <f t="shared" si="21"/>
        <v>2026</v>
      </c>
      <c r="E700" s="16" t="s">
        <v>2375</v>
      </c>
      <c r="F700" s="17" t="s">
        <v>2399</v>
      </c>
      <c r="G700" s="27" t="s">
        <v>54</v>
      </c>
      <c r="H700" s="19">
        <v>100</v>
      </c>
      <c r="I700" s="20" t="s">
        <v>2400</v>
      </c>
      <c r="J700" s="20" t="s">
        <v>2401</v>
      </c>
      <c r="K700" s="21" t="s">
        <v>2402</v>
      </c>
      <c r="L700" s="20" t="s">
        <v>58</v>
      </c>
      <c r="M700" t="str">
        <f>TEXT(A700,"dddd")</f>
        <v>Wednesday</v>
      </c>
      <c r="N700" s="35">
        <f>DATE(Table4[[#This Row],[year]],Table4[[#This Row],[month2]],Table4[[#This Row],[day]])</f>
        <v>46099</v>
      </c>
    </row>
    <row r="701" spans="1:14" ht="16" x14ac:dyDescent="0.35">
      <c r="A701" t="str">
        <f t="shared" si="20"/>
        <v>18</v>
      </c>
      <c r="B701">
        <f>_xlfn.SWITCH(Table4[[#This Row],[month]],"jan",1,"feb",2,"mar",3,"apr",4,"may",5,"jun",6,"jul",7,"aug",8,"sep",9,"oct",10,"nov",11,"dec",12,"no month")</f>
        <v>3</v>
      </c>
      <c r="C701" s="12" t="str">
        <f>LEFT('All Transactions'!$E701,3)</f>
        <v>Mar</v>
      </c>
      <c r="D701" s="12" t="str">
        <f t="shared" si="21"/>
        <v>2026</v>
      </c>
      <c r="E701" s="22" t="s">
        <v>2375</v>
      </c>
      <c r="F701" s="23" t="s">
        <v>2403</v>
      </c>
      <c r="G701" s="27" t="s">
        <v>54</v>
      </c>
      <c r="H701" s="24">
        <v>71</v>
      </c>
      <c r="I701" s="25" t="s">
        <v>2404</v>
      </c>
      <c r="J701" s="25" t="s">
        <v>2405</v>
      </c>
      <c r="K701" s="26" t="s">
        <v>2406</v>
      </c>
      <c r="L701" s="25" t="s">
        <v>58</v>
      </c>
      <c r="M701" t="str">
        <f>TEXT(A701,"dddd")</f>
        <v>Wednesday</v>
      </c>
      <c r="N701" s="35">
        <f>DATE(Table4[[#This Row],[year]],Table4[[#This Row],[month2]],Table4[[#This Row],[day]])</f>
        <v>46099</v>
      </c>
    </row>
    <row r="702" spans="1:14" ht="16" x14ac:dyDescent="0.35">
      <c r="A702" t="str">
        <f t="shared" si="20"/>
        <v>18</v>
      </c>
      <c r="B702">
        <f>_xlfn.SWITCH(Table4[[#This Row],[month]],"jan",1,"feb",2,"mar",3,"apr",4,"may",5,"jun",6,"jul",7,"aug",8,"sep",9,"oct",10,"nov",11,"dec",12,"no month")</f>
        <v>3</v>
      </c>
      <c r="C702" s="12" t="str">
        <f>LEFT('All Transactions'!$E702,3)</f>
        <v>Mar</v>
      </c>
      <c r="D702" s="12" t="str">
        <f t="shared" si="21"/>
        <v>2026</v>
      </c>
      <c r="E702" s="16" t="s">
        <v>2375</v>
      </c>
      <c r="F702" s="17" t="s">
        <v>2407</v>
      </c>
      <c r="G702" s="18" t="s">
        <v>28</v>
      </c>
      <c r="H702" s="19">
        <v>20</v>
      </c>
      <c r="I702" s="20" t="s">
        <v>191</v>
      </c>
      <c r="J702" s="20" t="s">
        <v>2408</v>
      </c>
      <c r="K702" s="21" t="s">
        <v>2409</v>
      </c>
      <c r="L702" s="20" t="s">
        <v>32</v>
      </c>
      <c r="M702" t="str">
        <f>TEXT(A702,"dddd")</f>
        <v>Wednesday</v>
      </c>
      <c r="N702" s="35">
        <f>DATE(Table4[[#This Row],[year]],Table4[[#This Row],[month2]],Table4[[#This Row],[day]])</f>
        <v>46099</v>
      </c>
    </row>
    <row r="703" spans="1:14" ht="16" x14ac:dyDescent="0.35">
      <c r="A703" t="str">
        <f t="shared" si="20"/>
        <v>18</v>
      </c>
      <c r="B703">
        <f>_xlfn.SWITCH(Table4[[#This Row],[month]],"jan",1,"feb",2,"mar",3,"apr",4,"may",5,"jun",6,"jul",7,"aug",8,"sep",9,"oct",10,"nov",11,"dec",12,"no month")</f>
        <v>3</v>
      </c>
      <c r="C703" s="12" t="str">
        <f>LEFT('All Transactions'!$E703,3)</f>
        <v>Mar</v>
      </c>
      <c r="D703" s="12" t="str">
        <f t="shared" si="21"/>
        <v>2026</v>
      </c>
      <c r="E703" s="22" t="s">
        <v>2375</v>
      </c>
      <c r="F703" s="23" t="s">
        <v>2410</v>
      </c>
      <c r="G703" s="18" t="s">
        <v>28</v>
      </c>
      <c r="H703" s="24">
        <v>5</v>
      </c>
      <c r="I703" s="25" t="s">
        <v>2033</v>
      </c>
      <c r="J703" s="25" t="s">
        <v>2411</v>
      </c>
      <c r="K703" s="26" t="s">
        <v>2412</v>
      </c>
      <c r="L703" s="25" t="s">
        <v>32</v>
      </c>
      <c r="M703" t="str">
        <f>TEXT(A703,"dddd")</f>
        <v>Wednesday</v>
      </c>
      <c r="N703" s="35">
        <f>DATE(Table4[[#This Row],[year]],Table4[[#This Row],[month2]],Table4[[#This Row],[day]])</f>
        <v>46099</v>
      </c>
    </row>
    <row r="704" spans="1:14" ht="16" x14ac:dyDescent="0.35">
      <c r="A704" t="str">
        <f t="shared" si="20"/>
        <v>17</v>
      </c>
      <c r="B704">
        <f>_xlfn.SWITCH(Table4[[#This Row],[month]],"jan",1,"feb",2,"mar",3,"apr",4,"may",5,"jun",6,"jul",7,"aug",8,"sep",9,"oct",10,"nov",11,"dec",12,"no month")</f>
        <v>3</v>
      </c>
      <c r="C704" s="12" t="str">
        <f>LEFT('All Transactions'!$E704,3)</f>
        <v>Mar</v>
      </c>
      <c r="D704" s="12" t="str">
        <f t="shared" si="21"/>
        <v>2026</v>
      </c>
      <c r="E704" s="16" t="s">
        <v>2413</v>
      </c>
      <c r="F704" s="17" t="s">
        <v>1086</v>
      </c>
      <c r="G704" s="18" t="s">
        <v>28</v>
      </c>
      <c r="H704" s="19">
        <v>130</v>
      </c>
      <c r="I704" s="20" t="s">
        <v>2414</v>
      </c>
      <c r="J704" s="20" t="s">
        <v>2415</v>
      </c>
      <c r="K704" s="21" t="s">
        <v>2416</v>
      </c>
      <c r="L704" s="20" t="s">
        <v>32</v>
      </c>
      <c r="M704" t="str">
        <f>TEXT(A704,"dddd")</f>
        <v>Tuesday</v>
      </c>
      <c r="N704" s="35">
        <f>DATE(Table4[[#This Row],[year]],Table4[[#This Row],[month2]],Table4[[#This Row],[day]])</f>
        <v>46098</v>
      </c>
    </row>
    <row r="705" spans="1:14" ht="16" x14ac:dyDescent="0.35">
      <c r="A705" t="str">
        <f t="shared" si="20"/>
        <v>17</v>
      </c>
      <c r="B705">
        <f>_xlfn.SWITCH(Table4[[#This Row],[month]],"jan",1,"feb",2,"mar",3,"apr",4,"may",5,"jun",6,"jul",7,"aug",8,"sep",9,"oct",10,"nov",11,"dec",12,"no month")</f>
        <v>3</v>
      </c>
      <c r="C705" s="12" t="str">
        <f>LEFT('All Transactions'!$E705,3)</f>
        <v>Mar</v>
      </c>
      <c r="D705" s="12" t="str">
        <f t="shared" si="21"/>
        <v>2026</v>
      </c>
      <c r="E705" s="22" t="s">
        <v>2413</v>
      </c>
      <c r="F705" s="23" t="s">
        <v>2417</v>
      </c>
      <c r="G705" s="18" t="s">
        <v>28</v>
      </c>
      <c r="H705" s="24">
        <v>500</v>
      </c>
      <c r="I705" s="25" t="s">
        <v>12</v>
      </c>
      <c r="J705" s="25" t="s">
        <v>2418</v>
      </c>
      <c r="K705" s="26" t="s">
        <v>2419</v>
      </c>
      <c r="L705" s="25" t="s">
        <v>32</v>
      </c>
      <c r="M705" t="str">
        <f>TEXT(A705,"dddd")</f>
        <v>Tuesday</v>
      </c>
      <c r="N705" s="35">
        <f>DATE(Table4[[#This Row],[year]],Table4[[#This Row],[month2]],Table4[[#This Row],[day]])</f>
        <v>46098</v>
      </c>
    </row>
    <row r="706" spans="1:14" ht="16" x14ac:dyDescent="0.35">
      <c r="A706" t="str">
        <f t="shared" si="20"/>
        <v>17</v>
      </c>
      <c r="B706">
        <f>_xlfn.SWITCH(Table4[[#This Row],[month]],"jan",1,"feb",2,"mar",3,"apr",4,"may",5,"jun",6,"jul",7,"aug",8,"sep",9,"oct",10,"nov",11,"dec",12,"no month")</f>
        <v>3</v>
      </c>
      <c r="C706" s="12" t="str">
        <f>LEFT('All Transactions'!$E706,3)</f>
        <v>Mar</v>
      </c>
      <c r="D706" s="12" t="str">
        <f t="shared" si="21"/>
        <v>2026</v>
      </c>
      <c r="E706" s="16" t="s">
        <v>2413</v>
      </c>
      <c r="F706" s="17" t="s">
        <v>702</v>
      </c>
      <c r="G706" s="18" t="s">
        <v>28</v>
      </c>
      <c r="H706" s="19">
        <v>100</v>
      </c>
      <c r="I706" s="20" t="s">
        <v>2420</v>
      </c>
      <c r="J706" s="20" t="s">
        <v>2421</v>
      </c>
      <c r="K706" s="21" t="s">
        <v>2422</v>
      </c>
      <c r="L706" s="20" t="s">
        <v>32</v>
      </c>
      <c r="M706" t="str">
        <f>TEXT(A706,"dddd")</f>
        <v>Tuesday</v>
      </c>
      <c r="N706" s="35">
        <f>DATE(Table4[[#This Row],[year]],Table4[[#This Row],[month2]],Table4[[#This Row],[day]])</f>
        <v>46098</v>
      </c>
    </row>
    <row r="707" spans="1:14" ht="16" x14ac:dyDescent="0.35">
      <c r="A707" t="str">
        <f t="shared" ref="A707:A770" si="22">MID(E707,5,2)</f>
        <v>17</v>
      </c>
      <c r="B707">
        <f>_xlfn.SWITCH(Table4[[#This Row],[month]],"jan",1,"feb",2,"mar",3,"apr",4,"may",5,"jun",6,"jul",7,"aug",8,"sep",9,"oct",10,"nov",11,"dec",12,"no month")</f>
        <v>3</v>
      </c>
      <c r="C707" s="12" t="str">
        <f>LEFT('All Transactions'!$E707,3)</f>
        <v>Mar</v>
      </c>
      <c r="D707" s="12" t="str">
        <f t="shared" ref="D707:D770" si="23">RIGHT(E707,4)</f>
        <v>2026</v>
      </c>
      <c r="E707" s="22" t="s">
        <v>2413</v>
      </c>
      <c r="F707" s="23" t="s">
        <v>2423</v>
      </c>
      <c r="G707" s="18" t="s">
        <v>28</v>
      </c>
      <c r="H707" s="24">
        <v>30</v>
      </c>
      <c r="I707" s="25" t="s">
        <v>2424</v>
      </c>
      <c r="J707" s="25" t="s">
        <v>2425</v>
      </c>
      <c r="K707" s="26" t="s">
        <v>2426</v>
      </c>
      <c r="L707" s="25" t="s">
        <v>32</v>
      </c>
      <c r="M707" t="str">
        <f>TEXT(A707,"dddd")</f>
        <v>Tuesday</v>
      </c>
      <c r="N707" s="35">
        <f>DATE(Table4[[#This Row],[year]],Table4[[#This Row],[month2]],Table4[[#This Row],[day]])</f>
        <v>46098</v>
      </c>
    </row>
    <row r="708" spans="1:14" ht="16" x14ac:dyDescent="0.35">
      <c r="A708" t="str">
        <f t="shared" si="22"/>
        <v>17</v>
      </c>
      <c r="B708">
        <f>_xlfn.SWITCH(Table4[[#This Row],[month]],"jan",1,"feb",2,"mar",3,"apr",4,"may",5,"jun",6,"jul",7,"aug",8,"sep",9,"oct",10,"nov",11,"dec",12,"no month")</f>
        <v>3</v>
      </c>
      <c r="C708" s="12" t="str">
        <f>LEFT('All Transactions'!$E708,3)</f>
        <v>Mar</v>
      </c>
      <c r="D708" s="12" t="str">
        <f t="shared" si="23"/>
        <v>2026</v>
      </c>
      <c r="E708" s="16" t="s">
        <v>2413</v>
      </c>
      <c r="F708" s="17" t="s">
        <v>652</v>
      </c>
      <c r="G708" s="18" t="s">
        <v>28</v>
      </c>
      <c r="H708" s="19">
        <v>120</v>
      </c>
      <c r="I708" s="20" t="s">
        <v>2424</v>
      </c>
      <c r="J708" s="20" t="s">
        <v>2427</v>
      </c>
      <c r="K708" s="21" t="s">
        <v>2428</v>
      </c>
      <c r="L708" s="20" t="s">
        <v>32</v>
      </c>
      <c r="M708" t="str">
        <f>TEXT(A708,"dddd")</f>
        <v>Tuesday</v>
      </c>
      <c r="N708" s="35">
        <f>DATE(Table4[[#This Row],[year]],Table4[[#This Row],[month2]],Table4[[#This Row],[day]])</f>
        <v>46098</v>
      </c>
    </row>
    <row r="709" spans="1:14" ht="16" x14ac:dyDescent="0.35">
      <c r="A709" t="str">
        <f t="shared" si="22"/>
        <v>17</v>
      </c>
      <c r="B709">
        <f>_xlfn.SWITCH(Table4[[#This Row],[month]],"jan",1,"feb",2,"mar",3,"apr",4,"may",5,"jun",6,"jul",7,"aug",8,"sep",9,"oct",10,"nov",11,"dec",12,"no month")</f>
        <v>3</v>
      </c>
      <c r="C709" s="12" t="str">
        <f>LEFT('All Transactions'!$E709,3)</f>
        <v>Mar</v>
      </c>
      <c r="D709" s="12" t="str">
        <f t="shared" si="23"/>
        <v>2026</v>
      </c>
      <c r="E709" s="22" t="s">
        <v>2413</v>
      </c>
      <c r="F709" s="23" t="s">
        <v>2429</v>
      </c>
      <c r="G709" s="18" t="s">
        <v>28</v>
      </c>
      <c r="H709" s="24">
        <v>40</v>
      </c>
      <c r="I709" s="25" t="s">
        <v>2414</v>
      </c>
      <c r="J709" s="25" t="s">
        <v>2430</v>
      </c>
      <c r="K709" s="26" t="s">
        <v>2431</v>
      </c>
      <c r="L709" s="25" t="s">
        <v>32</v>
      </c>
      <c r="M709" t="str">
        <f>TEXT(A709,"dddd")</f>
        <v>Tuesday</v>
      </c>
      <c r="N709" s="35">
        <f>DATE(Table4[[#This Row],[year]],Table4[[#This Row],[month2]],Table4[[#This Row],[day]])</f>
        <v>46098</v>
      </c>
    </row>
    <row r="710" spans="1:14" ht="16" x14ac:dyDescent="0.35">
      <c r="A710" t="str">
        <f t="shared" si="22"/>
        <v>17</v>
      </c>
      <c r="B710">
        <f>_xlfn.SWITCH(Table4[[#This Row],[month]],"jan",1,"feb",2,"mar",3,"apr",4,"may",5,"jun",6,"jul",7,"aug",8,"sep",9,"oct",10,"nov",11,"dec",12,"no month")</f>
        <v>3</v>
      </c>
      <c r="C710" s="12" t="str">
        <f>LEFT('All Transactions'!$E710,3)</f>
        <v>Mar</v>
      </c>
      <c r="D710" s="12" t="str">
        <f t="shared" si="23"/>
        <v>2026</v>
      </c>
      <c r="E710" s="16" t="s">
        <v>2413</v>
      </c>
      <c r="F710" s="17" t="s">
        <v>2432</v>
      </c>
      <c r="G710" s="27" t="s">
        <v>54</v>
      </c>
      <c r="H710" s="19">
        <v>120</v>
      </c>
      <c r="I710" s="20" t="s">
        <v>1586</v>
      </c>
      <c r="J710" s="20" t="s">
        <v>2433</v>
      </c>
      <c r="K710" s="21" t="s">
        <v>2434</v>
      </c>
      <c r="L710" s="20" t="s">
        <v>58</v>
      </c>
      <c r="M710" t="str">
        <f>TEXT(A710,"dddd")</f>
        <v>Tuesday</v>
      </c>
      <c r="N710" s="35">
        <f>DATE(Table4[[#This Row],[year]],Table4[[#This Row],[month2]],Table4[[#This Row],[day]])</f>
        <v>46098</v>
      </c>
    </row>
    <row r="711" spans="1:14" ht="16" x14ac:dyDescent="0.35">
      <c r="A711" t="str">
        <f t="shared" si="22"/>
        <v>16</v>
      </c>
      <c r="B711">
        <f>_xlfn.SWITCH(Table4[[#This Row],[month]],"jan",1,"feb",2,"mar",3,"apr",4,"may",5,"jun",6,"jul",7,"aug",8,"sep",9,"oct",10,"nov",11,"dec",12,"no month")</f>
        <v>3</v>
      </c>
      <c r="C711" s="12" t="str">
        <f>LEFT('All Transactions'!$E711,3)</f>
        <v>Mar</v>
      </c>
      <c r="D711" s="12" t="str">
        <f t="shared" si="23"/>
        <v>2026</v>
      </c>
      <c r="E711" s="22" t="s">
        <v>2435</v>
      </c>
      <c r="F711" s="23" t="s">
        <v>239</v>
      </c>
      <c r="G711" s="18" t="s">
        <v>28</v>
      </c>
      <c r="H711" s="24">
        <v>20</v>
      </c>
      <c r="I711" s="25" t="s">
        <v>2436</v>
      </c>
      <c r="J711" s="25" t="s">
        <v>2437</v>
      </c>
      <c r="K711" s="26" t="s">
        <v>2438</v>
      </c>
      <c r="L711" s="25" t="s">
        <v>32</v>
      </c>
      <c r="M711" t="str">
        <f>TEXT(A711,"dddd")</f>
        <v>Monday</v>
      </c>
      <c r="N711" s="35">
        <f>DATE(Table4[[#This Row],[year]],Table4[[#This Row],[month2]],Table4[[#This Row],[day]])</f>
        <v>46097</v>
      </c>
    </row>
    <row r="712" spans="1:14" ht="16" x14ac:dyDescent="0.35">
      <c r="A712" t="str">
        <f t="shared" si="22"/>
        <v>16</v>
      </c>
      <c r="B712">
        <f>_xlfn.SWITCH(Table4[[#This Row],[month]],"jan",1,"feb",2,"mar",3,"apr",4,"may",5,"jun",6,"jul",7,"aug",8,"sep",9,"oct",10,"nov",11,"dec",12,"no month")</f>
        <v>3</v>
      </c>
      <c r="C712" s="12" t="str">
        <f>LEFT('All Transactions'!$E712,3)</f>
        <v>Mar</v>
      </c>
      <c r="D712" s="12" t="str">
        <f t="shared" si="23"/>
        <v>2026</v>
      </c>
      <c r="E712" s="16" t="s">
        <v>2435</v>
      </c>
      <c r="F712" s="17" t="s">
        <v>2439</v>
      </c>
      <c r="G712" s="27" t="s">
        <v>54</v>
      </c>
      <c r="H712" s="19">
        <v>20</v>
      </c>
      <c r="I712" s="20" t="s">
        <v>947</v>
      </c>
      <c r="J712" s="20" t="s">
        <v>2440</v>
      </c>
      <c r="K712" s="21" t="s">
        <v>2441</v>
      </c>
      <c r="L712" s="20" t="s">
        <v>58</v>
      </c>
      <c r="M712" t="str">
        <f>TEXT(A712,"dddd")</f>
        <v>Monday</v>
      </c>
      <c r="N712" s="35">
        <f>DATE(Table4[[#This Row],[year]],Table4[[#This Row],[month2]],Table4[[#This Row],[day]])</f>
        <v>46097</v>
      </c>
    </row>
    <row r="713" spans="1:14" ht="16" x14ac:dyDescent="0.35">
      <c r="A713" t="str">
        <f t="shared" si="22"/>
        <v>16</v>
      </c>
      <c r="B713">
        <f>_xlfn.SWITCH(Table4[[#This Row],[month]],"jan",1,"feb",2,"mar",3,"apr",4,"may",5,"jun",6,"jul",7,"aug",8,"sep",9,"oct",10,"nov",11,"dec",12,"no month")</f>
        <v>3</v>
      </c>
      <c r="C713" s="12" t="str">
        <f>LEFT('All Transactions'!$E713,3)</f>
        <v>Mar</v>
      </c>
      <c r="D713" s="12" t="str">
        <f t="shared" si="23"/>
        <v>2026</v>
      </c>
      <c r="E713" s="22" t="s">
        <v>2435</v>
      </c>
      <c r="F713" s="23" t="s">
        <v>2442</v>
      </c>
      <c r="G713" s="27" t="s">
        <v>54</v>
      </c>
      <c r="H713" s="24">
        <v>1000</v>
      </c>
      <c r="I713" s="25" t="s">
        <v>156</v>
      </c>
      <c r="J713" s="25" t="s">
        <v>2443</v>
      </c>
      <c r="K713" s="26" t="s">
        <v>2444</v>
      </c>
      <c r="L713" s="25" t="s">
        <v>58</v>
      </c>
      <c r="M713" t="str">
        <f>TEXT(A713,"dddd")</f>
        <v>Monday</v>
      </c>
      <c r="N713" s="35">
        <f>DATE(Table4[[#This Row],[year]],Table4[[#This Row],[month2]],Table4[[#This Row],[day]])</f>
        <v>46097</v>
      </c>
    </row>
    <row r="714" spans="1:14" ht="16" x14ac:dyDescent="0.35">
      <c r="A714" t="str">
        <f t="shared" si="22"/>
        <v>16</v>
      </c>
      <c r="B714">
        <f>_xlfn.SWITCH(Table4[[#This Row],[month]],"jan",1,"feb",2,"mar",3,"apr",4,"may",5,"jun",6,"jul",7,"aug",8,"sep",9,"oct",10,"nov",11,"dec",12,"no month")</f>
        <v>3</v>
      </c>
      <c r="C714" s="12" t="str">
        <f>LEFT('All Transactions'!$E714,3)</f>
        <v>Mar</v>
      </c>
      <c r="D714" s="12" t="str">
        <f t="shared" si="23"/>
        <v>2026</v>
      </c>
      <c r="E714" s="16" t="s">
        <v>2435</v>
      </c>
      <c r="F714" s="17" t="s">
        <v>2445</v>
      </c>
      <c r="G714" s="18" t="s">
        <v>28</v>
      </c>
      <c r="H714" s="19">
        <v>130</v>
      </c>
      <c r="I714" s="20" t="s">
        <v>2446</v>
      </c>
      <c r="J714" s="20" t="s">
        <v>2447</v>
      </c>
      <c r="K714" s="21" t="s">
        <v>2448</v>
      </c>
      <c r="L714" s="20" t="s">
        <v>32</v>
      </c>
      <c r="M714" t="str">
        <f>TEXT(A714,"dddd")</f>
        <v>Monday</v>
      </c>
      <c r="N714" s="35">
        <f>DATE(Table4[[#This Row],[year]],Table4[[#This Row],[month2]],Table4[[#This Row],[day]])</f>
        <v>46097</v>
      </c>
    </row>
    <row r="715" spans="1:14" ht="16" x14ac:dyDescent="0.35">
      <c r="A715" t="str">
        <f t="shared" si="22"/>
        <v>16</v>
      </c>
      <c r="B715">
        <f>_xlfn.SWITCH(Table4[[#This Row],[month]],"jan",1,"feb",2,"mar",3,"apr",4,"may",5,"jun",6,"jul",7,"aug",8,"sep",9,"oct",10,"nov",11,"dec",12,"no month")</f>
        <v>3</v>
      </c>
      <c r="C715" s="12" t="str">
        <f>LEFT('All Transactions'!$E715,3)</f>
        <v>Mar</v>
      </c>
      <c r="D715" s="12" t="str">
        <f t="shared" si="23"/>
        <v>2026</v>
      </c>
      <c r="E715" s="22" t="s">
        <v>2435</v>
      </c>
      <c r="F715" s="23" t="s">
        <v>2449</v>
      </c>
      <c r="G715" s="18" t="s">
        <v>28</v>
      </c>
      <c r="H715" s="24">
        <v>130</v>
      </c>
      <c r="I715" s="25" t="s">
        <v>1002</v>
      </c>
      <c r="J715" s="25" t="s">
        <v>2450</v>
      </c>
      <c r="K715" s="26" t="s">
        <v>2451</v>
      </c>
      <c r="L715" s="25" t="s">
        <v>32</v>
      </c>
      <c r="M715" t="str">
        <f>TEXT(A715,"dddd")</f>
        <v>Monday</v>
      </c>
      <c r="N715" s="35">
        <f>DATE(Table4[[#This Row],[year]],Table4[[#This Row],[month2]],Table4[[#This Row],[day]])</f>
        <v>46097</v>
      </c>
    </row>
    <row r="716" spans="1:14" ht="16" x14ac:dyDescent="0.35">
      <c r="A716" t="str">
        <f t="shared" si="22"/>
        <v>15</v>
      </c>
      <c r="B716">
        <f>_xlfn.SWITCH(Table4[[#This Row],[month]],"jan",1,"feb",2,"mar",3,"apr",4,"may",5,"jun",6,"jul",7,"aug",8,"sep",9,"oct",10,"nov",11,"dec",12,"no month")</f>
        <v>3</v>
      </c>
      <c r="C716" s="12" t="str">
        <f>LEFT('All Transactions'!$E716,3)</f>
        <v>Mar</v>
      </c>
      <c r="D716" s="12" t="str">
        <f t="shared" si="23"/>
        <v>2026</v>
      </c>
      <c r="E716" s="16" t="s">
        <v>2452</v>
      </c>
      <c r="F716" s="17" t="s">
        <v>395</v>
      </c>
      <c r="G716" s="18" t="s">
        <v>28</v>
      </c>
      <c r="H716" s="19">
        <v>30</v>
      </c>
      <c r="I716" s="20" t="s">
        <v>800</v>
      </c>
      <c r="J716" s="20" t="s">
        <v>2453</v>
      </c>
      <c r="K716" s="21" t="s">
        <v>2454</v>
      </c>
      <c r="L716" s="20" t="s">
        <v>32</v>
      </c>
      <c r="M716" t="str">
        <f>TEXT(A716,"dddd")</f>
        <v>Sunday</v>
      </c>
      <c r="N716" s="35">
        <f>DATE(Table4[[#This Row],[year]],Table4[[#This Row],[month2]],Table4[[#This Row],[day]])</f>
        <v>46096</v>
      </c>
    </row>
    <row r="717" spans="1:14" ht="16" x14ac:dyDescent="0.35">
      <c r="A717" t="str">
        <f t="shared" si="22"/>
        <v>15</v>
      </c>
      <c r="B717">
        <f>_xlfn.SWITCH(Table4[[#This Row],[month]],"jan",1,"feb",2,"mar",3,"apr",4,"may",5,"jun",6,"jul",7,"aug",8,"sep",9,"oct",10,"nov",11,"dec",12,"no month")</f>
        <v>3</v>
      </c>
      <c r="C717" s="12" t="str">
        <f>LEFT('All Transactions'!$E717,3)</f>
        <v>Mar</v>
      </c>
      <c r="D717" s="12" t="str">
        <f t="shared" si="23"/>
        <v>2026</v>
      </c>
      <c r="E717" s="22" t="s">
        <v>2452</v>
      </c>
      <c r="F717" s="23" t="s">
        <v>2455</v>
      </c>
      <c r="G717" s="18" t="s">
        <v>28</v>
      </c>
      <c r="H717" s="24">
        <v>368.66</v>
      </c>
      <c r="I717" s="25" t="s">
        <v>2456</v>
      </c>
      <c r="J717" s="25" t="s">
        <v>2457</v>
      </c>
      <c r="K717" s="26" t="s">
        <v>2458</v>
      </c>
      <c r="L717" s="25" t="s">
        <v>32</v>
      </c>
      <c r="M717" t="str">
        <f>TEXT(A717,"dddd")</f>
        <v>Sunday</v>
      </c>
      <c r="N717" s="35">
        <f>DATE(Table4[[#This Row],[year]],Table4[[#This Row],[month2]],Table4[[#This Row],[day]])</f>
        <v>46096</v>
      </c>
    </row>
    <row r="718" spans="1:14" ht="16" x14ac:dyDescent="0.35">
      <c r="A718" t="str">
        <f t="shared" si="22"/>
        <v>15</v>
      </c>
      <c r="B718">
        <f>_xlfn.SWITCH(Table4[[#This Row],[month]],"jan",1,"feb",2,"mar",3,"apr",4,"may",5,"jun",6,"jul",7,"aug",8,"sep",9,"oct",10,"nov",11,"dec",12,"no month")</f>
        <v>3</v>
      </c>
      <c r="C718" s="12" t="str">
        <f>LEFT('All Transactions'!$E718,3)</f>
        <v>Mar</v>
      </c>
      <c r="D718" s="12" t="str">
        <f t="shared" si="23"/>
        <v>2026</v>
      </c>
      <c r="E718" s="16" t="s">
        <v>2452</v>
      </c>
      <c r="F718" s="17" t="s">
        <v>2455</v>
      </c>
      <c r="G718" s="18" t="s">
        <v>28</v>
      </c>
      <c r="H718" s="19">
        <v>40</v>
      </c>
      <c r="I718" s="20" t="s">
        <v>37</v>
      </c>
      <c r="J718" s="20" t="s">
        <v>2459</v>
      </c>
      <c r="K718" s="21" t="s">
        <v>2460</v>
      </c>
      <c r="L718" s="20" t="s">
        <v>32</v>
      </c>
      <c r="M718" t="str">
        <f>TEXT(A718,"dddd")</f>
        <v>Sunday</v>
      </c>
      <c r="N718" s="35">
        <f>DATE(Table4[[#This Row],[year]],Table4[[#This Row],[month2]],Table4[[#This Row],[day]])</f>
        <v>46096</v>
      </c>
    </row>
    <row r="719" spans="1:14" ht="16" x14ac:dyDescent="0.35">
      <c r="A719" t="str">
        <f t="shared" si="22"/>
        <v>15</v>
      </c>
      <c r="B719">
        <f>_xlfn.SWITCH(Table4[[#This Row],[month]],"jan",1,"feb",2,"mar",3,"apr",4,"may",5,"jun",6,"jul",7,"aug",8,"sep",9,"oct",10,"nov",11,"dec",12,"no month")</f>
        <v>3</v>
      </c>
      <c r="C719" s="12" t="str">
        <f>LEFT('All Transactions'!$E719,3)</f>
        <v>Mar</v>
      </c>
      <c r="D719" s="12" t="str">
        <f t="shared" si="23"/>
        <v>2026</v>
      </c>
      <c r="E719" s="22" t="s">
        <v>2452</v>
      </c>
      <c r="F719" s="23" t="s">
        <v>2461</v>
      </c>
      <c r="G719" s="18" t="s">
        <v>28</v>
      </c>
      <c r="H719" s="24">
        <v>10</v>
      </c>
      <c r="I719" s="25" t="s">
        <v>1465</v>
      </c>
      <c r="J719" s="25" t="s">
        <v>2462</v>
      </c>
      <c r="K719" s="26" t="s">
        <v>2463</v>
      </c>
      <c r="L719" s="25" t="s">
        <v>32</v>
      </c>
      <c r="M719" t="str">
        <f>TEXT(A719,"dddd")</f>
        <v>Sunday</v>
      </c>
      <c r="N719" s="35">
        <f>DATE(Table4[[#This Row],[year]],Table4[[#This Row],[month2]],Table4[[#This Row],[day]])</f>
        <v>46096</v>
      </c>
    </row>
    <row r="720" spans="1:14" ht="16" x14ac:dyDescent="0.35">
      <c r="A720" t="str">
        <f t="shared" si="22"/>
        <v>15</v>
      </c>
      <c r="B720">
        <f>_xlfn.SWITCH(Table4[[#This Row],[month]],"jan",1,"feb",2,"mar",3,"apr",4,"may",5,"jun",6,"jul",7,"aug",8,"sep",9,"oct",10,"nov",11,"dec",12,"no month")</f>
        <v>3</v>
      </c>
      <c r="C720" s="12" t="str">
        <f>LEFT('All Transactions'!$E720,3)</f>
        <v>Mar</v>
      </c>
      <c r="D720" s="12" t="str">
        <f t="shared" si="23"/>
        <v>2026</v>
      </c>
      <c r="E720" s="16" t="s">
        <v>2452</v>
      </c>
      <c r="F720" s="17" t="s">
        <v>914</v>
      </c>
      <c r="G720" s="18" t="s">
        <v>28</v>
      </c>
      <c r="H720" s="19">
        <v>120</v>
      </c>
      <c r="I720" s="20" t="s">
        <v>1465</v>
      </c>
      <c r="J720" s="20" t="s">
        <v>2464</v>
      </c>
      <c r="K720" s="21" t="s">
        <v>2465</v>
      </c>
      <c r="L720" s="20" t="s">
        <v>32</v>
      </c>
      <c r="M720" t="str">
        <f>TEXT(A720,"dddd")</f>
        <v>Sunday</v>
      </c>
      <c r="N720" s="35">
        <f>DATE(Table4[[#This Row],[year]],Table4[[#This Row],[month2]],Table4[[#This Row],[day]])</f>
        <v>46096</v>
      </c>
    </row>
    <row r="721" spans="1:14" ht="16" x14ac:dyDescent="0.35">
      <c r="A721" t="str">
        <f t="shared" si="22"/>
        <v>15</v>
      </c>
      <c r="B721">
        <f>_xlfn.SWITCH(Table4[[#This Row],[month]],"jan",1,"feb",2,"mar",3,"apr",4,"may",5,"jun",6,"jul",7,"aug",8,"sep",9,"oct",10,"nov",11,"dec",12,"no month")</f>
        <v>3</v>
      </c>
      <c r="C721" s="12" t="str">
        <f>LEFT('All Transactions'!$E721,3)</f>
        <v>Mar</v>
      </c>
      <c r="D721" s="12" t="str">
        <f t="shared" si="23"/>
        <v>2026</v>
      </c>
      <c r="E721" s="22" t="s">
        <v>2452</v>
      </c>
      <c r="F721" s="23" t="s">
        <v>914</v>
      </c>
      <c r="G721" s="27" t="s">
        <v>54</v>
      </c>
      <c r="H721" s="24">
        <v>80</v>
      </c>
      <c r="I721" s="25" t="s">
        <v>947</v>
      </c>
      <c r="J721" s="25" t="s">
        <v>2466</v>
      </c>
      <c r="K721" s="26" t="s">
        <v>2467</v>
      </c>
      <c r="L721" s="25" t="s">
        <v>58</v>
      </c>
      <c r="M721" t="str">
        <f>TEXT(A721,"dddd")</f>
        <v>Sunday</v>
      </c>
      <c r="N721" s="35">
        <f>DATE(Table4[[#This Row],[year]],Table4[[#This Row],[month2]],Table4[[#This Row],[day]])</f>
        <v>46096</v>
      </c>
    </row>
    <row r="722" spans="1:14" ht="16" x14ac:dyDescent="0.35">
      <c r="A722" t="str">
        <f t="shared" si="22"/>
        <v>15</v>
      </c>
      <c r="B722">
        <f>_xlfn.SWITCH(Table4[[#This Row],[month]],"jan",1,"feb",2,"mar",3,"apr",4,"may",5,"jun",6,"jul",7,"aug",8,"sep",9,"oct",10,"nov",11,"dec",12,"no month")</f>
        <v>3</v>
      </c>
      <c r="C722" s="12" t="str">
        <f>LEFT('All Transactions'!$E722,3)</f>
        <v>Mar</v>
      </c>
      <c r="D722" s="12" t="str">
        <f t="shared" si="23"/>
        <v>2026</v>
      </c>
      <c r="E722" s="16" t="s">
        <v>2452</v>
      </c>
      <c r="F722" s="17" t="s">
        <v>2468</v>
      </c>
      <c r="G722" s="18" t="s">
        <v>28</v>
      </c>
      <c r="H722" s="19">
        <v>85</v>
      </c>
      <c r="I722" s="20" t="s">
        <v>1810</v>
      </c>
      <c r="J722" s="20" t="s">
        <v>2469</v>
      </c>
      <c r="K722" s="21" t="s">
        <v>2470</v>
      </c>
      <c r="L722" s="20" t="s">
        <v>32</v>
      </c>
      <c r="M722" t="str">
        <f>TEXT(A722,"dddd")</f>
        <v>Sunday</v>
      </c>
      <c r="N722" s="35">
        <f>DATE(Table4[[#This Row],[year]],Table4[[#This Row],[month2]],Table4[[#This Row],[day]])</f>
        <v>46096</v>
      </c>
    </row>
    <row r="723" spans="1:14" ht="16" x14ac:dyDescent="0.35">
      <c r="A723" t="str">
        <f t="shared" si="22"/>
        <v>15</v>
      </c>
      <c r="B723">
        <f>_xlfn.SWITCH(Table4[[#This Row],[month]],"jan",1,"feb",2,"mar",3,"apr",4,"may",5,"jun",6,"jul",7,"aug",8,"sep",9,"oct",10,"nov",11,"dec",12,"no month")</f>
        <v>3</v>
      </c>
      <c r="C723" s="12" t="str">
        <f>LEFT('All Transactions'!$E723,3)</f>
        <v>Mar</v>
      </c>
      <c r="D723" s="12" t="str">
        <f t="shared" si="23"/>
        <v>2026</v>
      </c>
      <c r="E723" s="22" t="s">
        <v>2452</v>
      </c>
      <c r="F723" s="23" t="s">
        <v>2471</v>
      </c>
      <c r="G723" s="27" t="s">
        <v>54</v>
      </c>
      <c r="H723" s="24">
        <v>200</v>
      </c>
      <c r="I723" s="25" t="s">
        <v>2472</v>
      </c>
      <c r="J723" s="25" t="s">
        <v>2473</v>
      </c>
      <c r="K723" s="26" t="s">
        <v>2474</v>
      </c>
      <c r="L723" s="25" t="s">
        <v>58</v>
      </c>
      <c r="M723" t="str">
        <f>TEXT(A723,"dddd")</f>
        <v>Sunday</v>
      </c>
      <c r="N723" s="35">
        <f>DATE(Table4[[#This Row],[year]],Table4[[#This Row],[month2]],Table4[[#This Row],[day]])</f>
        <v>46096</v>
      </c>
    </row>
    <row r="724" spans="1:14" ht="16" x14ac:dyDescent="0.35">
      <c r="A724" t="str">
        <f t="shared" si="22"/>
        <v>15</v>
      </c>
      <c r="B724">
        <f>_xlfn.SWITCH(Table4[[#This Row],[month]],"jan",1,"feb",2,"mar",3,"apr",4,"may",5,"jun",6,"jul",7,"aug",8,"sep",9,"oct",10,"nov",11,"dec",12,"no month")</f>
        <v>3</v>
      </c>
      <c r="C724" s="12" t="str">
        <f>LEFT('All Transactions'!$E724,3)</f>
        <v>Mar</v>
      </c>
      <c r="D724" s="12" t="str">
        <f t="shared" si="23"/>
        <v>2026</v>
      </c>
      <c r="E724" s="16" t="s">
        <v>2452</v>
      </c>
      <c r="F724" s="17" t="s">
        <v>2475</v>
      </c>
      <c r="G724" s="27" t="s">
        <v>54</v>
      </c>
      <c r="H724" s="19">
        <v>120</v>
      </c>
      <c r="I724" s="20" t="s">
        <v>2476</v>
      </c>
      <c r="J724" s="20" t="s">
        <v>2477</v>
      </c>
      <c r="K724" s="21" t="s">
        <v>2478</v>
      </c>
      <c r="L724" s="20" t="s">
        <v>58</v>
      </c>
      <c r="M724" t="str">
        <f>TEXT(A724,"dddd")</f>
        <v>Sunday</v>
      </c>
      <c r="N724" s="35">
        <f>DATE(Table4[[#This Row],[year]],Table4[[#This Row],[month2]],Table4[[#This Row],[day]])</f>
        <v>46096</v>
      </c>
    </row>
    <row r="725" spans="1:14" ht="16" x14ac:dyDescent="0.35">
      <c r="A725" t="str">
        <f t="shared" si="22"/>
        <v>14</v>
      </c>
      <c r="B725">
        <f>_xlfn.SWITCH(Table4[[#This Row],[month]],"jan",1,"feb",2,"mar",3,"apr",4,"may",5,"jun",6,"jul",7,"aug",8,"sep",9,"oct",10,"nov",11,"dec",12,"no month")</f>
        <v>3</v>
      </c>
      <c r="C725" s="12" t="str">
        <f>LEFT('All Transactions'!$E725,3)</f>
        <v>Mar</v>
      </c>
      <c r="D725" s="12" t="str">
        <f t="shared" si="23"/>
        <v>2026</v>
      </c>
      <c r="E725" s="22" t="s">
        <v>2479</v>
      </c>
      <c r="F725" s="23" t="s">
        <v>1488</v>
      </c>
      <c r="G725" s="27" t="s">
        <v>54</v>
      </c>
      <c r="H725" s="24">
        <v>71</v>
      </c>
      <c r="I725" s="25" t="s">
        <v>2480</v>
      </c>
      <c r="J725" s="25" t="s">
        <v>2481</v>
      </c>
      <c r="K725" s="26" t="s">
        <v>2482</v>
      </c>
      <c r="L725" s="25" t="s">
        <v>58</v>
      </c>
      <c r="M725" t="str">
        <f>TEXT(A725,"dddd")</f>
        <v>Saturday</v>
      </c>
      <c r="N725" s="35">
        <f>DATE(Table4[[#This Row],[year]],Table4[[#This Row],[month2]],Table4[[#This Row],[day]])</f>
        <v>46095</v>
      </c>
    </row>
    <row r="726" spans="1:14" ht="16" x14ac:dyDescent="0.35">
      <c r="A726" t="str">
        <f t="shared" si="22"/>
        <v>14</v>
      </c>
      <c r="B726">
        <f>_xlfn.SWITCH(Table4[[#This Row],[month]],"jan",1,"feb",2,"mar",3,"apr",4,"may",5,"jun",6,"jul",7,"aug",8,"sep",9,"oct",10,"nov",11,"dec",12,"no month")</f>
        <v>3</v>
      </c>
      <c r="C726" s="12" t="str">
        <f>LEFT('All Transactions'!$E726,3)</f>
        <v>Mar</v>
      </c>
      <c r="D726" s="12" t="str">
        <f t="shared" si="23"/>
        <v>2026</v>
      </c>
      <c r="E726" s="16" t="s">
        <v>2479</v>
      </c>
      <c r="F726" s="17" t="s">
        <v>2483</v>
      </c>
      <c r="G726" s="27" t="s">
        <v>54</v>
      </c>
      <c r="H726" s="19">
        <v>96</v>
      </c>
      <c r="I726" s="20" t="s">
        <v>2484</v>
      </c>
      <c r="J726" s="20" t="s">
        <v>2485</v>
      </c>
      <c r="K726" s="21" t="s">
        <v>2486</v>
      </c>
      <c r="L726" s="20" t="s">
        <v>58</v>
      </c>
      <c r="M726" t="str">
        <f>TEXT(A726,"dddd")</f>
        <v>Saturday</v>
      </c>
      <c r="N726" s="35">
        <f>DATE(Table4[[#This Row],[year]],Table4[[#This Row],[month2]],Table4[[#This Row],[day]])</f>
        <v>46095</v>
      </c>
    </row>
    <row r="727" spans="1:14" ht="16" x14ac:dyDescent="0.35">
      <c r="A727" t="str">
        <f t="shared" si="22"/>
        <v>14</v>
      </c>
      <c r="B727">
        <f>_xlfn.SWITCH(Table4[[#This Row],[month]],"jan",1,"feb",2,"mar",3,"apr",4,"may",5,"jun",6,"jul",7,"aug",8,"sep",9,"oct",10,"nov",11,"dec",12,"no month")</f>
        <v>3</v>
      </c>
      <c r="C727" s="12" t="str">
        <f>LEFT('All Transactions'!$E727,3)</f>
        <v>Mar</v>
      </c>
      <c r="D727" s="12" t="str">
        <f t="shared" si="23"/>
        <v>2026</v>
      </c>
      <c r="E727" s="22" t="s">
        <v>2479</v>
      </c>
      <c r="F727" s="23" t="s">
        <v>216</v>
      </c>
      <c r="G727" s="27" t="s">
        <v>54</v>
      </c>
      <c r="H727" s="24">
        <v>90</v>
      </c>
      <c r="I727" s="25" t="s">
        <v>2487</v>
      </c>
      <c r="J727" s="25" t="s">
        <v>2488</v>
      </c>
      <c r="K727" s="26" t="s">
        <v>2489</v>
      </c>
      <c r="L727" s="25" t="s">
        <v>58</v>
      </c>
      <c r="M727" t="str">
        <f>TEXT(A727,"dddd")</f>
        <v>Saturday</v>
      </c>
      <c r="N727" s="35">
        <f>DATE(Table4[[#This Row],[year]],Table4[[#This Row],[month2]],Table4[[#This Row],[day]])</f>
        <v>46095</v>
      </c>
    </row>
    <row r="728" spans="1:14" ht="16" x14ac:dyDescent="0.35">
      <c r="A728" t="str">
        <f t="shared" si="22"/>
        <v>14</v>
      </c>
      <c r="B728">
        <f>_xlfn.SWITCH(Table4[[#This Row],[month]],"jan",1,"feb",2,"mar",3,"apr",4,"may",5,"jun",6,"jul",7,"aug",8,"sep",9,"oct",10,"nov",11,"dec",12,"no month")</f>
        <v>3</v>
      </c>
      <c r="C728" s="12" t="str">
        <f>LEFT('All Transactions'!$E728,3)</f>
        <v>Mar</v>
      </c>
      <c r="D728" s="12" t="str">
        <f t="shared" si="23"/>
        <v>2026</v>
      </c>
      <c r="E728" s="16" t="s">
        <v>2479</v>
      </c>
      <c r="F728" s="17" t="s">
        <v>286</v>
      </c>
      <c r="G728" s="27" t="s">
        <v>54</v>
      </c>
      <c r="H728" s="19">
        <v>104</v>
      </c>
      <c r="I728" s="20" t="s">
        <v>2490</v>
      </c>
      <c r="J728" s="20" t="s">
        <v>2491</v>
      </c>
      <c r="K728" s="21" t="s">
        <v>2492</v>
      </c>
      <c r="L728" s="20" t="s">
        <v>58</v>
      </c>
      <c r="M728" t="str">
        <f>TEXT(A728,"dddd")</f>
        <v>Saturday</v>
      </c>
      <c r="N728" s="35">
        <f>DATE(Table4[[#This Row],[year]],Table4[[#This Row],[month2]],Table4[[#This Row],[day]])</f>
        <v>46095</v>
      </c>
    </row>
    <row r="729" spans="1:14" ht="16" x14ac:dyDescent="0.35">
      <c r="A729" t="str">
        <f t="shared" si="22"/>
        <v>14</v>
      </c>
      <c r="B729">
        <f>_xlfn.SWITCH(Table4[[#This Row],[month]],"jan",1,"feb",2,"mar",3,"apr",4,"may",5,"jun",6,"jul",7,"aug",8,"sep",9,"oct",10,"nov",11,"dec",12,"no month")</f>
        <v>3</v>
      </c>
      <c r="C729" s="12" t="str">
        <f>LEFT('All Transactions'!$E729,3)</f>
        <v>Mar</v>
      </c>
      <c r="D729" s="12" t="str">
        <f t="shared" si="23"/>
        <v>2026</v>
      </c>
      <c r="E729" s="22" t="s">
        <v>2479</v>
      </c>
      <c r="F729" s="23" t="s">
        <v>2493</v>
      </c>
      <c r="G729" s="27" t="s">
        <v>54</v>
      </c>
      <c r="H729" s="24">
        <v>80</v>
      </c>
      <c r="I729" s="25" t="s">
        <v>2494</v>
      </c>
      <c r="J729" s="25" t="s">
        <v>2495</v>
      </c>
      <c r="K729" s="26" t="s">
        <v>2496</v>
      </c>
      <c r="L729" s="25" t="s">
        <v>58</v>
      </c>
      <c r="M729" t="str">
        <f>TEXT(A729,"dddd")</f>
        <v>Saturday</v>
      </c>
      <c r="N729" s="35">
        <f>DATE(Table4[[#This Row],[year]],Table4[[#This Row],[month2]],Table4[[#This Row],[day]])</f>
        <v>46095</v>
      </c>
    </row>
    <row r="730" spans="1:14" ht="16" x14ac:dyDescent="0.35">
      <c r="A730" t="str">
        <f t="shared" si="22"/>
        <v>14</v>
      </c>
      <c r="B730">
        <f>_xlfn.SWITCH(Table4[[#This Row],[month]],"jan",1,"feb",2,"mar",3,"apr",4,"may",5,"jun",6,"jul",7,"aug",8,"sep",9,"oct",10,"nov",11,"dec",12,"no month")</f>
        <v>3</v>
      </c>
      <c r="C730" s="12" t="str">
        <f>LEFT('All Transactions'!$E730,3)</f>
        <v>Mar</v>
      </c>
      <c r="D730" s="12" t="str">
        <f t="shared" si="23"/>
        <v>2026</v>
      </c>
      <c r="E730" s="16" t="s">
        <v>2479</v>
      </c>
      <c r="F730" s="17" t="s">
        <v>1321</v>
      </c>
      <c r="G730" s="27" t="s">
        <v>54</v>
      </c>
      <c r="H730" s="19">
        <v>50.63</v>
      </c>
      <c r="I730" s="20" t="s">
        <v>2497</v>
      </c>
      <c r="J730" s="20" t="s">
        <v>2498</v>
      </c>
      <c r="K730" s="21" t="s">
        <v>2499</v>
      </c>
      <c r="L730" s="20" t="s">
        <v>58</v>
      </c>
      <c r="M730" t="str">
        <f>TEXT(A730,"dddd")</f>
        <v>Saturday</v>
      </c>
      <c r="N730" s="35">
        <f>DATE(Table4[[#This Row],[year]],Table4[[#This Row],[month2]],Table4[[#This Row],[day]])</f>
        <v>46095</v>
      </c>
    </row>
    <row r="731" spans="1:14" ht="16" x14ac:dyDescent="0.35">
      <c r="A731" t="str">
        <f t="shared" si="22"/>
        <v>14</v>
      </c>
      <c r="B731">
        <f>_xlfn.SWITCH(Table4[[#This Row],[month]],"jan",1,"feb",2,"mar",3,"apr",4,"may",5,"jun",6,"jul",7,"aug",8,"sep",9,"oct",10,"nov",11,"dec",12,"no month")</f>
        <v>3</v>
      </c>
      <c r="C731" s="12" t="str">
        <f>LEFT('All Transactions'!$E731,3)</f>
        <v>Mar</v>
      </c>
      <c r="D731" s="12" t="str">
        <f t="shared" si="23"/>
        <v>2026</v>
      </c>
      <c r="E731" s="22" t="s">
        <v>2479</v>
      </c>
      <c r="F731" s="23" t="s">
        <v>2500</v>
      </c>
      <c r="G731" s="18" t="s">
        <v>28</v>
      </c>
      <c r="H731" s="24">
        <v>2</v>
      </c>
      <c r="I731" s="25" t="s">
        <v>191</v>
      </c>
      <c r="J731" s="25" t="s">
        <v>2501</v>
      </c>
      <c r="K731" s="26" t="s">
        <v>2502</v>
      </c>
      <c r="L731" s="25" t="s">
        <v>32</v>
      </c>
      <c r="M731" t="str">
        <f>TEXT(A731,"dddd")</f>
        <v>Saturday</v>
      </c>
      <c r="N731" s="35">
        <f>DATE(Table4[[#This Row],[year]],Table4[[#This Row],[month2]],Table4[[#This Row],[day]])</f>
        <v>46095</v>
      </c>
    </row>
    <row r="732" spans="1:14" ht="16" x14ac:dyDescent="0.35">
      <c r="A732" t="str">
        <f t="shared" si="22"/>
        <v>14</v>
      </c>
      <c r="B732">
        <f>_xlfn.SWITCH(Table4[[#This Row],[month]],"jan",1,"feb",2,"mar",3,"apr",4,"may",5,"jun",6,"jul",7,"aug",8,"sep",9,"oct",10,"nov",11,"dec",12,"no month")</f>
        <v>3</v>
      </c>
      <c r="C732" s="12" t="str">
        <f>LEFT('All Transactions'!$E732,3)</f>
        <v>Mar</v>
      </c>
      <c r="D732" s="12" t="str">
        <f t="shared" si="23"/>
        <v>2026</v>
      </c>
      <c r="E732" s="16" t="s">
        <v>2479</v>
      </c>
      <c r="F732" s="17" t="s">
        <v>127</v>
      </c>
      <c r="G732" s="18" t="s">
        <v>28</v>
      </c>
      <c r="H732" s="19">
        <v>200</v>
      </c>
      <c r="I732" s="20" t="s">
        <v>2503</v>
      </c>
      <c r="J732" s="20" t="s">
        <v>2504</v>
      </c>
      <c r="K732" s="21" t="s">
        <v>2505</v>
      </c>
      <c r="L732" s="20" t="s">
        <v>32</v>
      </c>
      <c r="M732" t="str">
        <f>TEXT(A732,"dddd")</f>
        <v>Saturday</v>
      </c>
      <c r="N732" s="35">
        <f>DATE(Table4[[#This Row],[year]],Table4[[#This Row],[month2]],Table4[[#This Row],[day]])</f>
        <v>46095</v>
      </c>
    </row>
    <row r="733" spans="1:14" ht="16" x14ac:dyDescent="0.35">
      <c r="A733" t="str">
        <f t="shared" si="22"/>
        <v>14</v>
      </c>
      <c r="B733">
        <f>_xlfn.SWITCH(Table4[[#This Row],[month]],"jan",1,"feb",2,"mar",3,"apr",4,"may",5,"jun",6,"jul",7,"aug",8,"sep",9,"oct",10,"nov",11,"dec",12,"no month")</f>
        <v>3</v>
      </c>
      <c r="C733" s="12" t="str">
        <f>LEFT('All Transactions'!$E733,3)</f>
        <v>Mar</v>
      </c>
      <c r="D733" s="12" t="str">
        <f t="shared" si="23"/>
        <v>2026</v>
      </c>
      <c r="E733" s="22" t="s">
        <v>2479</v>
      </c>
      <c r="F733" s="23" t="s">
        <v>2506</v>
      </c>
      <c r="G733" s="18" t="s">
        <v>28</v>
      </c>
      <c r="H733" s="24">
        <v>5</v>
      </c>
      <c r="I733" s="25" t="s">
        <v>374</v>
      </c>
      <c r="J733" s="25" t="s">
        <v>2507</v>
      </c>
      <c r="K733" s="26" t="s">
        <v>2508</v>
      </c>
      <c r="L733" s="25" t="s">
        <v>32</v>
      </c>
      <c r="M733" t="str">
        <f>TEXT(A733,"dddd")</f>
        <v>Saturday</v>
      </c>
      <c r="N733" s="35">
        <f>DATE(Table4[[#This Row],[year]],Table4[[#This Row],[month2]],Table4[[#This Row],[day]])</f>
        <v>46095</v>
      </c>
    </row>
    <row r="734" spans="1:14" ht="16" x14ac:dyDescent="0.35">
      <c r="A734" t="str">
        <f t="shared" si="22"/>
        <v>14</v>
      </c>
      <c r="B734">
        <f>_xlfn.SWITCH(Table4[[#This Row],[month]],"jan",1,"feb",2,"mar",3,"apr",4,"may",5,"jun",6,"jul",7,"aug",8,"sep",9,"oct",10,"nov",11,"dec",12,"no month")</f>
        <v>3</v>
      </c>
      <c r="C734" s="12" t="str">
        <f>LEFT('All Transactions'!$E734,3)</f>
        <v>Mar</v>
      </c>
      <c r="D734" s="12" t="str">
        <f t="shared" si="23"/>
        <v>2026</v>
      </c>
      <c r="E734" s="16" t="s">
        <v>2479</v>
      </c>
      <c r="F734" s="17" t="s">
        <v>2509</v>
      </c>
      <c r="G734" s="18" t="s">
        <v>28</v>
      </c>
      <c r="H734" s="19">
        <v>40</v>
      </c>
      <c r="I734" s="20" t="s">
        <v>37</v>
      </c>
      <c r="J734" s="20" t="s">
        <v>2510</v>
      </c>
      <c r="K734" s="21" t="s">
        <v>2511</v>
      </c>
      <c r="L734" s="20" t="s">
        <v>32</v>
      </c>
      <c r="M734" t="str">
        <f>TEXT(A734,"dddd")</f>
        <v>Saturday</v>
      </c>
      <c r="N734" s="35">
        <f>DATE(Table4[[#This Row],[year]],Table4[[#This Row],[month2]],Table4[[#This Row],[day]])</f>
        <v>46095</v>
      </c>
    </row>
    <row r="735" spans="1:14" ht="16" x14ac:dyDescent="0.35">
      <c r="A735" t="str">
        <f t="shared" si="22"/>
        <v>14</v>
      </c>
      <c r="B735">
        <f>_xlfn.SWITCH(Table4[[#This Row],[month]],"jan",1,"feb",2,"mar",3,"apr",4,"may",5,"jun",6,"jul",7,"aug",8,"sep",9,"oct",10,"nov",11,"dec",12,"no month")</f>
        <v>3</v>
      </c>
      <c r="C735" s="12" t="str">
        <f>LEFT('All Transactions'!$E735,3)</f>
        <v>Mar</v>
      </c>
      <c r="D735" s="12" t="str">
        <f t="shared" si="23"/>
        <v>2026</v>
      </c>
      <c r="E735" s="22" t="s">
        <v>2479</v>
      </c>
      <c r="F735" s="23" t="s">
        <v>2512</v>
      </c>
      <c r="G735" s="27" t="s">
        <v>54</v>
      </c>
      <c r="H735" s="24">
        <v>120</v>
      </c>
      <c r="I735" s="25" t="s">
        <v>1586</v>
      </c>
      <c r="J735" s="25" t="s">
        <v>2513</v>
      </c>
      <c r="K735" s="26" t="s">
        <v>2514</v>
      </c>
      <c r="L735" s="25" t="s">
        <v>58</v>
      </c>
      <c r="M735" t="str">
        <f>TEXT(A735,"dddd")</f>
        <v>Saturday</v>
      </c>
      <c r="N735" s="35">
        <f>DATE(Table4[[#This Row],[year]],Table4[[#This Row],[month2]],Table4[[#This Row],[day]])</f>
        <v>46095</v>
      </c>
    </row>
    <row r="736" spans="1:14" ht="16" x14ac:dyDescent="0.35">
      <c r="A736" t="str">
        <f t="shared" si="22"/>
        <v>13</v>
      </c>
      <c r="B736">
        <f>_xlfn.SWITCH(Table4[[#This Row],[month]],"jan",1,"feb",2,"mar",3,"apr",4,"may",5,"jun",6,"jul",7,"aug",8,"sep",9,"oct",10,"nov",11,"dec",12,"no month")</f>
        <v>3</v>
      </c>
      <c r="C736" s="12" t="str">
        <f>LEFT('All Transactions'!$E736,3)</f>
        <v>Mar</v>
      </c>
      <c r="D736" s="12" t="str">
        <f t="shared" si="23"/>
        <v>2026</v>
      </c>
      <c r="E736" s="16" t="s">
        <v>2515</v>
      </c>
      <c r="F736" s="17" t="s">
        <v>612</v>
      </c>
      <c r="G736" s="27" t="s">
        <v>54</v>
      </c>
      <c r="H736" s="19">
        <v>33</v>
      </c>
      <c r="I736" s="20" t="s">
        <v>2516</v>
      </c>
      <c r="J736" s="20" t="s">
        <v>2517</v>
      </c>
      <c r="K736" s="21" t="s">
        <v>2518</v>
      </c>
      <c r="L736" s="20" t="s">
        <v>58</v>
      </c>
      <c r="M736" t="str">
        <f>TEXT(A736,"dddd")</f>
        <v>Friday</v>
      </c>
      <c r="N736" s="35">
        <f>DATE(Table4[[#This Row],[year]],Table4[[#This Row],[month2]],Table4[[#This Row],[day]])</f>
        <v>46094</v>
      </c>
    </row>
    <row r="737" spans="1:14" ht="16" x14ac:dyDescent="0.35">
      <c r="A737" t="str">
        <f t="shared" si="22"/>
        <v>13</v>
      </c>
      <c r="B737">
        <f>_xlfn.SWITCH(Table4[[#This Row],[month]],"jan",1,"feb",2,"mar",3,"apr",4,"may",5,"jun",6,"jul",7,"aug",8,"sep",9,"oct",10,"nov",11,"dec",12,"no month")</f>
        <v>3</v>
      </c>
      <c r="C737" s="12" t="str">
        <f>LEFT('All Transactions'!$E737,3)</f>
        <v>Mar</v>
      </c>
      <c r="D737" s="12" t="str">
        <f t="shared" si="23"/>
        <v>2026</v>
      </c>
      <c r="E737" s="22" t="s">
        <v>2515</v>
      </c>
      <c r="F737" s="23" t="s">
        <v>2321</v>
      </c>
      <c r="G737" s="27" t="s">
        <v>54</v>
      </c>
      <c r="H737" s="24">
        <v>50</v>
      </c>
      <c r="I737" s="25" t="s">
        <v>2519</v>
      </c>
      <c r="J737" s="25" t="s">
        <v>2520</v>
      </c>
      <c r="K737" s="26" t="s">
        <v>2521</v>
      </c>
      <c r="L737" s="25" t="s">
        <v>58</v>
      </c>
      <c r="M737" t="str">
        <f>TEXT(A737,"dddd")</f>
        <v>Friday</v>
      </c>
      <c r="N737" s="35">
        <f>DATE(Table4[[#This Row],[year]],Table4[[#This Row],[month2]],Table4[[#This Row],[day]])</f>
        <v>46094</v>
      </c>
    </row>
    <row r="738" spans="1:14" ht="16" x14ac:dyDescent="0.35">
      <c r="A738" t="str">
        <f t="shared" si="22"/>
        <v>13</v>
      </c>
      <c r="B738">
        <f>_xlfn.SWITCH(Table4[[#This Row],[month]],"jan",1,"feb",2,"mar",3,"apr",4,"may",5,"jun",6,"jul",7,"aug",8,"sep",9,"oct",10,"nov",11,"dec",12,"no month")</f>
        <v>3</v>
      </c>
      <c r="C738" s="12" t="str">
        <f>LEFT('All Transactions'!$E738,3)</f>
        <v>Mar</v>
      </c>
      <c r="D738" s="12" t="str">
        <f t="shared" si="23"/>
        <v>2026</v>
      </c>
      <c r="E738" s="16" t="s">
        <v>2515</v>
      </c>
      <c r="F738" s="17" t="s">
        <v>1421</v>
      </c>
      <c r="G738" s="18" t="s">
        <v>28</v>
      </c>
      <c r="H738" s="19">
        <v>90</v>
      </c>
      <c r="I738" s="20" t="s">
        <v>2522</v>
      </c>
      <c r="J738" s="20" t="s">
        <v>2523</v>
      </c>
      <c r="K738" s="21" t="s">
        <v>2524</v>
      </c>
      <c r="L738" s="20" t="s">
        <v>32</v>
      </c>
      <c r="M738" t="str">
        <f>TEXT(A738,"dddd")</f>
        <v>Friday</v>
      </c>
      <c r="N738" s="35">
        <f>DATE(Table4[[#This Row],[year]],Table4[[#This Row],[month2]],Table4[[#This Row],[day]])</f>
        <v>46094</v>
      </c>
    </row>
    <row r="739" spans="1:14" ht="16" x14ac:dyDescent="0.35">
      <c r="A739" t="str">
        <f t="shared" si="22"/>
        <v>13</v>
      </c>
      <c r="B739">
        <f>_xlfn.SWITCH(Table4[[#This Row],[month]],"jan",1,"feb",2,"mar",3,"apr",4,"may",5,"jun",6,"jul",7,"aug",8,"sep",9,"oct",10,"nov",11,"dec",12,"no month")</f>
        <v>3</v>
      </c>
      <c r="C739" s="12" t="str">
        <f>LEFT('All Transactions'!$E739,3)</f>
        <v>Mar</v>
      </c>
      <c r="D739" s="12" t="str">
        <f t="shared" si="23"/>
        <v>2026</v>
      </c>
      <c r="E739" s="22" t="s">
        <v>2515</v>
      </c>
      <c r="F739" s="23" t="s">
        <v>2525</v>
      </c>
      <c r="G739" s="27" t="s">
        <v>54</v>
      </c>
      <c r="H739" s="24">
        <v>93</v>
      </c>
      <c r="I739" s="25" t="s">
        <v>2526</v>
      </c>
      <c r="J739" s="25" t="s">
        <v>2527</v>
      </c>
      <c r="K739" s="26" t="s">
        <v>2528</v>
      </c>
      <c r="L739" s="25" t="s">
        <v>58</v>
      </c>
      <c r="M739" t="str">
        <f>TEXT(A739,"dddd")</f>
        <v>Friday</v>
      </c>
      <c r="N739" s="35">
        <f>DATE(Table4[[#This Row],[year]],Table4[[#This Row],[month2]],Table4[[#This Row],[day]])</f>
        <v>46094</v>
      </c>
    </row>
    <row r="740" spans="1:14" ht="16" x14ac:dyDescent="0.35">
      <c r="A740" t="str">
        <f t="shared" si="22"/>
        <v>13</v>
      </c>
      <c r="B740">
        <f>_xlfn.SWITCH(Table4[[#This Row],[month]],"jan",1,"feb",2,"mar",3,"apr",4,"may",5,"jun",6,"jul",7,"aug",8,"sep",9,"oct",10,"nov",11,"dec",12,"no month")</f>
        <v>3</v>
      </c>
      <c r="C740" s="12" t="str">
        <f>LEFT('All Transactions'!$E740,3)</f>
        <v>Mar</v>
      </c>
      <c r="D740" s="12" t="str">
        <f t="shared" si="23"/>
        <v>2026</v>
      </c>
      <c r="E740" s="16" t="s">
        <v>2515</v>
      </c>
      <c r="F740" s="17" t="s">
        <v>669</v>
      </c>
      <c r="G740" s="27" t="s">
        <v>54</v>
      </c>
      <c r="H740" s="19">
        <v>41</v>
      </c>
      <c r="I740" s="20" t="s">
        <v>2529</v>
      </c>
      <c r="J740" s="20" t="s">
        <v>2530</v>
      </c>
      <c r="K740" s="21" t="s">
        <v>2531</v>
      </c>
      <c r="L740" s="20" t="s">
        <v>58</v>
      </c>
      <c r="M740" t="str">
        <f>TEXT(A740,"dddd")</f>
        <v>Friday</v>
      </c>
      <c r="N740" s="35">
        <f>DATE(Table4[[#This Row],[year]],Table4[[#This Row],[month2]],Table4[[#This Row],[day]])</f>
        <v>46094</v>
      </c>
    </row>
    <row r="741" spans="1:14" ht="16" x14ac:dyDescent="0.35">
      <c r="A741" t="str">
        <f t="shared" si="22"/>
        <v>13</v>
      </c>
      <c r="B741">
        <f>_xlfn.SWITCH(Table4[[#This Row],[month]],"jan",1,"feb",2,"mar",3,"apr",4,"may",5,"jun",6,"jul",7,"aug",8,"sep",9,"oct",10,"nov",11,"dec",12,"no month")</f>
        <v>3</v>
      </c>
      <c r="C741" s="12" t="str">
        <f>LEFT('All Transactions'!$E741,3)</f>
        <v>Mar</v>
      </c>
      <c r="D741" s="12" t="str">
        <f t="shared" si="23"/>
        <v>2026</v>
      </c>
      <c r="E741" s="22" t="s">
        <v>2515</v>
      </c>
      <c r="F741" s="23" t="s">
        <v>2064</v>
      </c>
      <c r="G741" s="27" t="s">
        <v>54</v>
      </c>
      <c r="H741" s="24">
        <v>135</v>
      </c>
      <c r="I741" s="25" t="s">
        <v>2532</v>
      </c>
      <c r="J741" s="25" t="s">
        <v>2533</v>
      </c>
      <c r="K741" s="26" t="s">
        <v>2534</v>
      </c>
      <c r="L741" s="25" t="s">
        <v>58</v>
      </c>
      <c r="M741" t="str">
        <f>TEXT(A741,"dddd")</f>
        <v>Friday</v>
      </c>
      <c r="N741" s="35">
        <f>DATE(Table4[[#This Row],[year]],Table4[[#This Row],[month2]],Table4[[#This Row],[day]])</f>
        <v>46094</v>
      </c>
    </row>
    <row r="742" spans="1:14" ht="16" x14ac:dyDescent="0.35">
      <c r="A742" t="str">
        <f t="shared" si="22"/>
        <v>13</v>
      </c>
      <c r="B742">
        <f>_xlfn.SWITCH(Table4[[#This Row],[month]],"jan",1,"feb",2,"mar",3,"apr",4,"may",5,"jun",6,"jul",7,"aug",8,"sep",9,"oct",10,"nov",11,"dec",12,"no month")</f>
        <v>3</v>
      </c>
      <c r="C742" s="12" t="str">
        <f>LEFT('All Transactions'!$E742,3)</f>
        <v>Mar</v>
      </c>
      <c r="D742" s="12" t="str">
        <f t="shared" si="23"/>
        <v>2026</v>
      </c>
      <c r="E742" s="16" t="s">
        <v>2515</v>
      </c>
      <c r="F742" s="17" t="s">
        <v>506</v>
      </c>
      <c r="G742" s="18" t="s">
        <v>28</v>
      </c>
      <c r="H742" s="19">
        <v>25</v>
      </c>
      <c r="I742" s="20" t="s">
        <v>374</v>
      </c>
      <c r="J742" s="20" t="s">
        <v>2535</v>
      </c>
      <c r="K742" s="21" t="s">
        <v>2536</v>
      </c>
      <c r="L742" s="20" t="s">
        <v>32</v>
      </c>
      <c r="M742" t="str">
        <f>TEXT(A742,"dddd")</f>
        <v>Friday</v>
      </c>
      <c r="N742" s="35">
        <f>DATE(Table4[[#This Row],[year]],Table4[[#This Row],[month2]],Table4[[#This Row],[day]])</f>
        <v>46094</v>
      </c>
    </row>
    <row r="743" spans="1:14" ht="16" x14ac:dyDescent="0.35">
      <c r="A743" t="str">
        <f t="shared" si="22"/>
        <v>13</v>
      </c>
      <c r="B743">
        <f>_xlfn.SWITCH(Table4[[#This Row],[month]],"jan",1,"feb",2,"mar",3,"apr",4,"may",5,"jun",6,"jul",7,"aug",8,"sep",9,"oct",10,"nov",11,"dec",12,"no month")</f>
        <v>3</v>
      </c>
      <c r="C743" s="12" t="str">
        <f>LEFT('All Transactions'!$E743,3)</f>
        <v>Mar</v>
      </c>
      <c r="D743" s="12" t="str">
        <f t="shared" si="23"/>
        <v>2026</v>
      </c>
      <c r="E743" s="22" t="s">
        <v>2515</v>
      </c>
      <c r="F743" s="23" t="s">
        <v>2537</v>
      </c>
      <c r="G743" s="18" t="s">
        <v>28</v>
      </c>
      <c r="H743" s="24">
        <v>40</v>
      </c>
      <c r="I743" s="25" t="s">
        <v>37</v>
      </c>
      <c r="J743" s="25" t="s">
        <v>2538</v>
      </c>
      <c r="K743" s="26" t="s">
        <v>2539</v>
      </c>
      <c r="L743" s="25" t="s">
        <v>32</v>
      </c>
      <c r="M743" t="str">
        <f>TEXT(A743,"dddd")</f>
        <v>Friday</v>
      </c>
      <c r="N743" s="35">
        <f>DATE(Table4[[#This Row],[year]],Table4[[#This Row],[month2]],Table4[[#This Row],[day]])</f>
        <v>46094</v>
      </c>
    </row>
    <row r="744" spans="1:14" ht="16" x14ac:dyDescent="0.35">
      <c r="A744" t="str">
        <f t="shared" si="22"/>
        <v>13</v>
      </c>
      <c r="B744">
        <f>_xlfn.SWITCH(Table4[[#This Row],[month]],"jan",1,"feb",2,"mar",3,"apr",4,"may",5,"jun",6,"jul",7,"aug",8,"sep",9,"oct",10,"nov",11,"dec",12,"no month")</f>
        <v>3</v>
      </c>
      <c r="C744" s="12" t="str">
        <f>LEFT('All Transactions'!$E744,3)</f>
        <v>Mar</v>
      </c>
      <c r="D744" s="12" t="str">
        <f t="shared" si="23"/>
        <v>2026</v>
      </c>
      <c r="E744" s="16" t="s">
        <v>2515</v>
      </c>
      <c r="F744" s="17" t="s">
        <v>2540</v>
      </c>
      <c r="G744" s="18" t="s">
        <v>28</v>
      </c>
      <c r="H744" s="19">
        <v>163</v>
      </c>
      <c r="I744" s="20" t="s">
        <v>2541</v>
      </c>
      <c r="J744" s="20" t="s">
        <v>2542</v>
      </c>
      <c r="K744" s="21" t="s">
        <v>2543</v>
      </c>
      <c r="L744" s="20" t="s">
        <v>32</v>
      </c>
      <c r="M744" t="str">
        <f>TEXT(A744,"dddd")</f>
        <v>Friday</v>
      </c>
      <c r="N744" s="35">
        <f>DATE(Table4[[#This Row],[year]],Table4[[#This Row],[month2]],Table4[[#This Row],[day]])</f>
        <v>46094</v>
      </c>
    </row>
    <row r="745" spans="1:14" ht="16" x14ac:dyDescent="0.35">
      <c r="A745" t="str">
        <f t="shared" si="22"/>
        <v>12</v>
      </c>
      <c r="B745">
        <f>_xlfn.SWITCH(Table4[[#This Row],[month]],"jan",1,"feb",2,"mar",3,"apr",4,"may",5,"jun",6,"jul",7,"aug",8,"sep",9,"oct",10,"nov",11,"dec",12,"no month")</f>
        <v>3</v>
      </c>
      <c r="C745" s="12" t="str">
        <f>LEFT('All Transactions'!$E745,3)</f>
        <v>Mar</v>
      </c>
      <c r="D745" s="12" t="str">
        <f t="shared" si="23"/>
        <v>2026</v>
      </c>
      <c r="E745" s="22" t="s">
        <v>2544</v>
      </c>
      <c r="F745" s="23" t="s">
        <v>2545</v>
      </c>
      <c r="G745" s="18" t="s">
        <v>28</v>
      </c>
      <c r="H745" s="24">
        <v>150</v>
      </c>
      <c r="I745" s="25" t="s">
        <v>765</v>
      </c>
      <c r="J745" s="25" t="s">
        <v>2546</v>
      </c>
      <c r="K745" s="26" t="s">
        <v>2547</v>
      </c>
      <c r="L745" s="25" t="s">
        <v>32</v>
      </c>
      <c r="M745" t="str">
        <f>TEXT(A745,"dddd")</f>
        <v>Thursday</v>
      </c>
      <c r="N745" s="35">
        <f>DATE(Table4[[#This Row],[year]],Table4[[#This Row],[month2]],Table4[[#This Row],[day]])</f>
        <v>46093</v>
      </c>
    </row>
    <row r="746" spans="1:14" ht="16" x14ac:dyDescent="0.35">
      <c r="A746" t="str">
        <f t="shared" si="22"/>
        <v>12</v>
      </c>
      <c r="B746">
        <f>_xlfn.SWITCH(Table4[[#This Row],[month]],"jan",1,"feb",2,"mar",3,"apr",4,"may",5,"jun",6,"jul",7,"aug",8,"sep",9,"oct",10,"nov",11,"dec",12,"no month")</f>
        <v>3</v>
      </c>
      <c r="C746" s="12" t="str">
        <f>LEFT('All Transactions'!$E746,3)</f>
        <v>Mar</v>
      </c>
      <c r="D746" s="12" t="str">
        <f t="shared" si="23"/>
        <v>2026</v>
      </c>
      <c r="E746" s="16" t="s">
        <v>2544</v>
      </c>
      <c r="F746" s="17" t="s">
        <v>2548</v>
      </c>
      <c r="G746" s="18" t="s">
        <v>28</v>
      </c>
      <c r="H746" s="19">
        <v>19</v>
      </c>
      <c r="I746" s="20" t="s">
        <v>2549</v>
      </c>
      <c r="J746" s="20" t="s">
        <v>2550</v>
      </c>
      <c r="K746" s="21" t="s">
        <v>2551</v>
      </c>
      <c r="L746" s="20" t="s">
        <v>32</v>
      </c>
      <c r="M746" t="str">
        <f>TEXT(A746,"dddd")</f>
        <v>Thursday</v>
      </c>
      <c r="N746" s="35">
        <f>DATE(Table4[[#This Row],[year]],Table4[[#This Row],[month2]],Table4[[#This Row],[day]])</f>
        <v>46093</v>
      </c>
    </row>
    <row r="747" spans="1:14" ht="16" x14ac:dyDescent="0.35">
      <c r="A747" t="str">
        <f t="shared" si="22"/>
        <v>12</v>
      </c>
      <c r="B747">
        <f>_xlfn.SWITCH(Table4[[#This Row],[month]],"jan",1,"feb",2,"mar",3,"apr",4,"may",5,"jun",6,"jul",7,"aug",8,"sep",9,"oct",10,"nov",11,"dec",12,"no month")</f>
        <v>3</v>
      </c>
      <c r="C747" s="12" t="str">
        <f>LEFT('All Transactions'!$E747,3)</f>
        <v>Mar</v>
      </c>
      <c r="D747" s="12" t="str">
        <f t="shared" si="23"/>
        <v>2026</v>
      </c>
      <c r="E747" s="22" t="s">
        <v>2544</v>
      </c>
      <c r="F747" s="23" t="s">
        <v>486</v>
      </c>
      <c r="G747" s="27" t="s">
        <v>54</v>
      </c>
      <c r="H747" s="24">
        <v>60</v>
      </c>
      <c r="I747" s="25" t="s">
        <v>947</v>
      </c>
      <c r="J747" s="25" t="s">
        <v>2552</v>
      </c>
      <c r="K747" s="26" t="s">
        <v>2553</v>
      </c>
      <c r="L747" s="25" t="s">
        <v>58</v>
      </c>
      <c r="M747" t="str">
        <f>TEXT(A747,"dddd")</f>
        <v>Thursday</v>
      </c>
      <c r="N747" s="35">
        <f>DATE(Table4[[#This Row],[year]],Table4[[#This Row],[month2]],Table4[[#This Row],[day]])</f>
        <v>46093</v>
      </c>
    </row>
    <row r="748" spans="1:14" ht="16" x14ac:dyDescent="0.35">
      <c r="A748" t="str">
        <f t="shared" si="22"/>
        <v>12</v>
      </c>
      <c r="B748">
        <f>_xlfn.SWITCH(Table4[[#This Row],[month]],"jan",1,"feb",2,"mar",3,"apr",4,"may",5,"jun",6,"jul",7,"aug",8,"sep",9,"oct",10,"nov",11,"dec",12,"no month")</f>
        <v>3</v>
      </c>
      <c r="C748" s="12" t="str">
        <f>LEFT('All Transactions'!$E748,3)</f>
        <v>Mar</v>
      </c>
      <c r="D748" s="12" t="str">
        <f t="shared" si="23"/>
        <v>2026</v>
      </c>
      <c r="E748" s="16" t="s">
        <v>2544</v>
      </c>
      <c r="F748" s="17" t="s">
        <v>2554</v>
      </c>
      <c r="G748" s="18" t="s">
        <v>28</v>
      </c>
      <c r="H748" s="19">
        <v>3661.8</v>
      </c>
      <c r="I748" s="20" t="s">
        <v>2555</v>
      </c>
      <c r="J748" s="20"/>
      <c r="K748" s="21" t="s">
        <v>2556</v>
      </c>
      <c r="L748" s="20" t="s">
        <v>32</v>
      </c>
      <c r="M748" t="str">
        <f>TEXT(A748,"dddd")</f>
        <v>Thursday</v>
      </c>
      <c r="N748" s="35">
        <f>DATE(Table4[[#This Row],[year]],Table4[[#This Row],[month2]],Table4[[#This Row],[day]])</f>
        <v>46093</v>
      </c>
    </row>
    <row r="749" spans="1:14" ht="16" x14ac:dyDescent="0.35">
      <c r="A749" t="str">
        <f t="shared" si="22"/>
        <v>12</v>
      </c>
      <c r="B749">
        <f>_xlfn.SWITCH(Table4[[#This Row],[month]],"jan",1,"feb",2,"mar",3,"apr",4,"may",5,"jun",6,"jul",7,"aug",8,"sep",9,"oct",10,"nov",11,"dec",12,"no month")</f>
        <v>3</v>
      </c>
      <c r="C749" s="12" t="str">
        <f>LEFT('All Transactions'!$E749,3)</f>
        <v>Mar</v>
      </c>
      <c r="D749" s="12" t="str">
        <f t="shared" si="23"/>
        <v>2026</v>
      </c>
      <c r="E749" s="22" t="s">
        <v>2544</v>
      </c>
      <c r="F749" s="23" t="s">
        <v>1774</v>
      </c>
      <c r="G749" s="27" t="s">
        <v>54</v>
      </c>
      <c r="H749" s="24">
        <v>4000</v>
      </c>
      <c r="I749" s="25" t="s">
        <v>1090</v>
      </c>
      <c r="J749" s="25" t="s">
        <v>2557</v>
      </c>
      <c r="K749" s="26" t="s">
        <v>2558</v>
      </c>
      <c r="L749" s="25" t="s">
        <v>58</v>
      </c>
      <c r="M749" t="str">
        <f>TEXT(A749,"dddd")</f>
        <v>Thursday</v>
      </c>
      <c r="N749" s="35">
        <f>DATE(Table4[[#This Row],[year]],Table4[[#This Row],[month2]],Table4[[#This Row],[day]])</f>
        <v>46093</v>
      </c>
    </row>
    <row r="750" spans="1:14" ht="16" x14ac:dyDescent="0.35">
      <c r="A750" t="str">
        <f t="shared" si="22"/>
        <v>11</v>
      </c>
      <c r="B750">
        <f>_xlfn.SWITCH(Table4[[#This Row],[month]],"jan",1,"feb",2,"mar",3,"apr",4,"may",5,"jun",6,"jul",7,"aug",8,"sep",9,"oct",10,"nov",11,"dec",12,"no month")</f>
        <v>3</v>
      </c>
      <c r="C750" s="12" t="str">
        <f>LEFT('All Transactions'!$E750,3)</f>
        <v>Mar</v>
      </c>
      <c r="D750" s="12" t="str">
        <f t="shared" si="23"/>
        <v>2026</v>
      </c>
      <c r="E750" s="16" t="s">
        <v>2559</v>
      </c>
      <c r="F750" s="17" t="s">
        <v>764</v>
      </c>
      <c r="G750" s="18" t="s">
        <v>28</v>
      </c>
      <c r="H750" s="19">
        <v>10</v>
      </c>
      <c r="I750" s="20" t="s">
        <v>201</v>
      </c>
      <c r="J750" s="20" t="s">
        <v>2560</v>
      </c>
      <c r="K750" s="21" t="s">
        <v>2561</v>
      </c>
      <c r="L750" s="20" t="s">
        <v>32</v>
      </c>
      <c r="M750" t="str">
        <f>TEXT(A750,"dddd")</f>
        <v>Wednesday</v>
      </c>
      <c r="N750" s="35">
        <f>DATE(Table4[[#This Row],[year]],Table4[[#This Row],[month2]],Table4[[#This Row],[day]])</f>
        <v>46092</v>
      </c>
    </row>
    <row r="751" spans="1:14" ht="16" x14ac:dyDescent="0.35">
      <c r="A751" t="str">
        <f t="shared" si="22"/>
        <v>11</v>
      </c>
      <c r="B751">
        <f>_xlfn.SWITCH(Table4[[#This Row],[month]],"jan",1,"feb",2,"mar",3,"apr",4,"may",5,"jun",6,"jul",7,"aug",8,"sep",9,"oct",10,"nov",11,"dec",12,"no month")</f>
        <v>3</v>
      </c>
      <c r="C751" s="12" t="str">
        <f>LEFT('All Transactions'!$E751,3)</f>
        <v>Mar</v>
      </c>
      <c r="D751" s="12" t="str">
        <f t="shared" si="23"/>
        <v>2026</v>
      </c>
      <c r="E751" s="22" t="s">
        <v>2559</v>
      </c>
      <c r="F751" s="23" t="s">
        <v>2036</v>
      </c>
      <c r="G751" s="18" t="s">
        <v>28</v>
      </c>
      <c r="H751" s="24">
        <v>30</v>
      </c>
      <c r="I751" s="25" t="s">
        <v>1839</v>
      </c>
      <c r="J751" s="25" t="s">
        <v>2562</v>
      </c>
      <c r="K751" s="26" t="s">
        <v>2563</v>
      </c>
      <c r="L751" s="25" t="s">
        <v>32</v>
      </c>
      <c r="M751" t="str">
        <f>TEXT(A751,"dddd")</f>
        <v>Wednesday</v>
      </c>
      <c r="N751" s="35">
        <f>DATE(Table4[[#This Row],[year]],Table4[[#This Row],[month2]],Table4[[#This Row],[day]])</f>
        <v>46092</v>
      </c>
    </row>
    <row r="752" spans="1:14" ht="16" x14ac:dyDescent="0.35">
      <c r="A752" t="str">
        <f t="shared" si="22"/>
        <v>11</v>
      </c>
      <c r="B752">
        <f>_xlfn.SWITCH(Table4[[#This Row],[month]],"jan",1,"feb",2,"mar",3,"apr",4,"may",5,"jun",6,"jul",7,"aug",8,"sep",9,"oct",10,"nov",11,"dec",12,"no month")</f>
        <v>3</v>
      </c>
      <c r="C752" s="12" t="str">
        <f>LEFT('All Transactions'!$E752,3)</f>
        <v>Mar</v>
      </c>
      <c r="D752" s="12" t="str">
        <f t="shared" si="23"/>
        <v>2026</v>
      </c>
      <c r="E752" s="16" t="s">
        <v>2559</v>
      </c>
      <c r="F752" s="17" t="s">
        <v>486</v>
      </c>
      <c r="G752" s="18" t="s">
        <v>28</v>
      </c>
      <c r="H752" s="19">
        <v>60</v>
      </c>
      <c r="I752" s="20" t="s">
        <v>167</v>
      </c>
      <c r="J752" s="20" t="s">
        <v>2564</v>
      </c>
      <c r="K752" s="21" t="s">
        <v>2565</v>
      </c>
      <c r="L752" s="20" t="s">
        <v>32</v>
      </c>
      <c r="M752" t="str">
        <f>TEXT(A752,"dddd")</f>
        <v>Wednesday</v>
      </c>
      <c r="N752" s="35">
        <f>DATE(Table4[[#This Row],[year]],Table4[[#This Row],[month2]],Table4[[#This Row],[day]])</f>
        <v>46092</v>
      </c>
    </row>
    <row r="753" spans="1:14" ht="16" x14ac:dyDescent="0.35">
      <c r="A753" t="str">
        <f t="shared" si="22"/>
        <v>10</v>
      </c>
      <c r="B753">
        <f>_xlfn.SWITCH(Table4[[#This Row],[month]],"jan",1,"feb",2,"mar",3,"apr",4,"may",5,"jun",6,"jul",7,"aug",8,"sep",9,"oct",10,"nov",11,"dec",12,"no month")</f>
        <v>3</v>
      </c>
      <c r="C753" s="12" t="str">
        <f>LEFT('All Transactions'!$E753,3)</f>
        <v>Mar</v>
      </c>
      <c r="D753" s="12" t="str">
        <f t="shared" si="23"/>
        <v>2026</v>
      </c>
      <c r="E753" s="22" t="s">
        <v>2566</v>
      </c>
      <c r="F753" s="23" t="s">
        <v>1774</v>
      </c>
      <c r="G753" s="18" t="s">
        <v>28</v>
      </c>
      <c r="H753" s="24">
        <v>40</v>
      </c>
      <c r="I753" s="25" t="s">
        <v>374</v>
      </c>
      <c r="J753" s="25" t="s">
        <v>2567</v>
      </c>
      <c r="K753" s="26" t="s">
        <v>2568</v>
      </c>
      <c r="L753" s="25" t="s">
        <v>32</v>
      </c>
      <c r="M753" t="str">
        <f>TEXT(A753,"dddd")</f>
        <v>Tuesday</v>
      </c>
      <c r="N753" s="35">
        <f>DATE(Table4[[#This Row],[year]],Table4[[#This Row],[month2]],Table4[[#This Row],[day]])</f>
        <v>46091</v>
      </c>
    </row>
    <row r="754" spans="1:14" ht="16" x14ac:dyDescent="0.35">
      <c r="A754" t="str">
        <f t="shared" si="22"/>
        <v>09</v>
      </c>
      <c r="B754">
        <f>_xlfn.SWITCH(Table4[[#This Row],[month]],"jan",1,"feb",2,"mar",3,"apr",4,"may",5,"jun",6,"jul",7,"aug",8,"sep",9,"oct",10,"nov",11,"dec",12,"no month")</f>
        <v>3</v>
      </c>
      <c r="C754" s="12" t="str">
        <f>LEFT('All Transactions'!$E754,3)</f>
        <v>Mar</v>
      </c>
      <c r="D754" s="12" t="str">
        <f t="shared" si="23"/>
        <v>2026</v>
      </c>
      <c r="E754" s="16" t="s">
        <v>2569</v>
      </c>
      <c r="F754" s="17" t="s">
        <v>2570</v>
      </c>
      <c r="G754" s="18" t="s">
        <v>28</v>
      </c>
      <c r="H754" s="19">
        <v>40</v>
      </c>
      <c r="I754" s="20" t="s">
        <v>2033</v>
      </c>
      <c r="J754" s="20" t="s">
        <v>2571</v>
      </c>
      <c r="K754" s="21" t="s">
        <v>2572</v>
      </c>
      <c r="L754" s="20" t="s">
        <v>32</v>
      </c>
      <c r="M754" t="str">
        <f>TEXT(A754,"dddd")</f>
        <v>Monday</v>
      </c>
      <c r="N754" s="35">
        <f>DATE(Table4[[#This Row],[year]],Table4[[#This Row],[month2]],Table4[[#This Row],[day]])</f>
        <v>46090</v>
      </c>
    </row>
    <row r="755" spans="1:14" ht="16" x14ac:dyDescent="0.35">
      <c r="A755" t="str">
        <f t="shared" si="22"/>
        <v>09</v>
      </c>
      <c r="B755">
        <f>_xlfn.SWITCH(Table4[[#This Row],[month]],"jan",1,"feb",2,"mar",3,"apr",4,"may",5,"jun",6,"jul",7,"aug",8,"sep",9,"oct",10,"nov",11,"dec",12,"no month")</f>
        <v>3</v>
      </c>
      <c r="C755" s="12" t="str">
        <f>LEFT('All Transactions'!$E755,3)</f>
        <v>Mar</v>
      </c>
      <c r="D755" s="12" t="str">
        <f t="shared" si="23"/>
        <v>2026</v>
      </c>
      <c r="E755" s="22" t="s">
        <v>2569</v>
      </c>
      <c r="F755" s="23" t="s">
        <v>2100</v>
      </c>
      <c r="G755" s="18" t="s">
        <v>28</v>
      </c>
      <c r="H755" s="24">
        <v>147</v>
      </c>
      <c r="I755" s="25" t="s">
        <v>2573</v>
      </c>
      <c r="J755" s="25" t="s">
        <v>2574</v>
      </c>
      <c r="K755" s="26" t="s">
        <v>2575</v>
      </c>
      <c r="L755" s="25" t="s">
        <v>32</v>
      </c>
      <c r="M755" t="str">
        <f>TEXT(A755,"dddd")</f>
        <v>Monday</v>
      </c>
      <c r="N755" s="35">
        <f>DATE(Table4[[#This Row],[year]],Table4[[#This Row],[month2]],Table4[[#This Row],[day]])</f>
        <v>46090</v>
      </c>
    </row>
    <row r="756" spans="1:14" ht="16" x14ac:dyDescent="0.35">
      <c r="A756" t="str">
        <f t="shared" si="22"/>
        <v>09</v>
      </c>
      <c r="B756">
        <f>_xlfn.SWITCH(Table4[[#This Row],[month]],"jan",1,"feb",2,"mar",3,"apr",4,"may",5,"jun",6,"jul",7,"aug",8,"sep",9,"oct",10,"nov",11,"dec",12,"no month")</f>
        <v>3</v>
      </c>
      <c r="C756" s="12" t="str">
        <f>LEFT('All Transactions'!$E756,3)</f>
        <v>Mar</v>
      </c>
      <c r="D756" s="12" t="str">
        <f t="shared" si="23"/>
        <v>2026</v>
      </c>
      <c r="E756" s="16" t="s">
        <v>2569</v>
      </c>
      <c r="F756" s="17" t="s">
        <v>2576</v>
      </c>
      <c r="G756" s="27" t="s">
        <v>54</v>
      </c>
      <c r="H756" s="19">
        <v>250</v>
      </c>
      <c r="I756" s="20" t="s">
        <v>1586</v>
      </c>
      <c r="J756" s="20" t="s">
        <v>2577</v>
      </c>
      <c r="K756" s="21" t="s">
        <v>2578</v>
      </c>
      <c r="L756" s="20" t="s">
        <v>58</v>
      </c>
      <c r="M756" t="str">
        <f>TEXT(A756,"dddd")</f>
        <v>Monday</v>
      </c>
      <c r="N756" s="35">
        <f>DATE(Table4[[#This Row],[year]],Table4[[#This Row],[month2]],Table4[[#This Row],[day]])</f>
        <v>46090</v>
      </c>
    </row>
    <row r="757" spans="1:14" ht="16" x14ac:dyDescent="0.35">
      <c r="A757" t="str">
        <f t="shared" si="22"/>
        <v>09</v>
      </c>
      <c r="B757">
        <f>_xlfn.SWITCH(Table4[[#This Row],[month]],"jan",1,"feb",2,"mar",3,"apr",4,"may",5,"jun",6,"jul",7,"aug",8,"sep",9,"oct",10,"nov",11,"dec",12,"no month")</f>
        <v>3</v>
      </c>
      <c r="C757" s="12" t="str">
        <f>LEFT('All Transactions'!$E757,3)</f>
        <v>Mar</v>
      </c>
      <c r="D757" s="12" t="str">
        <f t="shared" si="23"/>
        <v>2026</v>
      </c>
      <c r="E757" s="22" t="s">
        <v>2569</v>
      </c>
      <c r="F757" s="23" t="s">
        <v>2579</v>
      </c>
      <c r="G757" s="18" t="s">
        <v>28</v>
      </c>
      <c r="H757" s="24">
        <v>300</v>
      </c>
      <c r="I757" s="25" t="s">
        <v>2580</v>
      </c>
      <c r="J757" s="25" t="s">
        <v>2581</v>
      </c>
      <c r="K757" s="26" t="s">
        <v>2582</v>
      </c>
      <c r="L757" s="25" t="s">
        <v>32</v>
      </c>
      <c r="M757" t="str">
        <f>TEXT(A757,"dddd")</f>
        <v>Monday</v>
      </c>
      <c r="N757" s="35">
        <f>DATE(Table4[[#This Row],[year]],Table4[[#This Row],[month2]],Table4[[#This Row],[day]])</f>
        <v>46090</v>
      </c>
    </row>
    <row r="758" spans="1:14" ht="16" x14ac:dyDescent="0.35">
      <c r="A758" t="str">
        <f t="shared" si="22"/>
        <v>09</v>
      </c>
      <c r="B758">
        <f>_xlfn.SWITCH(Table4[[#This Row],[month]],"jan",1,"feb",2,"mar",3,"apr",4,"may",5,"jun",6,"jul",7,"aug",8,"sep",9,"oct",10,"nov",11,"dec",12,"no month")</f>
        <v>3</v>
      </c>
      <c r="C758" s="12" t="str">
        <f>LEFT('All Transactions'!$E758,3)</f>
        <v>Mar</v>
      </c>
      <c r="D758" s="12" t="str">
        <f t="shared" si="23"/>
        <v>2026</v>
      </c>
      <c r="E758" s="16" t="s">
        <v>2569</v>
      </c>
      <c r="F758" s="17" t="s">
        <v>2583</v>
      </c>
      <c r="G758" s="27" t="s">
        <v>54</v>
      </c>
      <c r="H758" s="19">
        <v>800</v>
      </c>
      <c r="I758" s="20" t="s">
        <v>947</v>
      </c>
      <c r="J758" s="20" t="s">
        <v>2584</v>
      </c>
      <c r="K758" s="21" t="s">
        <v>2585</v>
      </c>
      <c r="L758" s="20" t="s">
        <v>58</v>
      </c>
      <c r="M758" t="str">
        <f>TEXT(A758,"dddd")</f>
        <v>Monday</v>
      </c>
      <c r="N758" s="35">
        <f>DATE(Table4[[#This Row],[year]],Table4[[#This Row],[month2]],Table4[[#This Row],[day]])</f>
        <v>46090</v>
      </c>
    </row>
    <row r="759" spans="1:14" ht="16" x14ac:dyDescent="0.35">
      <c r="A759" t="str">
        <f t="shared" si="22"/>
        <v>09</v>
      </c>
      <c r="B759">
        <f>_xlfn.SWITCH(Table4[[#This Row],[month]],"jan",1,"feb",2,"mar",3,"apr",4,"may",5,"jun",6,"jul",7,"aug",8,"sep",9,"oct",10,"nov",11,"dec",12,"no month")</f>
        <v>3</v>
      </c>
      <c r="C759" s="12" t="str">
        <f>LEFT('All Transactions'!$E759,3)</f>
        <v>Mar</v>
      </c>
      <c r="D759" s="12" t="str">
        <f t="shared" si="23"/>
        <v>2026</v>
      </c>
      <c r="E759" s="22" t="s">
        <v>2569</v>
      </c>
      <c r="F759" s="23" t="s">
        <v>2586</v>
      </c>
      <c r="G759" s="18" t="s">
        <v>28</v>
      </c>
      <c r="H759" s="24">
        <v>70</v>
      </c>
      <c r="I759" s="25" t="s">
        <v>384</v>
      </c>
      <c r="J759" s="25" t="s">
        <v>2587</v>
      </c>
      <c r="K759" s="26" t="s">
        <v>2588</v>
      </c>
      <c r="L759" s="25" t="s">
        <v>32</v>
      </c>
      <c r="M759" t="str">
        <f>TEXT(A759,"dddd")</f>
        <v>Monday</v>
      </c>
      <c r="N759" s="35">
        <f>DATE(Table4[[#This Row],[year]],Table4[[#This Row],[month2]],Table4[[#This Row],[day]])</f>
        <v>46090</v>
      </c>
    </row>
    <row r="760" spans="1:14" ht="16" x14ac:dyDescent="0.35">
      <c r="A760" t="str">
        <f t="shared" si="22"/>
        <v>08</v>
      </c>
      <c r="B760">
        <f>_xlfn.SWITCH(Table4[[#This Row],[month]],"jan",1,"feb",2,"mar",3,"apr",4,"may",5,"jun",6,"jul",7,"aug",8,"sep",9,"oct",10,"nov",11,"dec",12,"no month")</f>
        <v>3</v>
      </c>
      <c r="C760" s="12" t="str">
        <f>LEFT('All Transactions'!$E760,3)</f>
        <v>Mar</v>
      </c>
      <c r="D760" s="12" t="str">
        <f t="shared" si="23"/>
        <v>2026</v>
      </c>
      <c r="E760" s="16" t="s">
        <v>2589</v>
      </c>
      <c r="F760" s="17" t="s">
        <v>2165</v>
      </c>
      <c r="G760" s="18" t="s">
        <v>28</v>
      </c>
      <c r="H760" s="19">
        <v>100</v>
      </c>
      <c r="I760" s="20" t="s">
        <v>887</v>
      </c>
      <c r="J760" s="20" t="s">
        <v>2590</v>
      </c>
      <c r="K760" s="21" t="s">
        <v>2591</v>
      </c>
      <c r="L760" s="20" t="s">
        <v>32</v>
      </c>
      <c r="M760" t="str">
        <f>TEXT(A760,"dddd")</f>
        <v>Sunday</v>
      </c>
      <c r="N760" s="35">
        <f>DATE(Table4[[#This Row],[year]],Table4[[#This Row],[month2]],Table4[[#This Row],[day]])</f>
        <v>46089</v>
      </c>
    </row>
    <row r="761" spans="1:14" ht="16" x14ac:dyDescent="0.35">
      <c r="A761" t="str">
        <f t="shared" si="22"/>
        <v>08</v>
      </c>
      <c r="B761">
        <f>_xlfn.SWITCH(Table4[[#This Row],[month]],"jan",1,"feb",2,"mar",3,"apr",4,"may",5,"jun",6,"jul",7,"aug",8,"sep",9,"oct",10,"nov",11,"dec",12,"no month")</f>
        <v>3</v>
      </c>
      <c r="C761" s="12" t="str">
        <f>LEFT('All Transactions'!$E761,3)</f>
        <v>Mar</v>
      </c>
      <c r="D761" s="12" t="str">
        <f t="shared" si="23"/>
        <v>2026</v>
      </c>
      <c r="E761" s="22" t="s">
        <v>2589</v>
      </c>
      <c r="F761" s="23" t="s">
        <v>719</v>
      </c>
      <c r="G761" s="18" t="s">
        <v>28</v>
      </c>
      <c r="H761" s="24">
        <v>80</v>
      </c>
      <c r="I761" s="25" t="s">
        <v>2592</v>
      </c>
      <c r="J761" s="25" t="s">
        <v>2593</v>
      </c>
      <c r="K761" s="26" t="s">
        <v>2594</v>
      </c>
      <c r="L761" s="25" t="s">
        <v>32</v>
      </c>
      <c r="M761" t="str">
        <f>TEXT(A761,"dddd")</f>
        <v>Sunday</v>
      </c>
      <c r="N761" s="35">
        <f>DATE(Table4[[#This Row],[year]],Table4[[#This Row],[month2]],Table4[[#This Row],[day]])</f>
        <v>46089</v>
      </c>
    </row>
    <row r="762" spans="1:14" ht="16" x14ac:dyDescent="0.35">
      <c r="A762" t="str">
        <f t="shared" si="22"/>
        <v>08</v>
      </c>
      <c r="B762">
        <f>_xlfn.SWITCH(Table4[[#This Row],[month]],"jan",1,"feb",2,"mar",3,"apr",4,"may",5,"jun",6,"jul",7,"aug",8,"sep",9,"oct",10,"nov",11,"dec",12,"no month")</f>
        <v>3</v>
      </c>
      <c r="C762" s="12" t="str">
        <f>LEFT('All Transactions'!$E762,3)</f>
        <v>Mar</v>
      </c>
      <c r="D762" s="12" t="str">
        <f t="shared" si="23"/>
        <v>2026</v>
      </c>
      <c r="E762" s="16" t="s">
        <v>2589</v>
      </c>
      <c r="F762" s="17" t="s">
        <v>2595</v>
      </c>
      <c r="G762" s="18" t="s">
        <v>28</v>
      </c>
      <c r="H762" s="19">
        <v>2280</v>
      </c>
      <c r="I762" s="20" t="s">
        <v>784</v>
      </c>
      <c r="J762" s="20" t="s">
        <v>2596</v>
      </c>
      <c r="K762" s="21" t="s">
        <v>2597</v>
      </c>
      <c r="L762" s="20" t="s">
        <v>32</v>
      </c>
      <c r="M762" t="str">
        <f>TEXT(A762,"dddd")</f>
        <v>Sunday</v>
      </c>
      <c r="N762" s="35">
        <f>DATE(Table4[[#This Row],[year]],Table4[[#This Row],[month2]],Table4[[#This Row],[day]])</f>
        <v>46089</v>
      </c>
    </row>
    <row r="763" spans="1:14" ht="16" x14ac:dyDescent="0.35">
      <c r="A763" t="str">
        <f t="shared" si="22"/>
        <v>08</v>
      </c>
      <c r="B763">
        <f>_xlfn.SWITCH(Table4[[#This Row],[month]],"jan",1,"feb",2,"mar",3,"apr",4,"may",5,"jun",6,"jul",7,"aug",8,"sep",9,"oct",10,"nov",11,"dec",12,"no month")</f>
        <v>3</v>
      </c>
      <c r="C763" s="12" t="str">
        <f>LEFT('All Transactions'!$E763,3)</f>
        <v>Mar</v>
      </c>
      <c r="D763" s="12" t="str">
        <f t="shared" si="23"/>
        <v>2026</v>
      </c>
      <c r="E763" s="22" t="s">
        <v>2589</v>
      </c>
      <c r="F763" s="23" t="s">
        <v>2042</v>
      </c>
      <c r="G763" s="18" t="s">
        <v>28</v>
      </c>
      <c r="H763" s="24">
        <v>214</v>
      </c>
      <c r="I763" s="25" t="s">
        <v>2598</v>
      </c>
      <c r="J763" s="25" t="s">
        <v>2599</v>
      </c>
      <c r="K763" s="26" t="s">
        <v>2600</v>
      </c>
      <c r="L763" s="25" t="s">
        <v>32</v>
      </c>
      <c r="M763" t="str">
        <f>TEXT(A763,"dddd")</f>
        <v>Sunday</v>
      </c>
      <c r="N763" s="35">
        <f>DATE(Table4[[#This Row],[year]],Table4[[#This Row],[month2]],Table4[[#This Row],[day]])</f>
        <v>46089</v>
      </c>
    </row>
    <row r="764" spans="1:14" ht="16" x14ac:dyDescent="0.35">
      <c r="A764" t="str">
        <f t="shared" si="22"/>
        <v>08</v>
      </c>
      <c r="B764">
        <f>_xlfn.SWITCH(Table4[[#This Row],[month]],"jan",1,"feb",2,"mar",3,"apr",4,"may",5,"jun",6,"jul",7,"aug",8,"sep",9,"oct",10,"nov",11,"dec",12,"no month")</f>
        <v>3</v>
      </c>
      <c r="C764" s="12" t="str">
        <f>LEFT('All Transactions'!$E764,3)</f>
        <v>Mar</v>
      </c>
      <c r="D764" s="12" t="str">
        <f t="shared" si="23"/>
        <v>2026</v>
      </c>
      <c r="E764" s="16" t="s">
        <v>2589</v>
      </c>
      <c r="F764" s="17" t="s">
        <v>478</v>
      </c>
      <c r="G764" s="27" t="s">
        <v>54</v>
      </c>
      <c r="H764" s="19">
        <v>100</v>
      </c>
      <c r="I764" s="20" t="s">
        <v>156</v>
      </c>
      <c r="J764" s="20" t="s">
        <v>2601</v>
      </c>
      <c r="K764" s="21" t="s">
        <v>2602</v>
      </c>
      <c r="L764" s="20" t="s">
        <v>58</v>
      </c>
      <c r="M764" t="str">
        <f>TEXT(A764,"dddd")</f>
        <v>Sunday</v>
      </c>
      <c r="N764" s="35">
        <f>DATE(Table4[[#This Row],[year]],Table4[[#This Row],[month2]],Table4[[#This Row],[day]])</f>
        <v>46089</v>
      </c>
    </row>
    <row r="765" spans="1:14" ht="16" x14ac:dyDescent="0.35">
      <c r="A765" t="str">
        <f t="shared" si="22"/>
        <v>08</v>
      </c>
      <c r="B765">
        <f>_xlfn.SWITCH(Table4[[#This Row],[month]],"jan",1,"feb",2,"mar",3,"apr",4,"may",5,"jun",6,"jul",7,"aug",8,"sep",9,"oct",10,"nov",11,"dec",12,"no month")</f>
        <v>3</v>
      </c>
      <c r="C765" s="12" t="str">
        <f>LEFT('All Transactions'!$E765,3)</f>
        <v>Mar</v>
      </c>
      <c r="D765" s="12" t="str">
        <f t="shared" si="23"/>
        <v>2026</v>
      </c>
      <c r="E765" s="22" t="s">
        <v>2589</v>
      </c>
      <c r="F765" s="23" t="s">
        <v>723</v>
      </c>
      <c r="G765" s="27" t="s">
        <v>54</v>
      </c>
      <c r="H765" s="24">
        <v>1200</v>
      </c>
      <c r="I765" s="25" t="s">
        <v>156</v>
      </c>
      <c r="J765" s="25" t="s">
        <v>2603</v>
      </c>
      <c r="K765" s="26" t="s">
        <v>2604</v>
      </c>
      <c r="L765" s="25" t="s">
        <v>58</v>
      </c>
      <c r="M765" t="str">
        <f>TEXT(A765,"dddd")</f>
        <v>Sunday</v>
      </c>
      <c r="N765" s="35">
        <f>DATE(Table4[[#This Row],[year]],Table4[[#This Row],[month2]],Table4[[#This Row],[day]])</f>
        <v>46089</v>
      </c>
    </row>
    <row r="766" spans="1:14" ht="16" x14ac:dyDescent="0.35">
      <c r="A766" t="str">
        <f t="shared" si="22"/>
        <v>08</v>
      </c>
      <c r="B766">
        <f>_xlfn.SWITCH(Table4[[#This Row],[month]],"jan",1,"feb",2,"mar",3,"apr",4,"may",5,"jun",6,"jul",7,"aug",8,"sep",9,"oct",10,"nov",11,"dec",12,"no month")</f>
        <v>3</v>
      </c>
      <c r="C766" s="12" t="str">
        <f>LEFT('All Transactions'!$E766,3)</f>
        <v>Mar</v>
      </c>
      <c r="D766" s="12" t="str">
        <f t="shared" si="23"/>
        <v>2026</v>
      </c>
      <c r="E766" s="16" t="s">
        <v>2589</v>
      </c>
      <c r="F766" s="17" t="s">
        <v>1838</v>
      </c>
      <c r="G766" s="27" t="s">
        <v>54</v>
      </c>
      <c r="H766" s="19">
        <v>1300</v>
      </c>
      <c r="I766" s="20" t="s">
        <v>2107</v>
      </c>
      <c r="J766" s="20" t="s">
        <v>2605</v>
      </c>
      <c r="K766" s="21" t="s">
        <v>2606</v>
      </c>
      <c r="L766" s="20" t="s">
        <v>58</v>
      </c>
      <c r="M766" t="str">
        <f>TEXT(A766,"dddd")</f>
        <v>Sunday</v>
      </c>
      <c r="N766" s="35">
        <f>DATE(Table4[[#This Row],[year]],Table4[[#This Row],[month2]],Table4[[#This Row],[day]])</f>
        <v>46089</v>
      </c>
    </row>
    <row r="767" spans="1:14" ht="16" x14ac:dyDescent="0.35">
      <c r="A767" t="str">
        <f t="shared" si="22"/>
        <v>08</v>
      </c>
      <c r="B767">
        <f>_xlfn.SWITCH(Table4[[#This Row],[month]],"jan",1,"feb",2,"mar",3,"apr",4,"may",5,"jun",6,"jul",7,"aug",8,"sep",9,"oct",10,"nov",11,"dec",12,"no month")</f>
        <v>3</v>
      </c>
      <c r="C767" s="12" t="str">
        <f>LEFT('All Transactions'!$E767,3)</f>
        <v>Mar</v>
      </c>
      <c r="D767" s="12" t="str">
        <f t="shared" si="23"/>
        <v>2026</v>
      </c>
      <c r="E767" s="22" t="s">
        <v>2589</v>
      </c>
      <c r="F767" s="23" t="s">
        <v>1189</v>
      </c>
      <c r="G767" s="18" t="s">
        <v>28</v>
      </c>
      <c r="H767" s="24">
        <v>20</v>
      </c>
      <c r="I767" s="25" t="s">
        <v>2607</v>
      </c>
      <c r="J767" s="25" t="s">
        <v>2608</v>
      </c>
      <c r="K767" s="26" t="s">
        <v>2609</v>
      </c>
      <c r="L767" s="25" t="s">
        <v>32</v>
      </c>
      <c r="M767" t="str">
        <f>TEXT(A767,"dddd")</f>
        <v>Sunday</v>
      </c>
      <c r="N767" s="35">
        <f>DATE(Table4[[#This Row],[year]],Table4[[#This Row],[month2]],Table4[[#This Row],[day]])</f>
        <v>46089</v>
      </c>
    </row>
    <row r="768" spans="1:14" ht="16" x14ac:dyDescent="0.35">
      <c r="A768" t="str">
        <f t="shared" si="22"/>
        <v>08</v>
      </c>
      <c r="B768">
        <f>_xlfn.SWITCH(Table4[[#This Row],[month]],"jan",1,"feb",2,"mar",3,"apr",4,"may",5,"jun",6,"jul",7,"aug",8,"sep",9,"oct",10,"nov",11,"dec",12,"no month")</f>
        <v>3</v>
      </c>
      <c r="C768" s="12" t="str">
        <f>LEFT('All Transactions'!$E768,3)</f>
        <v>Mar</v>
      </c>
      <c r="D768" s="12" t="str">
        <f t="shared" si="23"/>
        <v>2026</v>
      </c>
      <c r="E768" s="16" t="s">
        <v>2589</v>
      </c>
      <c r="F768" s="17" t="s">
        <v>2610</v>
      </c>
      <c r="G768" s="18" t="s">
        <v>28</v>
      </c>
      <c r="H768" s="19">
        <v>552.82000000000005</v>
      </c>
      <c r="I768" s="20" t="s">
        <v>2611</v>
      </c>
      <c r="J768" s="20" t="s">
        <v>2612</v>
      </c>
      <c r="K768" s="21" t="s">
        <v>2613</v>
      </c>
      <c r="L768" s="20" t="s">
        <v>32</v>
      </c>
      <c r="M768" t="str">
        <f>TEXT(A768,"dddd")</f>
        <v>Sunday</v>
      </c>
      <c r="N768" s="35">
        <f>DATE(Table4[[#This Row],[year]],Table4[[#This Row],[month2]],Table4[[#This Row],[day]])</f>
        <v>46089</v>
      </c>
    </row>
    <row r="769" spans="1:14" ht="16" x14ac:dyDescent="0.35">
      <c r="A769" t="str">
        <f t="shared" si="22"/>
        <v>08</v>
      </c>
      <c r="B769">
        <f>_xlfn.SWITCH(Table4[[#This Row],[month]],"jan",1,"feb",2,"mar",3,"apr",4,"may",5,"jun",6,"jul",7,"aug",8,"sep",9,"oct",10,"nov",11,"dec",12,"no month")</f>
        <v>3</v>
      </c>
      <c r="C769" s="12" t="str">
        <f>LEFT('All Transactions'!$E769,3)</f>
        <v>Mar</v>
      </c>
      <c r="D769" s="12" t="str">
        <f t="shared" si="23"/>
        <v>2026</v>
      </c>
      <c r="E769" s="22" t="s">
        <v>2589</v>
      </c>
      <c r="F769" s="23" t="s">
        <v>2610</v>
      </c>
      <c r="G769" s="27" t="s">
        <v>54</v>
      </c>
      <c r="H769" s="24">
        <v>552</v>
      </c>
      <c r="I769" s="25" t="s">
        <v>947</v>
      </c>
      <c r="J769" s="25" t="s">
        <v>2614</v>
      </c>
      <c r="K769" s="26" t="s">
        <v>2615</v>
      </c>
      <c r="L769" s="25" t="s">
        <v>58</v>
      </c>
      <c r="M769" t="str">
        <f>TEXT(A769,"dddd")</f>
        <v>Sunday</v>
      </c>
      <c r="N769" s="35">
        <f>DATE(Table4[[#This Row],[year]],Table4[[#This Row],[month2]],Table4[[#This Row],[day]])</f>
        <v>46089</v>
      </c>
    </row>
    <row r="770" spans="1:14" ht="16" x14ac:dyDescent="0.35">
      <c r="A770" t="str">
        <f t="shared" si="22"/>
        <v>08</v>
      </c>
      <c r="B770">
        <f>_xlfn.SWITCH(Table4[[#This Row],[month]],"jan",1,"feb",2,"mar",3,"apr",4,"may",5,"jun",6,"jul",7,"aug",8,"sep",9,"oct",10,"nov",11,"dec",12,"no month")</f>
        <v>3</v>
      </c>
      <c r="C770" s="12" t="str">
        <f>LEFT('All Transactions'!$E770,3)</f>
        <v>Mar</v>
      </c>
      <c r="D770" s="12" t="str">
        <f t="shared" si="23"/>
        <v>2026</v>
      </c>
      <c r="E770" s="16" t="s">
        <v>2589</v>
      </c>
      <c r="F770" s="17" t="s">
        <v>2616</v>
      </c>
      <c r="G770" s="18" t="s">
        <v>28</v>
      </c>
      <c r="H770" s="19">
        <v>360</v>
      </c>
      <c r="I770" s="20" t="s">
        <v>2580</v>
      </c>
      <c r="J770" s="20" t="s">
        <v>2617</v>
      </c>
      <c r="K770" s="21" t="s">
        <v>2618</v>
      </c>
      <c r="L770" s="20" t="s">
        <v>32</v>
      </c>
      <c r="M770" t="str">
        <f>TEXT(A770,"dddd")</f>
        <v>Sunday</v>
      </c>
      <c r="N770" s="35">
        <f>DATE(Table4[[#This Row],[year]],Table4[[#This Row],[month2]],Table4[[#This Row],[day]])</f>
        <v>46089</v>
      </c>
    </row>
    <row r="771" spans="1:14" ht="16" x14ac:dyDescent="0.35">
      <c r="A771" t="str">
        <f t="shared" ref="A771:A834" si="24">MID(E771,5,2)</f>
        <v>08</v>
      </c>
      <c r="B771">
        <f>_xlfn.SWITCH(Table4[[#This Row],[month]],"jan",1,"feb",2,"mar",3,"apr",4,"may",5,"jun",6,"jul",7,"aug",8,"sep",9,"oct",10,"nov",11,"dec",12,"no month")</f>
        <v>3</v>
      </c>
      <c r="C771" s="12" t="str">
        <f>LEFT('All Transactions'!$E771,3)</f>
        <v>Mar</v>
      </c>
      <c r="D771" s="12" t="str">
        <f t="shared" ref="D771:D834" si="25">RIGHT(E771,4)</f>
        <v>2026</v>
      </c>
      <c r="E771" s="22" t="s">
        <v>2589</v>
      </c>
      <c r="F771" s="23" t="s">
        <v>2619</v>
      </c>
      <c r="G771" s="27" t="s">
        <v>54</v>
      </c>
      <c r="H771" s="24">
        <v>150</v>
      </c>
      <c r="I771" s="25" t="s">
        <v>2107</v>
      </c>
      <c r="J771" s="25" t="s">
        <v>2620</v>
      </c>
      <c r="K771" s="26" t="s">
        <v>2621</v>
      </c>
      <c r="L771" s="25" t="s">
        <v>58</v>
      </c>
      <c r="M771" t="str">
        <f>TEXT(A771,"dddd")</f>
        <v>Sunday</v>
      </c>
      <c r="N771" s="35">
        <f>DATE(Table4[[#This Row],[year]],Table4[[#This Row],[month2]],Table4[[#This Row],[day]])</f>
        <v>46089</v>
      </c>
    </row>
    <row r="772" spans="1:14" ht="16" x14ac:dyDescent="0.35">
      <c r="A772" t="str">
        <f t="shared" si="24"/>
        <v>08</v>
      </c>
      <c r="B772">
        <f>_xlfn.SWITCH(Table4[[#This Row],[month]],"jan",1,"feb",2,"mar",3,"apr",4,"may",5,"jun",6,"jul",7,"aug",8,"sep",9,"oct",10,"nov",11,"dec",12,"no month")</f>
        <v>3</v>
      </c>
      <c r="C772" s="12" t="str">
        <f>LEFT('All Transactions'!$E772,3)</f>
        <v>Mar</v>
      </c>
      <c r="D772" s="12" t="str">
        <f t="shared" si="25"/>
        <v>2026</v>
      </c>
      <c r="E772" s="16" t="s">
        <v>2589</v>
      </c>
      <c r="F772" s="17" t="s">
        <v>2619</v>
      </c>
      <c r="G772" s="27" t="s">
        <v>54</v>
      </c>
      <c r="H772" s="19">
        <v>10</v>
      </c>
      <c r="I772" s="20" t="s">
        <v>156</v>
      </c>
      <c r="J772" s="20" t="s">
        <v>2622</v>
      </c>
      <c r="K772" s="21" t="s">
        <v>2623</v>
      </c>
      <c r="L772" s="20" t="s">
        <v>58</v>
      </c>
      <c r="M772" t="str">
        <f>TEXT(A772,"dddd")</f>
        <v>Sunday</v>
      </c>
      <c r="N772" s="35">
        <f>DATE(Table4[[#This Row],[year]],Table4[[#This Row],[month2]],Table4[[#This Row],[day]])</f>
        <v>46089</v>
      </c>
    </row>
    <row r="773" spans="1:14" ht="16" x14ac:dyDescent="0.35">
      <c r="A773" t="str">
        <f t="shared" si="24"/>
        <v>08</v>
      </c>
      <c r="B773">
        <f>_xlfn.SWITCH(Table4[[#This Row],[month]],"jan",1,"feb",2,"mar",3,"apr",4,"may",5,"jun",6,"jul",7,"aug",8,"sep",9,"oct",10,"nov",11,"dec",12,"no month")</f>
        <v>3</v>
      </c>
      <c r="C773" s="12" t="str">
        <f>LEFT('All Transactions'!$E773,3)</f>
        <v>Mar</v>
      </c>
      <c r="D773" s="12" t="str">
        <f t="shared" si="25"/>
        <v>2026</v>
      </c>
      <c r="E773" s="22" t="s">
        <v>2589</v>
      </c>
      <c r="F773" s="23" t="s">
        <v>2619</v>
      </c>
      <c r="G773" s="27" t="s">
        <v>54</v>
      </c>
      <c r="H773" s="24">
        <v>100</v>
      </c>
      <c r="I773" s="25" t="s">
        <v>156</v>
      </c>
      <c r="J773" s="25" t="s">
        <v>2624</v>
      </c>
      <c r="K773" s="26" t="s">
        <v>2625</v>
      </c>
      <c r="L773" s="25" t="s">
        <v>58</v>
      </c>
      <c r="M773" t="str">
        <f>TEXT(A773,"dddd")</f>
        <v>Sunday</v>
      </c>
      <c r="N773" s="35">
        <f>DATE(Table4[[#This Row],[year]],Table4[[#This Row],[month2]],Table4[[#This Row],[day]])</f>
        <v>46089</v>
      </c>
    </row>
    <row r="774" spans="1:14" ht="16" x14ac:dyDescent="0.35">
      <c r="A774" t="str">
        <f t="shared" si="24"/>
        <v>08</v>
      </c>
      <c r="B774">
        <f>_xlfn.SWITCH(Table4[[#This Row],[month]],"jan",1,"feb",2,"mar",3,"apr",4,"may",5,"jun",6,"jul",7,"aug",8,"sep",9,"oct",10,"nov",11,"dec",12,"no month")</f>
        <v>3</v>
      </c>
      <c r="C774" s="12" t="str">
        <f>LEFT('All Transactions'!$E774,3)</f>
        <v>Mar</v>
      </c>
      <c r="D774" s="12" t="str">
        <f t="shared" si="25"/>
        <v>2026</v>
      </c>
      <c r="E774" s="16" t="s">
        <v>2589</v>
      </c>
      <c r="F774" s="17" t="s">
        <v>2626</v>
      </c>
      <c r="G774" s="27" t="s">
        <v>54</v>
      </c>
      <c r="H774" s="19">
        <v>550</v>
      </c>
      <c r="I774" s="20" t="s">
        <v>947</v>
      </c>
      <c r="J774" s="20" t="s">
        <v>2627</v>
      </c>
      <c r="K774" s="21" t="s">
        <v>2628</v>
      </c>
      <c r="L774" s="20" t="s">
        <v>58</v>
      </c>
      <c r="M774" t="str">
        <f>TEXT(A774,"dddd")</f>
        <v>Sunday</v>
      </c>
      <c r="N774" s="35">
        <f>DATE(Table4[[#This Row],[year]],Table4[[#This Row],[month2]],Table4[[#This Row],[day]])</f>
        <v>46089</v>
      </c>
    </row>
    <row r="775" spans="1:14" ht="16" x14ac:dyDescent="0.35">
      <c r="A775" t="str">
        <f t="shared" si="24"/>
        <v>08</v>
      </c>
      <c r="B775">
        <f>_xlfn.SWITCH(Table4[[#This Row],[month]],"jan",1,"feb",2,"mar",3,"apr",4,"may",5,"jun",6,"jul",7,"aug",8,"sep",9,"oct",10,"nov",11,"dec",12,"no month")</f>
        <v>3</v>
      </c>
      <c r="C775" s="12" t="str">
        <f>LEFT('All Transactions'!$E775,3)</f>
        <v>Mar</v>
      </c>
      <c r="D775" s="12" t="str">
        <f t="shared" si="25"/>
        <v>2026</v>
      </c>
      <c r="E775" s="22" t="s">
        <v>2589</v>
      </c>
      <c r="F775" s="23" t="s">
        <v>2629</v>
      </c>
      <c r="G775" s="18" t="s">
        <v>28</v>
      </c>
      <c r="H775" s="24">
        <v>1030</v>
      </c>
      <c r="I775" s="25" t="s">
        <v>2630</v>
      </c>
      <c r="J775" s="25" t="s">
        <v>2631</v>
      </c>
      <c r="K775" s="26" t="s">
        <v>2632</v>
      </c>
      <c r="L775" s="25" t="s">
        <v>32</v>
      </c>
      <c r="M775" t="str">
        <f>TEXT(A775,"dddd")</f>
        <v>Sunday</v>
      </c>
      <c r="N775" s="35">
        <f>DATE(Table4[[#This Row],[year]],Table4[[#This Row],[month2]],Table4[[#This Row],[day]])</f>
        <v>46089</v>
      </c>
    </row>
    <row r="776" spans="1:14" ht="16" x14ac:dyDescent="0.35">
      <c r="A776" t="str">
        <f t="shared" si="24"/>
        <v>08</v>
      </c>
      <c r="B776">
        <f>_xlfn.SWITCH(Table4[[#This Row],[month]],"jan",1,"feb",2,"mar",3,"apr",4,"may",5,"jun",6,"jul",7,"aug",8,"sep",9,"oct",10,"nov",11,"dec",12,"no month")</f>
        <v>3</v>
      </c>
      <c r="C776" s="12" t="str">
        <f>LEFT('All Transactions'!$E776,3)</f>
        <v>Mar</v>
      </c>
      <c r="D776" s="12" t="str">
        <f t="shared" si="25"/>
        <v>2026</v>
      </c>
      <c r="E776" s="16" t="s">
        <v>2589</v>
      </c>
      <c r="F776" s="17" t="s">
        <v>2629</v>
      </c>
      <c r="G776" s="27" t="s">
        <v>54</v>
      </c>
      <c r="H776" s="19">
        <v>172</v>
      </c>
      <c r="I776" s="20" t="s">
        <v>156</v>
      </c>
      <c r="J776" s="20" t="s">
        <v>2633</v>
      </c>
      <c r="K776" s="21" t="s">
        <v>2634</v>
      </c>
      <c r="L776" s="20" t="s">
        <v>58</v>
      </c>
      <c r="M776" t="str">
        <f>TEXT(A776,"dddd")</f>
        <v>Sunday</v>
      </c>
      <c r="N776" s="35">
        <f>DATE(Table4[[#This Row],[year]],Table4[[#This Row],[month2]],Table4[[#This Row],[day]])</f>
        <v>46089</v>
      </c>
    </row>
    <row r="777" spans="1:14" ht="16" x14ac:dyDescent="0.35">
      <c r="A777" t="str">
        <f t="shared" si="24"/>
        <v>08</v>
      </c>
      <c r="B777">
        <f>_xlfn.SWITCH(Table4[[#This Row],[month]],"jan",1,"feb",2,"mar",3,"apr",4,"may",5,"jun",6,"jul",7,"aug",8,"sep",9,"oct",10,"nov",11,"dec",12,"no month")</f>
        <v>3</v>
      </c>
      <c r="C777" s="12" t="str">
        <f>LEFT('All Transactions'!$E777,3)</f>
        <v>Mar</v>
      </c>
      <c r="D777" s="12" t="str">
        <f t="shared" si="25"/>
        <v>2026</v>
      </c>
      <c r="E777" s="22" t="s">
        <v>2589</v>
      </c>
      <c r="F777" s="23" t="s">
        <v>2635</v>
      </c>
      <c r="G777" s="27" t="s">
        <v>54</v>
      </c>
      <c r="H777" s="24">
        <v>340</v>
      </c>
      <c r="I777" s="25" t="s">
        <v>947</v>
      </c>
      <c r="J777" s="25" t="s">
        <v>2636</v>
      </c>
      <c r="K777" s="26" t="s">
        <v>2637</v>
      </c>
      <c r="L777" s="25" t="s">
        <v>58</v>
      </c>
      <c r="M777" t="str">
        <f>TEXT(A777,"dddd")</f>
        <v>Sunday</v>
      </c>
      <c r="N777" s="35">
        <f>DATE(Table4[[#This Row],[year]],Table4[[#This Row],[month2]],Table4[[#This Row],[day]])</f>
        <v>46089</v>
      </c>
    </row>
    <row r="778" spans="1:14" ht="16" x14ac:dyDescent="0.35">
      <c r="A778" t="str">
        <f t="shared" si="24"/>
        <v>08</v>
      </c>
      <c r="B778">
        <f>_xlfn.SWITCH(Table4[[#This Row],[month]],"jan",1,"feb",2,"mar",3,"apr",4,"may",5,"jun",6,"jul",7,"aug",8,"sep",9,"oct",10,"nov",11,"dec",12,"no month")</f>
        <v>3</v>
      </c>
      <c r="C778" s="12" t="str">
        <f>LEFT('All Transactions'!$E778,3)</f>
        <v>Mar</v>
      </c>
      <c r="D778" s="12" t="str">
        <f t="shared" si="25"/>
        <v>2026</v>
      </c>
      <c r="E778" s="16" t="s">
        <v>2589</v>
      </c>
      <c r="F778" s="17" t="s">
        <v>2638</v>
      </c>
      <c r="G778" s="27" t="s">
        <v>54</v>
      </c>
      <c r="H778" s="19">
        <v>172</v>
      </c>
      <c r="I778" s="20" t="s">
        <v>156</v>
      </c>
      <c r="J778" s="20" t="s">
        <v>2639</v>
      </c>
      <c r="K778" s="21" t="s">
        <v>2640</v>
      </c>
      <c r="L778" s="20" t="s">
        <v>58</v>
      </c>
      <c r="M778" t="str">
        <f>TEXT(A778,"dddd")</f>
        <v>Sunday</v>
      </c>
      <c r="N778" s="35">
        <f>DATE(Table4[[#This Row],[year]],Table4[[#This Row],[month2]],Table4[[#This Row],[day]])</f>
        <v>46089</v>
      </c>
    </row>
    <row r="779" spans="1:14" ht="16" x14ac:dyDescent="0.35">
      <c r="A779" t="str">
        <f t="shared" si="24"/>
        <v>08</v>
      </c>
      <c r="B779">
        <f>_xlfn.SWITCH(Table4[[#This Row],[month]],"jan",1,"feb",2,"mar",3,"apr",4,"may",5,"jun",6,"jul",7,"aug",8,"sep",9,"oct",10,"nov",11,"dec",12,"no month")</f>
        <v>3</v>
      </c>
      <c r="C779" s="12" t="str">
        <f>LEFT('All Transactions'!$E779,3)</f>
        <v>Mar</v>
      </c>
      <c r="D779" s="12" t="str">
        <f t="shared" si="25"/>
        <v>2026</v>
      </c>
      <c r="E779" s="22" t="s">
        <v>2589</v>
      </c>
      <c r="F779" s="23" t="s">
        <v>2641</v>
      </c>
      <c r="G779" s="27" t="s">
        <v>54</v>
      </c>
      <c r="H779" s="24">
        <v>172</v>
      </c>
      <c r="I779" s="25" t="s">
        <v>2107</v>
      </c>
      <c r="J779" s="25" t="s">
        <v>2642</v>
      </c>
      <c r="K779" s="26" t="s">
        <v>2643</v>
      </c>
      <c r="L779" s="25" t="s">
        <v>58</v>
      </c>
      <c r="M779" t="str">
        <f>TEXT(A779,"dddd")</f>
        <v>Sunday</v>
      </c>
      <c r="N779" s="35">
        <f>DATE(Table4[[#This Row],[year]],Table4[[#This Row],[month2]],Table4[[#This Row],[day]])</f>
        <v>46089</v>
      </c>
    </row>
    <row r="780" spans="1:14" ht="16" x14ac:dyDescent="0.35">
      <c r="A780" t="str">
        <f t="shared" si="24"/>
        <v>08</v>
      </c>
      <c r="B780">
        <f>_xlfn.SWITCH(Table4[[#This Row],[month]],"jan",1,"feb",2,"mar",3,"apr",4,"may",5,"jun",6,"jul",7,"aug",8,"sep",9,"oct",10,"nov",11,"dec",12,"no month")</f>
        <v>3</v>
      </c>
      <c r="C780" s="12" t="str">
        <f>LEFT('All Transactions'!$E780,3)</f>
        <v>Mar</v>
      </c>
      <c r="D780" s="12" t="str">
        <f t="shared" si="25"/>
        <v>2026</v>
      </c>
      <c r="E780" s="16" t="s">
        <v>2589</v>
      </c>
      <c r="F780" s="17" t="s">
        <v>2644</v>
      </c>
      <c r="G780" s="18" t="s">
        <v>28</v>
      </c>
      <c r="H780" s="19">
        <v>20</v>
      </c>
      <c r="I780" s="20" t="s">
        <v>2645</v>
      </c>
      <c r="J780" s="20" t="s">
        <v>2646</v>
      </c>
      <c r="K780" s="21" t="s">
        <v>2647</v>
      </c>
      <c r="L780" s="20" t="s">
        <v>32</v>
      </c>
      <c r="M780" t="str">
        <f>TEXT(A780,"dddd")</f>
        <v>Sunday</v>
      </c>
      <c r="N780" s="35">
        <f>DATE(Table4[[#This Row],[year]],Table4[[#This Row],[month2]],Table4[[#This Row],[day]])</f>
        <v>46089</v>
      </c>
    </row>
    <row r="781" spans="1:14" ht="16" x14ac:dyDescent="0.35">
      <c r="A781" t="str">
        <f t="shared" si="24"/>
        <v>08</v>
      </c>
      <c r="B781">
        <f>_xlfn.SWITCH(Table4[[#This Row],[month]],"jan",1,"feb",2,"mar",3,"apr",4,"may",5,"jun",6,"jul",7,"aug",8,"sep",9,"oct",10,"nov",11,"dec",12,"no month")</f>
        <v>3</v>
      </c>
      <c r="C781" s="12" t="str">
        <f>LEFT('All Transactions'!$E781,3)</f>
        <v>Mar</v>
      </c>
      <c r="D781" s="12" t="str">
        <f t="shared" si="25"/>
        <v>2026</v>
      </c>
      <c r="E781" s="22" t="s">
        <v>2589</v>
      </c>
      <c r="F781" s="23" t="s">
        <v>2648</v>
      </c>
      <c r="G781" s="18" t="s">
        <v>28</v>
      </c>
      <c r="H781" s="24">
        <v>120</v>
      </c>
      <c r="I781" s="25" t="s">
        <v>12</v>
      </c>
      <c r="J781" s="25" t="s">
        <v>2649</v>
      </c>
      <c r="K781" s="26" t="s">
        <v>2650</v>
      </c>
      <c r="L781" s="25" t="s">
        <v>32</v>
      </c>
      <c r="M781" t="str">
        <f>TEXT(A781,"dddd")</f>
        <v>Sunday</v>
      </c>
      <c r="N781" s="35">
        <f>DATE(Table4[[#This Row],[year]],Table4[[#This Row],[month2]],Table4[[#This Row],[day]])</f>
        <v>46089</v>
      </c>
    </row>
    <row r="782" spans="1:14" ht="16" x14ac:dyDescent="0.35">
      <c r="A782" t="str">
        <f t="shared" si="24"/>
        <v>07</v>
      </c>
      <c r="B782">
        <f>_xlfn.SWITCH(Table4[[#This Row],[month]],"jan",1,"feb",2,"mar",3,"apr",4,"may",5,"jun",6,"jul",7,"aug",8,"sep",9,"oct",10,"nov",11,"dec",12,"no month")</f>
        <v>3</v>
      </c>
      <c r="C782" s="12" t="str">
        <f>LEFT('All Transactions'!$E782,3)</f>
        <v>Mar</v>
      </c>
      <c r="D782" s="12" t="str">
        <f t="shared" si="25"/>
        <v>2026</v>
      </c>
      <c r="E782" s="16" t="s">
        <v>2651</v>
      </c>
      <c r="F782" s="17" t="s">
        <v>2652</v>
      </c>
      <c r="G782" s="18" t="s">
        <v>28</v>
      </c>
      <c r="H782" s="19">
        <v>18</v>
      </c>
      <c r="I782" s="20" t="s">
        <v>2653</v>
      </c>
      <c r="J782" s="20" t="s">
        <v>2654</v>
      </c>
      <c r="K782" s="21" t="s">
        <v>2655</v>
      </c>
      <c r="L782" s="20" t="s">
        <v>32</v>
      </c>
      <c r="M782" t="str">
        <f>TEXT(A782,"dddd")</f>
        <v>Saturday</v>
      </c>
      <c r="N782" s="35">
        <f>DATE(Table4[[#This Row],[year]],Table4[[#This Row],[month2]],Table4[[#This Row],[day]])</f>
        <v>46088</v>
      </c>
    </row>
    <row r="783" spans="1:14" ht="16" x14ac:dyDescent="0.35">
      <c r="A783" t="str">
        <f t="shared" si="24"/>
        <v>05</v>
      </c>
      <c r="B783">
        <f>_xlfn.SWITCH(Table4[[#This Row],[month]],"jan",1,"feb",2,"mar",3,"apr",4,"may",5,"jun",6,"jul",7,"aug",8,"sep",9,"oct",10,"nov",11,"dec",12,"no month")</f>
        <v>3</v>
      </c>
      <c r="C783" s="12" t="str">
        <f>LEFT('All Transactions'!$E783,3)</f>
        <v>Mar</v>
      </c>
      <c r="D783" s="12" t="str">
        <f t="shared" si="25"/>
        <v>2026</v>
      </c>
      <c r="E783" s="22" t="s">
        <v>2656</v>
      </c>
      <c r="F783" s="23" t="s">
        <v>2657</v>
      </c>
      <c r="G783" s="18" t="s">
        <v>28</v>
      </c>
      <c r="H783" s="24">
        <v>10</v>
      </c>
      <c r="I783" s="25" t="s">
        <v>2653</v>
      </c>
      <c r="J783" s="25" t="s">
        <v>2658</v>
      </c>
      <c r="K783" s="26" t="s">
        <v>2659</v>
      </c>
      <c r="L783" s="25" t="s">
        <v>32</v>
      </c>
      <c r="M783" t="str">
        <f>TEXT(A783,"dddd")</f>
        <v>Thursday</v>
      </c>
      <c r="N783" s="35">
        <f>DATE(Table4[[#This Row],[year]],Table4[[#This Row],[month2]],Table4[[#This Row],[day]])</f>
        <v>46086</v>
      </c>
    </row>
    <row r="784" spans="1:14" ht="16" x14ac:dyDescent="0.35">
      <c r="A784" t="str">
        <f t="shared" si="24"/>
        <v>05</v>
      </c>
      <c r="B784">
        <f>_xlfn.SWITCH(Table4[[#This Row],[month]],"jan",1,"feb",2,"mar",3,"apr",4,"may",5,"jun",6,"jul",7,"aug",8,"sep",9,"oct",10,"nov",11,"dec",12,"no month")</f>
        <v>3</v>
      </c>
      <c r="C784" s="12" t="str">
        <f>LEFT('All Transactions'!$E784,3)</f>
        <v>Mar</v>
      </c>
      <c r="D784" s="12" t="str">
        <f t="shared" si="25"/>
        <v>2026</v>
      </c>
      <c r="E784" s="16" t="s">
        <v>2656</v>
      </c>
      <c r="F784" s="17" t="s">
        <v>951</v>
      </c>
      <c r="G784" s="18" t="s">
        <v>28</v>
      </c>
      <c r="H784" s="19">
        <v>5000</v>
      </c>
      <c r="I784" s="20" t="s">
        <v>167</v>
      </c>
      <c r="J784" s="20" t="s">
        <v>2660</v>
      </c>
      <c r="K784" s="21" t="s">
        <v>2661</v>
      </c>
      <c r="L784" s="20" t="s">
        <v>32</v>
      </c>
      <c r="M784" t="str">
        <f>TEXT(A784,"dddd")</f>
        <v>Thursday</v>
      </c>
      <c r="N784" s="35">
        <f>DATE(Table4[[#This Row],[year]],Table4[[#This Row],[month2]],Table4[[#This Row],[day]])</f>
        <v>46086</v>
      </c>
    </row>
    <row r="785" spans="1:14" ht="16" x14ac:dyDescent="0.35">
      <c r="A785" t="str">
        <f t="shared" si="24"/>
        <v>05</v>
      </c>
      <c r="B785">
        <f>_xlfn.SWITCH(Table4[[#This Row],[month]],"jan",1,"feb",2,"mar",3,"apr",4,"may",5,"jun",6,"jul",7,"aug",8,"sep",9,"oct",10,"nov",11,"dec",12,"no month")</f>
        <v>3</v>
      </c>
      <c r="C785" s="12" t="str">
        <f>LEFT('All Transactions'!$E785,3)</f>
        <v>Mar</v>
      </c>
      <c r="D785" s="12" t="str">
        <f t="shared" si="25"/>
        <v>2026</v>
      </c>
      <c r="E785" s="22" t="s">
        <v>2656</v>
      </c>
      <c r="F785" s="23" t="s">
        <v>951</v>
      </c>
      <c r="G785" s="27" t="s">
        <v>54</v>
      </c>
      <c r="H785" s="24">
        <v>5000</v>
      </c>
      <c r="I785" s="25" t="s">
        <v>156</v>
      </c>
      <c r="J785" s="25" t="s">
        <v>2662</v>
      </c>
      <c r="K785" s="26" t="s">
        <v>2663</v>
      </c>
      <c r="L785" s="25" t="s">
        <v>58</v>
      </c>
      <c r="M785" t="str">
        <f>TEXT(A785,"dddd")</f>
        <v>Thursday</v>
      </c>
      <c r="N785" s="35">
        <f>DATE(Table4[[#This Row],[year]],Table4[[#This Row],[month2]],Table4[[#This Row],[day]])</f>
        <v>46086</v>
      </c>
    </row>
    <row r="786" spans="1:14" ht="16" x14ac:dyDescent="0.35">
      <c r="A786" t="str">
        <f t="shared" si="24"/>
        <v>05</v>
      </c>
      <c r="B786">
        <f>_xlfn.SWITCH(Table4[[#This Row],[month]],"jan",1,"feb",2,"mar",3,"apr",4,"may",5,"jun",6,"jul",7,"aug",8,"sep",9,"oct",10,"nov",11,"dec",12,"no month")</f>
        <v>3</v>
      </c>
      <c r="C786" s="12" t="str">
        <f>LEFT('All Transactions'!$E786,3)</f>
        <v>Mar</v>
      </c>
      <c r="D786" s="12" t="str">
        <f t="shared" si="25"/>
        <v>2026</v>
      </c>
      <c r="E786" s="16" t="s">
        <v>2656</v>
      </c>
      <c r="F786" s="17" t="s">
        <v>2664</v>
      </c>
      <c r="G786" s="27" t="s">
        <v>54</v>
      </c>
      <c r="H786" s="19">
        <v>100</v>
      </c>
      <c r="I786" s="20" t="s">
        <v>947</v>
      </c>
      <c r="J786" s="20" t="s">
        <v>2665</v>
      </c>
      <c r="K786" s="21" t="s">
        <v>2666</v>
      </c>
      <c r="L786" s="20" t="s">
        <v>58</v>
      </c>
      <c r="M786" t="str">
        <f>TEXT(A786,"dddd")</f>
        <v>Thursday</v>
      </c>
      <c r="N786" s="35">
        <f>DATE(Table4[[#This Row],[year]],Table4[[#This Row],[month2]],Table4[[#This Row],[day]])</f>
        <v>46086</v>
      </c>
    </row>
    <row r="787" spans="1:14" ht="16" x14ac:dyDescent="0.35">
      <c r="A787" t="str">
        <f t="shared" si="24"/>
        <v>05</v>
      </c>
      <c r="B787">
        <f>_xlfn.SWITCH(Table4[[#This Row],[month]],"jan",1,"feb",2,"mar",3,"apr",4,"may",5,"jun",6,"jul",7,"aug",8,"sep",9,"oct",10,"nov",11,"dec",12,"no month")</f>
        <v>3</v>
      </c>
      <c r="C787" s="12" t="str">
        <f>LEFT('All Transactions'!$E787,3)</f>
        <v>Mar</v>
      </c>
      <c r="D787" s="12" t="str">
        <f t="shared" si="25"/>
        <v>2026</v>
      </c>
      <c r="E787" s="22" t="s">
        <v>2656</v>
      </c>
      <c r="F787" s="23" t="s">
        <v>1302</v>
      </c>
      <c r="G787" s="27" t="s">
        <v>54</v>
      </c>
      <c r="H787" s="24">
        <v>30</v>
      </c>
      <c r="I787" s="25" t="s">
        <v>947</v>
      </c>
      <c r="J787" s="25" t="s">
        <v>2667</v>
      </c>
      <c r="K787" s="26" t="s">
        <v>2668</v>
      </c>
      <c r="L787" s="25" t="s">
        <v>58</v>
      </c>
      <c r="M787" t="str">
        <f>TEXT(A787,"dddd")</f>
        <v>Thursday</v>
      </c>
      <c r="N787" s="35">
        <f>DATE(Table4[[#This Row],[year]],Table4[[#This Row],[month2]],Table4[[#This Row],[day]])</f>
        <v>46086</v>
      </c>
    </row>
    <row r="788" spans="1:14" ht="16" x14ac:dyDescent="0.35">
      <c r="A788" t="str">
        <f t="shared" si="24"/>
        <v>05</v>
      </c>
      <c r="B788">
        <f>_xlfn.SWITCH(Table4[[#This Row],[month]],"jan",1,"feb",2,"mar",3,"apr",4,"may",5,"jun",6,"jul",7,"aug",8,"sep",9,"oct",10,"nov",11,"dec",12,"no month")</f>
        <v>3</v>
      </c>
      <c r="C788" s="12" t="str">
        <f>LEFT('All Transactions'!$E788,3)</f>
        <v>Mar</v>
      </c>
      <c r="D788" s="12" t="str">
        <f t="shared" si="25"/>
        <v>2026</v>
      </c>
      <c r="E788" s="16" t="s">
        <v>2656</v>
      </c>
      <c r="F788" s="17" t="s">
        <v>1302</v>
      </c>
      <c r="G788" s="18" t="s">
        <v>28</v>
      </c>
      <c r="H788" s="19">
        <v>10</v>
      </c>
      <c r="I788" s="20" t="s">
        <v>325</v>
      </c>
      <c r="J788" s="20" t="s">
        <v>2669</v>
      </c>
      <c r="K788" s="21" t="s">
        <v>2670</v>
      </c>
      <c r="L788" s="20" t="s">
        <v>32</v>
      </c>
      <c r="M788" t="str">
        <f>TEXT(A788,"dddd")</f>
        <v>Thursday</v>
      </c>
      <c r="N788" s="35">
        <f>DATE(Table4[[#This Row],[year]],Table4[[#This Row],[month2]],Table4[[#This Row],[day]])</f>
        <v>46086</v>
      </c>
    </row>
    <row r="789" spans="1:14" ht="16" x14ac:dyDescent="0.35">
      <c r="A789" t="str">
        <f t="shared" si="24"/>
        <v>05</v>
      </c>
      <c r="B789">
        <f>_xlfn.SWITCH(Table4[[#This Row],[month]],"jan",1,"feb",2,"mar",3,"apr",4,"may",5,"jun",6,"jul",7,"aug",8,"sep",9,"oct",10,"nov",11,"dec",12,"no month")</f>
        <v>3</v>
      </c>
      <c r="C789" s="12" t="str">
        <f>LEFT('All Transactions'!$E789,3)</f>
        <v>Mar</v>
      </c>
      <c r="D789" s="12" t="str">
        <f t="shared" si="25"/>
        <v>2026</v>
      </c>
      <c r="E789" s="22" t="s">
        <v>2656</v>
      </c>
      <c r="F789" s="23" t="s">
        <v>2671</v>
      </c>
      <c r="G789" s="18" t="s">
        <v>28</v>
      </c>
      <c r="H789" s="24">
        <v>10</v>
      </c>
      <c r="I789" s="25" t="s">
        <v>2033</v>
      </c>
      <c r="J789" s="25" t="s">
        <v>2672</v>
      </c>
      <c r="K789" s="26" t="s">
        <v>2673</v>
      </c>
      <c r="L789" s="25" t="s">
        <v>32</v>
      </c>
      <c r="M789" t="str">
        <f>TEXT(A789,"dddd")</f>
        <v>Thursday</v>
      </c>
      <c r="N789" s="35">
        <f>DATE(Table4[[#This Row],[year]],Table4[[#This Row],[month2]],Table4[[#This Row],[day]])</f>
        <v>46086</v>
      </c>
    </row>
    <row r="790" spans="1:14" ht="16" x14ac:dyDescent="0.35">
      <c r="A790" t="str">
        <f t="shared" si="24"/>
        <v>05</v>
      </c>
      <c r="B790">
        <f>_xlfn.SWITCH(Table4[[#This Row],[month]],"jan",1,"feb",2,"mar",3,"apr",4,"may",5,"jun",6,"jul",7,"aug",8,"sep",9,"oct",10,"nov",11,"dec",12,"no month")</f>
        <v>3</v>
      </c>
      <c r="C790" s="12" t="str">
        <f>LEFT('All Transactions'!$E790,3)</f>
        <v>Mar</v>
      </c>
      <c r="D790" s="12" t="str">
        <f t="shared" si="25"/>
        <v>2026</v>
      </c>
      <c r="E790" s="16" t="s">
        <v>2656</v>
      </c>
      <c r="F790" s="17" t="s">
        <v>2674</v>
      </c>
      <c r="G790" s="18" t="s">
        <v>28</v>
      </c>
      <c r="H790" s="19">
        <v>400</v>
      </c>
      <c r="I790" s="20" t="s">
        <v>12</v>
      </c>
      <c r="J790" s="20" t="s">
        <v>2675</v>
      </c>
      <c r="K790" s="21" t="s">
        <v>2676</v>
      </c>
      <c r="L790" s="20" t="s">
        <v>32</v>
      </c>
      <c r="M790" t="str">
        <f>TEXT(A790,"dddd")</f>
        <v>Thursday</v>
      </c>
      <c r="N790" s="35">
        <f>DATE(Table4[[#This Row],[year]],Table4[[#This Row],[month2]],Table4[[#This Row],[day]])</f>
        <v>46086</v>
      </c>
    </row>
    <row r="791" spans="1:14" ht="16" x14ac:dyDescent="0.35">
      <c r="A791" t="str">
        <f t="shared" si="24"/>
        <v>04</v>
      </c>
      <c r="B791">
        <f>_xlfn.SWITCH(Table4[[#This Row],[month]],"jan",1,"feb",2,"mar",3,"apr",4,"may",5,"jun",6,"jul",7,"aug",8,"sep",9,"oct",10,"nov",11,"dec",12,"no month")</f>
        <v>3</v>
      </c>
      <c r="C791" s="12" t="str">
        <f>LEFT('All Transactions'!$E791,3)</f>
        <v>Mar</v>
      </c>
      <c r="D791" s="12" t="str">
        <f t="shared" si="25"/>
        <v>2026</v>
      </c>
      <c r="E791" s="22" t="s">
        <v>2677</v>
      </c>
      <c r="F791" s="23" t="s">
        <v>2678</v>
      </c>
      <c r="G791" s="18" t="s">
        <v>28</v>
      </c>
      <c r="H791" s="24">
        <v>20</v>
      </c>
      <c r="I791" s="25" t="s">
        <v>2653</v>
      </c>
      <c r="J791" s="25" t="s">
        <v>2679</v>
      </c>
      <c r="K791" s="26" t="s">
        <v>2680</v>
      </c>
      <c r="L791" s="25" t="s">
        <v>32</v>
      </c>
      <c r="M791" t="str">
        <f>TEXT(A791,"dddd")</f>
        <v>Wednesday</v>
      </c>
      <c r="N791" s="35">
        <f>DATE(Table4[[#This Row],[year]],Table4[[#This Row],[month2]],Table4[[#This Row],[day]])</f>
        <v>46085</v>
      </c>
    </row>
    <row r="792" spans="1:14" ht="16" x14ac:dyDescent="0.35">
      <c r="A792" t="str">
        <f t="shared" si="24"/>
        <v>04</v>
      </c>
      <c r="B792">
        <f>_xlfn.SWITCH(Table4[[#This Row],[month]],"jan",1,"feb",2,"mar",3,"apr",4,"may",5,"jun",6,"jul",7,"aug",8,"sep",9,"oct",10,"nov",11,"dec",12,"no month")</f>
        <v>3</v>
      </c>
      <c r="C792" s="12" t="str">
        <f>LEFT('All Transactions'!$E792,3)</f>
        <v>Mar</v>
      </c>
      <c r="D792" s="12" t="str">
        <f t="shared" si="25"/>
        <v>2026</v>
      </c>
      <c r="E792" s="16" t="s">
        <v>2677</v>
      </c>
      <c r="F792" s="17" t="s">
        <v>2681</v>
      </c>
      <c r="G792" s="18" t="s">
        <v>28</v>
      </c>
      <c r="H792" s="19">
        <v>20</v>
      </c>
      <c r="I792" s="20" t="s">
        <v>2682</v>
      </c>
      <c r="J792" s="20" t="s">
        <v>2683</v>
      </c>
      <c r="K792" s="21" t="s">
        <v>2684</v>
      </c>
      <c r="L792" s="20" t="s">
        <v>32</v>
      </c>
      <c r="M792" t="str">
        <f>TEXT(A792,"dddd")</f>
        <v>Wednesday</v>
      </c>
      <c r="N792" s="35">
        <f>DATE(Table4[[#This Row],[year]],Table4[[#This Row],[month2]],Table4[[#This Row],[day]])</f>
        <v>46085</v>
      </c>
    </row>
    <row r="793" spans="1:14" ht="16" x14ac:dyDescent="0.35">
      <c r="A793" t="str">
        <f t="shared" si="24"/>
        <v>04</v>
      </c>
      <c r="B793">
        <f>_xlfn.SWITCH(Table4[[#This Row],[month]],"jan",1,"feb",2,"mar",3,"apr",4,"may",5,"jun",6,"jul",7,"aug",8,"sep",9,"oct",10,"nov",11,"dec",12,"no month")</f>
        <v>3</v>
      </c>
      <c r="C793" s="12" t="str">
        <f>LEFT('All Transactions'!$E793,3)</f>
        <v>Mar</v>
      </c>
      <c r="D793" s="12" t="str">
        <f t="shared" si="25"/>
        <v>2026</v>
      </c>
      <c r="E793" s="22" t="s">
        <v>2677</v>
      </c>
      <c r="F793" s="23" t="s">
        <v>2685</v>
      </c>
      <c r="G793" s="18" t="s">
        <v>28</v>
      </c>
      <c r="H793" s="24">
        <v>100</v>
      </c>
      <c r="I793" s="25" t="s">
        <v>2033</v>
      </c>
      <c r="J793" s="25" t="s">
        <v>2686</v>
      </c>
      <c r="K793" s="26" t="s">
        <v>2687</v>
      </c>
      <c r="L793" s="25" t="s">
        <v>32</v>
      </c>
      <c r="M793" t="str">
        <f>TEXT(A793,"dddd")</f>
        <v>Wednesday</v>
      </c>
      <c r="N793" s="35">
        <f>DATE(Table4[[#This Row],[year]],Table4[[#This Row],[month2]],Table4[[#This Row],[day]])</f>
        <v>46085</v>
      </c>
    </row>
    <row r="794" spans="1:14" ht="16" x14ac:dyDescent="0.35">
      <c r="A794" t="str">
        <f t="shared" si="24"/>
        <v>04</v>
      </c>
      <c r="B794">
        <f>_xlfn.SWITCH(Table4[[#This Row],[month]],"jan",1,"feb",2,"mar",3,"apr",4,"may",5,"jun",6,"jul",7,"aug",8,"sep",9,"oct",10,"nov",11,"dec",12,"no month")</f>
        <v>3</v>
      </c>
      <c r="C794" s="12" t="str">
        <f>LEFT('All Transactions'!$E794,3)</f>
        <v>Mar</v>
      </c>
      <c r="D794" s="12" t="str">
        <f t="shared" si="25"/>
        <v>2026</v>
      </c>
      <c r="E794" s="16" t="s">
        <v>2677</v>
      </c>
      <c r="F794" s="17" t="s">
        <v>430</v>
      </c>
      <c r="G794" s="18" t="s">
        <v>28</v>
      </c>
      <c r="H794" s="19">
        <v>10000</v>
      </c>
      <c r="I794" s="20" t="s">
        <v>12</v>
      </c>
      <c r="J794" s="20" t="s">
        <v>2688</v>
      </c>
      <c r="K794" s="21" t="s">
        <v>2689</v>
      </c>
      <c r="L794" s="20" t="s">
        <v>32</v>
      </c>
      <c r="M794" t="str">
        <f>TEXT(A794,"dddd")</f>
        <v>Wednesday</v>
      </c>
      <c r="N794" s="35">
        <f>DATE(Table4[[#This Row],[year]],Table4[[#This Row],[month2]],Table4[[#This Row],[day]])</f>
        <v>46085</v>
      </c>
    </row>
    <row r="795" spans="1:14" ht="16" x14ac:dyDescent="0.35">
      <c r="A795" t="str">
        <f t="shared" si="24"/>
        <v>04</v>
      </c>
      <c r="B795">
        <f>_xlfn.SWITCH(Table4[[#This Row],[month]],"jan",1,"feb",2,"mar",3,"apr",4,"may",5,"jun",6,"jul",7,"aug",8,"sep",9,"oct",10,"nov",11,"dec",12,"no month")</f>
        <v>3</v>
      </c>
      <c r="C795" s="12" t="str">
        <f>LEFT('All Transactions'!$E795,3)</f>
        <v>Mar</v>
      </c>
      <c r="D795" s="12" t="str">
        <f t="shared" si="25"/>
        <v>2026</v>
      </c>
      <c r="E795" s="22" t="s">
        <v>2677</v>
      </c>
      <c r="F795" s="23" t="s">
        <v>434</v>
      </c>
      <c r="G795" s="27" t="s">
        <v>54</v>
      </c>
      <c r="H795" s="24">
        <v>10000</v>
      </c>
      <c r="I795" s="25" t="s">
        <v>1642</v>
      </c>
      <c r="J795" s="25" t="s">
        <v>2690</v>
      </c>
      <c r="K795" s="26" t="s">
        <v>2691</v>
      </c>
      <c r="L795" s="25" t="s">
        <v>58</v>
      </c>
      <c r="M795" t="str">
        <f>TEXT(A795,"dddd")</f>
        <v>Wednesday</v>
      </c>
      <c r="N795" s="35">
        <f>DATE(Table4[[#This Row],[year]],Table4[[#This Row],[month2]],Table4[[#This Row],[day]])</f>
        <v>46085</v>
      </c>
    </row>
    <row r="796" spans="1:14" ht="16" x14ac:dyDescent="0.35">
      <c r="A796" t="str">
        <f t="shared" si="24"/>
        <v>04</v>
      </c>
      <c r="B796">
        <f>_xlfn.SWITCH(Table4[[#This Row],[month]],"jan",1,"feb",2,"mar",3,"apr",4,"may",5,"jun",6,"jul",7,"aug",8,"sep",9,"oct",10,"nov",11,"dec",12,"no month")</f>
        <v>3</v>
      </c>
      <c r="C796" s="12" t="str">
        <f>LEFT('All Transactions'!$E796,3)</f>
        <v>Mar</v>
      </c>
      <c r="D796" s="12" t="str">
        <f t="shared" si="25"/>
        <v>2026</v>
      </c>
      <c r="E796" s="16" t="s">
        <v>2677</v>
      </c>
      <c r="F796" s="17" t="s">
        <v>2692</v>
      </c>
      <c r="G796" s="27" t="s">
        <v>54</v>
      </c>
      <c r="H796" s="19">
        <v>50</v>
      </c>
      <c r="I796" s="20" t="s">
        <v>947</v>
      </c>
      <c r="J796" s="20" t="s">
        <v>2693</v>
      </c>
      <c r="K796" s="21" t="s">
        <v>2694</v>
      </c>
      <c r="L796" s="20" t="s">
        <v>58</v>
      </c>
      <c r="M796" t="str">
        <f>TEXT(A796,"dddd")</f>
        <v>Wednesday</v>
      </c>
      <c r="N796" s="35">
        <f>DATE(Table4[[#This Row],[year]],Table4[[#This Row],[month2]],Table4[[#This Row],[day]])</f>
        <v>46085</v>
      </c>
    </row>
    <row r="797" spans="1:14" ht="16" x14ac:dyDescent="0.35">
      <c r="A797" t="str">
        <f t="shared" si="24"/>
        <v>04</v>
      </c>
      <c r="B797">
        <f>_xlfn.SWITCH(Table4[[#This Row],[month]],"jan",1,"feb",2,"mar",3,"apr",4,"may",5,"jun",6,"jul",7,"aug",8,"sep",9,"oct",10,"nov",11,"dec",12,"no month")</f>
        <v>3</v>
      </c>
      <c r="C797" s="12" t="str">
        <f>LEFT('All Transactions'!$E797,3)</f>
        <v>Mar</v>
      </c>
      <c r="D797" s="12" t="str">
        <f t="shared" si="25"/>
        <v>2026</v>
      </c>
      <c r="E797" s="22" t="s">
        <v>2677</v>
      </c>
      <c r="F797" s="23" t="s">
        <v>2695</v>
      </c>
      <c r="G797" s="18" t="s">
        <v>28</v>
      </c>
      <c r="H797" s="24">
        <v>4800</v>
      </c>
      <c r="I797" s="25" t="s">
        <v>167</v>
      </c>
      <c r="J797" s="25" t="s">
        <v>2696</v>
      </c>
      <c r="K797" s="26" t="s">
        <v>2697</v>
      </c>
      <c r="L797" s="25" t="s">
        <v>32</v>
      </c>
      <c r="M797" t="str">
        <f>TEXT(A797,"dddd")</f>
        <v>Wednesday</v>
      </c>
      <c r="N797" s="35">
        <f>DATE(Table4[[#This Row],[year]],Table4[[#This Row],[month2]],Table4[[#This Row],[day]])</f>
        <v>46085</v>
      </c>
    </row>
    <row r="798" spans="1:14" ht="16" x14ac:dyDescent="0.35">
      <c r="A798" t="str">
        <f t="shared" si="24"/>
        <v>04</v>
      </c>
      <c r="B798">
        <f>_xlfn.SWITCH(Table4[[#This Row],[month]],"jan",1,"feb",2,"mar",3,"apr",4,"may",5,"jun",6,"jul",7,"aug",8,"sep",9,"oct",10,"nov",11,"dec",12,"no month")</f>
        <v>3</v>
      </c>
      <c r="C798" s="12" t="str">
        <f>LEFT('All Transactions'!$E798,3)</f>
        <v>Mar</v>
      </c>
      <c r="D798" s="12" t="str">
        <f t="shared" si="25"/>
        <v>2026</v>
      </c>
      <c r="E798" s="16" t="s">
        <v>2677</v>
      </c>
      <c r="F798" s="17" t="s">
        <v>2698</v>
      </c>
      <c r="G798" s="18" t="s">
        <v>28</v>
      </c>
      <c r="H798" s="19">
        <v>250</v>
      </c>
      <c r="I798" s="20" t="s">
        <v>2699</v>
      </c>
      <c r="J798" s="20" t="s">
        <v>2700</v>
      </c>
      <c r="K798" s="21" t="s">
        <v>2701</v>
      </c>
      <c r="L798" s="20" t="s">
        <v>32</v>
      </c>
      <c r="M798" t="str">
        <f>TEXT(A798,"dddd")</f>
        <v>Wednesday</v>
      </c>
      <c r="N798" s="35">
        <f>DATE(Table4[[#This Row],[year]],Table4[[#This Row],[month2]],Table4[[#This Row],[day]])</f>
        <v>46085</v>
      </c>
    </row>
    <row r="799" spans="1:14" ht="16" x14ac:dyDescent="0.35">
      <c r="A799" t="str">
        <f t="shared" si="24"/>
        <v>04</v>
      </c>
      <c r="B799">
        <f>_xlfn.SWITCH(Table4[[#This Row],[month]],"jan",1,"feb",2,"mar",3,"apr",4,"may",5,"jun",6,"jul",7,"aug",8,"sep",9,"oct",10,"nov",11,"dec",12,"no month")</f>
        <v>3</v>
      </c>
      <c r="C799" s="12" t="str">
        <f>LEFT('All Transactions'!$E799,3)</f>
        <v>Mar</v>
      </c>
      <c r="D799" s="12" t="str">
        <f t="shared" si="25"/>
        <v>2026</v>
      </c>
      <c r="E799" s="22" t="s">
        <v>2677</v>
      </c>
      <c r="F799" s="23" t="s">
        <v>2702</v>
      </c>
      <c r="G799" s="18" t="s">
        <v>28</v>
      </c>
      <c r="H799" s="24">
        <v>883</v>
      </c>
      <c r="I799" s="25" t="s">
        <v>438</v>
      </c>
      <c r="J799" s="25" t="s">
        <v>2703</v>
      </c>
      <c r="K799" s="26" t="s">
        <v>2704</v>
      </c>
      <c r="L799" s="25" t="s">
        <v>32</v>
      </c>
      <c r="M799" t="str">
        <f>TEXT(A799,"dddd")</f>
        <v>Wednesday</v>
      </c>
      <c r="N799" s="35">
        <f>DATE(Table4[[#This Row],[year]],Table4[[#This Row],[month2]],Table4[[#This Row],[day]])</f>
        <v>46085</v>
      </c>
    </row>
    <row r="800" spans="1:14" ht="16" x14ac:dyDescent="0.35">
      <c r="A800" t="str">
        <f t="shared" si="24"/>
        <v>04</v>
      </c>
      <c r="B800">
        <f>_xlfn.SWITCH(Table4[[#This Row],[month]],"jan",1,"feb",2,"mar",3,"apr",4,"may",5,"jun",6,"jul",7,"aug",8,"sep",9,"oct",10,"nov",11,"dec",12,"no month")</f>
        <v>3</v>
      </c>
      <c r="C800" s="12" t="str">
        <f>LEFT('All Transactions'!$E800,3)</f>
        <v>Mar</v>
      </c>
      <c r="D800" s="12" t="str">
        <f t="shared" si="25"/>
        <v>2026</v>
      </c>
      <c r="E800" s="16" t="s">
        <v>2677</v>
      </c>
      <c r="F800" s="17" t="s">
        <v>2702</v>
      </c>
      <c r="G800" s="27" t="s">
        <v>54</v>
      </c>
      <c r="H800" s="19">
        <v>573</v>
      </c>
      <c r="I800" s="20" t="s">
        <v>156</v>
      </c>
      <c r="J800" s="20" t="s">
        <v>2705</v>
      </c>
      <c r="K800" s="21" t="s">
        <v>2706</v>
      </c>
      <c r="L800" s="20" t="s">
        <v>58</v>
      </c>
      <c r="M800" t="str">
        <f>TEXT(A800,"dddd")</f>
        <v>Wednesday</v>
      </c>
      <c r="N800" s="35">
        <f>DATE(Table4[[#This Row],[year]],Table4[[#This Row],[month2]],Table4[[#This Row],[day]])</f>
        <v>46085</v>
      </c>
    </row>
    <row r="801" spans="1:14" ht="16" x14ac:dyDescent="0.35">
      <c r="A801" t="str">
        <f t="shared" si="24"/>
        <v>04</v>
      </c>
      <c r="B801">
        <f>_xlfn.SWITCH(Table4[[#This Row],[month]],"jan",1,"feb",2,"mar",3,"apr",4,"may",5,"jun",6,"jul",7,"aug",8,"sep",9,"oct",10,"nov",11,"dec",12,"no month")</f>
        <v>3</v>
      </c>
      <c r="C801" s="12" t="str">
        <f>LEFT('All Transactions'!$E801,3)</f>
        <v>Mar</v>
      </c>
      <c r="D801" s="12" t="str">
        <f t="shared" si="25"/>
        <v>2026</v>
      </c>
      <c r="E801" s="22" t="s">
        <v>2677</v>
      </c>
      <c r="F801" s="23" t="s">
        <v>2095</v>
      </c>
      <c r="G801" s="27" t="s">
        <v>54</v>
      </c>
      <c r="H801" s="24">
        <v>300</v>
      </c>
      <c r="I801" s="25" t="s">
        <v>1586</v>
      </c>
      <c r="J801" s="25" t="s">
        <v>2707</v>
      </c>
      <c r="K801" s="26" t="s">
        <v>2708</v>
      </c>
      <c r="L801" s="25" t="s">
        <v>58</v>
      </c>
      <c r="M801" t="str">
        <f>TEXT(A801,"dddd")</f>
        <v>Wednesday</v>
      </c>
      <c r="N801" s="35">
        <f>DATE(Table4[[#This Row],[year]],Table4[[#This Row],[month2]],Table4[[#This Row],[day]])</f>
        <v>46085</v>
      </c>
    </row>
    <row r="802" spans="1:14" ht="16" x14ac:dyDescent="0.35">
      <c r="A802" t="str">
        <f t="shared" si="24"/>
        <v>03</v>
      </c>
      <c r="B802">
        <f>_xlfn.SWITCH(Table4[[#This Row],[month]],"jan",1,"feb",2,"mar",3,"apr",4,"may",5,"jun",6,"jul",7,"aug",8,"sep",9,"oct",10,"nov",11,"dec",12,"no month")</f>
        <v>3</v>
      </c>
      <c r="C802" s="12" t="str">
        <f>LEFT('All Transactions'!$E802,3)</f>
        <v>Mar</v>
      </c>
      <c r="D802" s="12" t="str">
        <f t="shared" si="25"/>
        <v>2026</v>
      </c>
      <c r="E802" s="16" t="s">
        <v>2709</v>
      </c>
      <c r="F802" s="17" t="s">
        <v>2710</v>
      </c>
      <c r="G802" s="18" t="s">
        <v>28</v>
      </c>
      <c r="H802" s="19">
        <v>120</v>
      </c>
      <c r="I802" s="20" t="s">
        <v>2033</v>
      </c>
      <c r="J802" s="20" t="s">
        <v>2711</v>
      </c>
      <c r="K802" s="21" t="s">
        <v>2712</v>
      </c>
      <c r="L802" s="20" t="s">
        <v>32</v>
      </c>
      <c r="M802" t="str">
        <f>TEXT(A802,"dddd")</f>
        <v>Tuesday</v>
      </c>
      <c r="N802" s="35">
        <f>DATE(Table4[[#This Row],[year]],Table4[[#This Row],[month2]],Table4[[#This Row],[day]])</f>
        <v>46084</v>
      </c>
    </row>
    <row r="803" spans="1:14" ht="16" x14ac:dyDescent="0.35">
      <c r="A803" t="str">
        <f t="shared" si="24"/>
        <v>03</v>
      </c>
      <c r="B803">
        <f>_xlfn.SWITCH(Table4[[#This Row],[month]],"jan",1,"feb",2,"mar",3,"apr",4,"may",5,"jun",6,"jul",7,"aug",8,"sep",9,"oct",10,"nov",11,"dec",12,"no month")</f>
        <v>3</v>
      </c>
      <c r="C803" s="12" t="str">
        <f>LEFT('All Transactions'!$E803,3)</f>
        <v>Mar</v>
      </c>
      <c r="D803" s="12" t="str">
        <f t="shared" si="25"/>
        <v>2026</v>
      </c>
      <c r="E803" s="22" t="s">
        <v>2709</v>
      </c>
      <c r="F803" s="23" t="s">
        <v>932</v>
      </c>
      <c r="G803" s="18" t="s">
        <v>28</v>
      </c>
      <c r="H803" s="24">
        <v>60</v>
      </c>
      <c r="I803" s="25" t="s">
        <v>2713</v>
      </c>
      <c r="J803" s="25" t="s">
        <v>2714</v>
      </c>
      <c r="K803" s="26" t="s">
        <v>2715</v>
      </c>
      <c r="L803" s="25" t="s">
        <v>32</v>
      </c>
      <c r="M803" t="str">
        <f>TEXT(A803,"dddd")</f>
        <v>Tuesday</v>
      </c>
      <c r="N803" s="35">
        <f>DATE(Table4[[#This Row],[year]],Table4[[#This Row],[month2]],Table4[[#This Row],[day]])</f>
        <v>46084</v>
      </c>
    </row>
    <row r="804" spans="1:14" ht="16" x14ac:dyDescent="0.35">
      <c r="A804" t="str">
        <f t="shared" si="24"/>
        <v>03</v>
      </c>
      <c r="B804">
        <f>_xlfn.SWITCH(Table4[[#This Row],[month]],"jan",1,"feb",2,"mar",3,"apr",4,"may",5,"jun",6,"jul",7,"aug",8,"sep",9,"oct",10,"nov",11,"dec",12,"no month")</f>
        <v>3</v>
      </c>
      <c r="C804" s="12" t="str">
        <f>LEFT('All Transactions'!$E804,3)</f>
        <v>Mar</v>
      </c>
      <c r="D804" s="12" t="str">
        <f t="shared" si="25"/>
        <v>2026</v>
      </c>
      <c r="E804" s="16" t="s">
        <v>2709</v>
      </c>
      <c r="F804" s="17" t="s">
        <v>2716</v>
      </c>
      <c r="G804" s="18" t="s">
        <v>28</v>
      </c>
      <c r="H804" s="19">
        <v>4597</v>
      </c>
      <c r="I804" s="20" t="s">
        <v>84</v>
      </c>
      <c r="J804" s="20" t="s">
        <v>2717</v>
      </c>
      <c r="K804" s="21" t="s">
        <v>2718</v>
      </c>
      <c r="L804" s="20" t="s">
        <v>32</v>
      </c>
      <c r="M804" t="str">
        <f>TEXT(A804,"dddd")</f>
        <v>Tuesday</v>
      </c>
      <c r="N804" s="35">
        <f>DATE(Table4[[#This Row],[year]],Table4[[#This Row],[month2]],Table4[[#This Row],[day]])</f>
        <v>46084</v>
      </c>
    </row>
    <row r="805" spans="1:14" ht="16" x14ac:dyDescent="0.35">
      <c r="A805" t="str">
        <f t="shared" si="24"/>
        <v>03</v>
      </c>
      <c r="B805">
        <f>_xlfn.SWITCH(Table4[[#This Row],[month]],"jan",1,"feb",2,"mar",3,"apr",4,"may",5,"jun",6,"jul",7,"aug",8,"sep",9,"oct",10,"nov",11,"dec",12,"no month")</f>
        <v>3</v>
      </c>
      <c r="C805" s="12" t="str">
        <f>LEFT('All Transactions'!$E805,3)</f>
        <v>Mar</v>
      </c>
      <c r="D805" s="12" t="str">
        <f t="shared" si="25"/>
        <v>2026</v>
      </c>
      <c r="E805" s="22" t="s">
        <v>2709</v>
      </c>
      <c r="F805" s="23" t="s">
        <v>2719</v>
      </c>
      <c r="G805" s="18" t="s">
        <v>28</v>
      </c>
      <c r="H805" s="24">
        <v>20</v>
      </c>
      <c r="I805" s="25" t="s">
        <v>2720</v>
      </c>
      <c r="J805" s="25" t="s">
        <v>2721</v>
      </c>
      <c r="K805" s="26" t="s">
        <v>2722</v>
      </c>
      <c r="L805" s="25" t="s">
        <v>32</v>
      </c>
      <c r="M805" t="str">
        <f>TEXT(A805,"dddd")</f>
        <v>Tuesday</v>
      </c>
      <c r="N805" s="35">
        <f>DATE(Table4[[#This Row],[year]],Table4[[#This Row],[month2]],Table4[[#This Row],[day]])</f>
        <v>46084</v>
      </c>
    </row>
    <row r="806" spans="1:14" ht="16" x14ac:dyDescent="0.35">
      <c r="A806" t="str">
        <f t="shared" si="24"/>
        <v>03</v>
      </c>
      <c r="B806">
        <f>_xlfn.SWITCH(Table4[[#This Row],[month]],"jan",1,"feb",2,"mar",3,"apr",4,"may",5,"jun",6,"jul",7,"aug",8,"sep",9,"oct",10,"nov",11,"dec",12,"no month")</f>
        <v>3</v>
      </c>
      <c r="C806" s="12" t="str">
        <f>LEFT('All Transactions'!$E806,3)</f>
        <v>Mar</v>
      </c>
      <c r="D806" s="12" t="str">
        <f t="shared" si="25"/>
        <v>2026</v>
      </c>
      <c r="E806" s="16" t="s">
        <v>2709</v>
      </c>
      <c r="F806" s="17" t="s">
        <v>737</v>
      </c>
      <c r="G806" s="18" t="s">
        <v>28</v>
      </c>
      <c r="H806" s="19">
        <v>90</v>
      </c>
      <c r="I806" s="20" t="s">
        <v>2720</v>
      </c>
      <c r="J806" s="20" t="s">
        <v>2723</v>
      </c>
      <c r="K806" s="21" t="s">
        <v>2724</v>
      </c>
      <c r="L806" s="20" t="s">
        <v>32</v>
      </c>
      <c r="M806" t="str">
        <f>TEXT(A806,"dddd")</f>
        <v>Tuesday</v>
      </c>
      <c r="N806" s="35">
        <f>DATE(Table4[[#This Row],[year]],Table4[[#This Row],[month2]],Table4[[#This Row],[day]])</f>
        <v>46084</v>
      </c>
    </row>
    <row r="807" spans="1:14" ht="16" x14ac:dyDescent="0.35">
      <c r="A807" t="str">
        <f t="shared" si="24"/>
        <v>02</v>
      </c>
      <c r="B807">
        <f>_xlfn.SWITCH(Table4[[#This Row],[month]],"jan",1,"feb",2,"mar",3,"apr",4,"may",5,"jun",6,"jul",7,"aug",8,"sep",9,"oct",10,"nov",11,"dec",12,"no month")</f>
        <v>3</v>
      </c>
      <c r="C807" s="12" t="str">
        <f>LEFT('All Transactions'!$E807,3)</f>
        <v>Mar</v>
      </c>
      <c r="D807" s="12" t="str">
        <f t="shared" si="25"/>
        <v>2026</v>
      </c>
      <c r="E807" s="22" t="s">
        <v>2725</v>
      </c>
      <c r="F807" s="23" t="s">
        <v>865</v>
      </c>
      <c r="G807" s="27" t="s">
        <v>54</v>
      </c>
      <c r="H807" s="24">
        <v>160</v>
      </c>
      <c r="I807" s="25" t="s">
        <v>2726</v>
      </c>
      <c r="J807" s="25" t="s">
        <v>2727</v>
      </c>
      <c r="K807" s="26" t="s">
        <v>2728</v>
      </c>
      <c r="L807" s="25" t="s">
        <v>58</v>
      </c>
      <c r="M807" t="str">
        <f>TEXT(A807,"dddd")</f>
        <v>Monday</v>
      </c>
      <c r="N807" s="35">
        <f>DATE(Table4[[#This Row],[year]],Table4[[#This Row],[month2]],Table4[[#This Row],[day]])</f>
        <v>46083</v>
      </c>
    </row>
    <row r="808" spans="1:14" ht="16" x14ac:dyDescent="0.35">
      <c r="A808" t="str">
        <f t="shared" si="24"/>
        <v>02</v>
      </c>
      <c r="B808">
        <f>_xlfn.SWITCH(Table4[[#This Row],[month]],"jan",1,"feb",2,"mar",3,"apr",4,"may",5,"jun",6,"jul",7,"aug",8,"sep",9,"oct",10,"nov",11,"dec",12,"no month")</f>
        <v>3</v>
      </c>
      <c r="C808" s="12" t="str">
        <f>LEFT('All Transactions'!$E808,3)</f>
        <v>Mar</v>
      </c>
      <c r="D808" s="12" t="str">
        <f t="shared" si="25"/>
        <v>2026</v>
      </c>
      <c r="E808" s="16" t="s">
        <v>2725</v>
      </c>
      <c r="F808" s="17" t="s">
        <v>2729</v>
      </c>
      <c r="G808" s="18" t="s">
        <v>28</v>
      </c>
      <c r="H808" s="19">
        <v>120</v>
      </c>
      <c r="I808" s="20" t="s">
        <v>2730</v>
      </c>
      <c r="J808" s="20" t="s">
        <v>2731</v>
      </c>
      <c r="K808" s="21" t="s">
        <v>2732</v>
      </c>
      <c r="L808" s="20" t="s">
        <v>32</v>
      </c>
      <c r="M808" t="str">
        <f>TEXT(A808,"dddd")</f>
        <v>Monday</v>
      </c>
      <c r="N808" s="35">
        <f>DATE(Table4[[#This Row],[year]],Table4[[#This Row],[month2]],Table4[[#This Row],[day]])</f>
        <v>46083</v>
      </c>
    </row>
    <row r="809" spans="1:14" ht="16" x14ac:dyDescent="0.35">
      <c r="A809" t="str">
        <f t="shared" si="24"/>
        <v>02</v>
      </c>
      <c r="B809">
        <f>_xlfn.SWITCH(Table4[[#This Row],[month]],"jan",1,"feb",2,"mar",3,"apr",4,"may",5,"jun",6,"jul",7,"aug",8,"sep",9,"oct",10,"nov",11,"dec",12,"no month")</f>
        <v>3</v>
      </c>
      <c r="C809" s="12" t="str">
        <f>LEFT('All Transactions'!$E809,3)</f>
        <v>Mar</v>
      </c>
      <c r="D809" s="12" t="str">
        <f t="shared" si="25"/>
        <v>2026</v>
      </c>
      <c r="E809" s="22" t="s">
        <v>2725</v>
      </c>
      <c r="F809" s="23" t="s">
        <v>2733</v>
      </c>
      <c r="G809" s="27" t="s">
        <v>54</v>
      </c>
      <c r="H809" s="24">
        <v>90</v>
      </c>
      <c r="I809" s="25" t="s">
        <v>156</v>
      </c>
      <c r="J809" s="25" t="s">
        <v>2734</v>
      </c>
      <c r="K809" s="26" t="s">
        <v>2735</v>
      </c>
      <c r="L809" s="25" t="s">
        <v>58</v>
      </c>
      <c r="M809" t="str">
        <f>TEXT(A809,"dddd")</f>
        <v>Monday</v>
      </c>
      <c r="N809" s="35">
        <f>DATE(Table4[[#This Row],[year]],Table4[[#This Row],[month2]],Table4[[#This Row],[day]])</f>
        <v>46083</v>
      </c>
    </row>
    <row r="810" spans="1:14" ht="16" x14ac:dyDescent="0.35">
      <c r="A810" t="str">
        <f t="shared" si="24"/>
        <v>02</v>
      </c>
      <c r="B810">
        <f>_xlfn.SWITCH(Table4[[#This Row],[month]],"jan",1,"feb",2,"mar",3,"apr",4,"may",5,"jun",6,"jul",7,"aug",8,"sep",9,"oct",10,"nov",11,"dec",12,"no month")</f>
        <v>3</v>
      </c>
      <c r="C810" s="12" t="str">
        <f>LEFT('All Transactions'!$E810,3)</f>
        <v>Mar</v>
      </c>
      <c r="D810" s="12" t="str">
        <f t="shared" si="25"/>
        <v>2026</v>
      </c>
      <c r="E810" s="16" t="s">
        <v>2725</v>
      </c>
      <c r="F810" s="17" t="s">
        <v>2610</v>
      </c>
      <c r="G810" s="18" t="s">
        <v>28</v>
      </c>
      <c r="H810" s="19">
        <v>83</v>
      </c>
      <c r="I810" s="20" t="s">
        <v>2736</v>
      </c>
      <c r="J810" s="20" t="s">
        <v>2737</v>
      </c>
      <c r="K810" s="21" t="s">
        <v>2738</v>
      </c>
      <c r="L810" s="20" t="s">
        <v>32</v>
      </c>
      <c r="M810" t="str">
        <f>TEXT(A810,"dddd")</f>
        <v>Monday</v>
      </c>
      <c r="N810" s="35">
        <f>DATE(Table4[[#This Row],[year]],Table4[[#This Row],[month2]],Table4[[#This Row],[day]])</f>
        <v>46083</v>
      </c>
    </row>
    <row r="811" spans="1:14" ht="16" x14ac:dyDescent="0.35">
      <c r="A811" t="str">
        <f t="shared" si="24"/>
        <v>02</v>
      </c>
      <c r="B811">
        <f>_xlfn.SWITCH(Table4[[#This Row],[month]],"jan",1,"feb",2,"mar",3,"apr",4,"may",5,"jun",6,"jul",7,"aug",8,"sep",9,"oct",10,"nov",11,"dec",12,"no month")</f>
        <v>3</v>
      </c>
      <c r="C811" s="12" t="str">
        <f>LEFT('All Transactions'!$E811,3)</f>
        <v>Mar</v>
      </c>
      <c r="D811" s="12" t="str">
        <f t="shared" si="25"/>
        <v>2026</v>
      </c>
      <c r="E811" s="22" t="s">
        <v>2725</v>
      </c>
      <c r="F811" s="23" t="s">
        <v>2739</v>
      </c>
      <c r="G811" s="18" t="s">
        <v>28</v>
      </c>
      <c r="H811" s="24">
        <v>100</v>
      </c>
      <c r="I811" s="25" t="s">
        <v>2033</v>
      </c>
      <c r="J811" s="25" t="s">
        <v>2740</v>
      </c>
      <c r="K811" s="26" t="s">
        <v>2741</v>
      </c>
      <c r="L811" s="25" t="s">
        <v>32</v>
      </c>
      <c r="M811" t="str">
        <f>TEXT(A811,"dddd")</f>
        <v>Monday</v>
      </c>
      <c r="N811" s="35">
        <f>DATE(Table4[[#This Row],[year]],Table4[[#This Row],[month2]],Table4[[#This Row],[day]])</f>
        <v>46083</v>
      </c>
    </row>
    <row r="812" spans="1:14" ht="16" x14ac:dyDescent="0.35">
      <c r="A812" t="str">
        <f t="shared" si="24"/>
        <v>02</v>
      </c>
      <c r="B812">
        <f>_xlfn.SWITCH(Table4[[#This Row],[month]],"jan",1,"feb",2,"mar",3,"apr",4,"may",5,"jun",6,"jul",7,"aug",8,"sep",9,"oct",10,"nov",11,"dec",12,"no month")</f>
        <v>3</v>
      </c>
      <c r="C812" s="12" t="str">
        <f>LEFT('All Transactions'!$E812,3)</f>
        <v>Mar</v>
      </c>
      <c r="D812" s="12" t="str">
        <f t="shared" si="25"/>
        <v>2026</v>
      </c>
      <c r="E812" s="16" t="s">
        <v>2725</v>
      </c>
      <c r="F812" s="17" t="s">
        <v>2742</v>
      </c>
      <c r="G812" s="27" t="s">
        <v>54</v>
      </c>
      <c r="H812" s="19">
        <v>3800</v>
      </c>
      <c r="I812" s="20" t="s">
        <v>143</v>
      </c>
      <c r="J812" s="20" t="s">
        <v>2743</v>
      </c>
      <c r="K812" s="21" t="s">
        <v>2744</v>
      </c>
      <c r="L812" s="20" t="s">
        <v>58</v>
      </c>
      <c r="M812" t="str">
        <f>TEXT(A812,"dddd")</f>
        <v>Monday</v>
      </c>
      <c r="N812" s="35">
        <f>DATE(Table4[[#This Row],[year]],Table4[[#This Row],[month2]],Table4[[#This Row],[day]])</f>
        <v>46083</v>
      </c>
    </row>
    <row r="813" spans="1:14" ht="16" x14ac:dyDescent="0.35">
      <c r="A813" t="str">
        <f t="shared" si="24"/>
        <v>02</v>
      </c>
      <c r="B813">
        <f>_xlfn.SWITCH(Table4[[#This Row],[month]],"jan",1,"feb",2,"mar",3,"apr",4,"may",5,"jun",6,"jul",7,"aug",8,"sep",9,"oct",10,"nov",11,"dec",12,"no month")</f>
        <v>3</v>
      </c>
      <c r="C813" s="12" t="str">
        <f>LEFT('All Transactions'!$E813,3)</f>
        <v>Mar</v>
      </c>
      <c r="D813" s="12" t="str">
        <f t="shared" si="25"/>
        <v>2026</v>
      </c>
      <c r="E813" s="22" t="s">
        <v>2725</v>
      </c>
      <c r="F813" s="23" t="s">
        <v>2745</v>
      </c>
      <c r="G813" s="18" t="s">
        <v>28</v>
      </c>
      <c r="H813" s="24">
        <v>20</v>
      </c>
      <c r="I813" s="25" t="s">
        <v>2746</v>
      </c>
      <c r="J813" s="25" t="s">
        <v>2747</v>
      </c>
      <c r="K813" s="26" t="s">
        <v>2748</v>
      </c>
      <c r="L813" s="25" t="s">
        <v>32</v>
      </c>
      <c r="M813" t="str">
        <f>TEXT(A813,"dddd")</f>
        <v>Monday</v>
      </c>
      <c r="N813" s="35">
        <f>DATE(Table4[[#This Row],[year]],Table4[[#This Row],[month2]],Table4[[#This Row],[day]])</f>
        <v>46083</v>
      </c>
    </row>
    <row r="814" spans="1:14" ht="16" x14ac:dyDescent="0.35">
      <c r="A814" t="str">
        <f t="shared" si="24"/>
        <v>02</v>
      </c>
      <c r="B814">
        <f>_xlfn.SWITCH(Table4[[#This Row],[month]],"jan",1,"feb",2,"mar",3,"apr",4,"may",5,"jun",6,"jul",7,"aug",8,"sep",9,"oct",10,"nov",11,"dec",12,"no month")</f>
        <v>3</v>
      </c>
      <c r="C814" s="12" t="str">
        <f>LEFT('All Transactions'!$E814,3)</f>
        <v>Mar</v>
      </c>
      <c r="D814" s="12" t="str">
        <f t="shared" si="25"/>
        <v>2026</v>
      </c>
      <c r="E814" s="16" t="s">
        <v>2725</v>
      </c>
      <c r="F814" s="17" t="s">
        <v>2749</v>
      </c>
      <c r="G814" s="18" t="s">
        <v>28</v>
      </c>
      <c r="H814" s="19">
        <v>140</v>
      </c>
      <c r="I814" s="20" t="s">
        <v>2750</v>
      </c>
      <c r="J814" s="20" t="s">
        <v>2751</v>
      </c>
      <c r="K814" s="21" t="s">
        <v>2752</v>
      </c>
      <c r="L814" s="20" t="s">
        <v>32</v>
      </c>
      <c r="M814" t="str">
        <f>TEXT(A814,"dddd")</f>
        <v>Monday</v>
      </c>
      <c r="N814" s="35">
        <f>DATE(Table4[[#This Row],[year]],Table4[[#This Row],[month2]],Table4[[#This Row],[day]])</f>
        <v>46083</v>
      </c>
    </row>
    <row r="815" spans="1:14" ht="16" x14ac:dyDescent="0.35">
      <c r="A815" t="str">
        <f t="shared" si="24"/>
        <v>02</v>
      </c>
      <c r="B815">
        <f>_xlfn.SWITCH(Table4[[#This Row],[month]],"jan",1,"feb",2,"mar",3,"apr",4,"may",5,"jun",6,"jul",7,"aug",8,"sep",9,"oct",10,"nov",11,"dec",12,"no month")</f>
        <v>3</v>
      </c>
      <c r="C815" s="12" t="str">
        <f>LEFT('All Transactions'!$E815,3)</f>
        <v>Mar</v>
      </c>
      <c r="D815" s="12" t="str">
        <f t="shared" si="25"/>
        <v>2026</v>
      </c>
      <c r="E815" s="22" t="s">
        <v>2725</v>
      </c>
      <c r="F815" s="23" t="s">
        <v>2445</v>
      </c>
      <c r="G815" s="18" t="s">
        <v>28</v>
      </c>
      <c r="H815" s="24">
        <v>35</v>
      </c>
      <c r="I815" s="25" t="s">
        <v>2753</v>
      </c>
      <c r="J815" s="25" t="s">
        <v>2754</v>
      </c>
      <c r="K815" s="26" t="s">
        <v>2755</v>
      </c>
      <c r="L815" s="25" t="s">
        <v>32</v>
      </c>
      <c r="M815" t="str">
        <f>TEXT(A815,"dddd")</f>
        <v>Monday</v>
      </c>
      <c r="N815" s="35">
        <f>DATE(Table4[[#This Row],[year]],Table4[[#This Row],[month2]],Table4[[#This Row],[day]])</f>
        <v>46083</v>
      </c>
    </row>
    <row r="816" spans="1:14" ht="16" x14ac:dyDescent="0.35">
      <c r="A816" t="str">
        <f t="shared" si="24"/>
        <v>02</v>
      </c>
      <c r="B816">
        <f>_xlfn.SWITCH(Table4[[#This Row],[month]],"jan",1,"feb",2,"mar",3,"apr",4,"may",5,"jun",6,"jul",7,"aug",8,"sep",9,"oct",10,"nov",11,"dec",12,"no month")</f>
        <v>3</v>
      </c>
      <c r="C816" s="12" t="str">
        <f>LEFT('All Transactions'!$E816,3)</f>
        <v>Mar</v>
      </c>
      <c r="D816" s="12" t="str">
        <f t="shared" si="25"/>
        <v>2026</v>
      </c>
      <c r="E816" s="16" t="s">
        <v>2725</v>
      </c>
      <c r="F816" s="17" t="s">
        <v>2756</v>
      </c>
      <c r="G816" s="27" t="s">
        <v>54</v>
      </c>
      <c r="H816" s="19">
        <v>140</v>
      </c>
      <c r="I816" s="20" t="s">
        <v>1775</v>
      </c>
      <c r="J816" s="20" t="s">
        <v>2757</v>
      </c>
      <c r="K816" s="21" t="s">
        <v>2758</v>
      </c>
      <c r="L816" s="20" t="s">
        <v>58</v>
      </c>
      <c r="M816" t="str">
        <f>TEXT(A816,"dddd")</f>
        <v>Monday</v>
      </c>
      <c r="N816" s="35">
        <f>DATE(Table4[[#This Row],[year]],Table4[[#This Row],[month2]],Table4[[#This Row],[day]])</f>
        <v>46083</v>
      </c>
    </row>
    <row r="817" spans="1:14" ht="16" x14ac:dyDescent="0.35">
      <c r="A817" t="str">
        <f t="shared" si="24"/>
        <v>01</v>
      </c>
      <c r="B817">
        <f>_xlfn.SWITCH(Table4[[#This Row],[month]],"jan",1,"feb",2,"mar",3,"apr",4,"may",5,"jun",6,"jul",7,"aug",8,"sep",9,"oct",10,"nov",11,"dec",12,"no month")</f>
        <v>3</v>
      </c>
      <c r="C817" s="12" t="str">
        <f>LEFT('All Transactions'!$E817,3)</f>
        <v>Mar</v>
      </c>
      <c r="D817" s="12" t="str">
        <f t="shared" si="25"/>
        <v>2026</v>
      </c>
      <c r="E817" s="22" t="s">
        <v>2759</v>
      </c>
      <c r="F817" s="23" t="s">
        <v>220</v>
      </c>
      <c r="G817" s="18" t="s">
        <v>28</v>
      </c>
      <c r="H817" s="24">
        <v>20</v>
      </c>
      <c r="I817" s="25" t="s">
        <v>2033</v>
      </c>
      <c r="J817" s="25" t="s">
        <v>2760</v>
      </c>
      <c r="K817" s="26" t="s">
        <v>2761</v>
      </c>
      <c r="L817" s="25" t="s">
        <v>32</v>
      </c>
      <c r="M817" t="str">
        <f>TEXT(A817,"dddd")</f>
        <v>Sunday</v>
      </c>
      <c r="N817" s="35">
        <f>DATE(Table4[[#This Row],[year]],Table4[[#This Row],[month2]],Table4[[#This Row],[day]])</f>
        <v>46082</v>
      </c>
    </row>
    <row r="818" spans="1:14" ht="16" x14ac:dyDescent="0.35">
      <c r="A818" t="str">
        <f t="shared" si="24"/>
        <v>01</v>
      </c>
      <c r="B818">
        <f>_xlfn.SWITCH(Table4[[#This Row],[month]],"jan",1,"feb",2,"mar",3,"apr",4,"may",5,"jun",6,"jul",7,"aug",8,"sep",9,"oct",10,"nov",11,"dec",12,"no month")</f>
        <v>3</v>
      </c>
      <c r="C818" s="12" t="str">
        <f>LEFT('All Transactions'!$E818,3)</f>
        <v>Mar</v>
      </c>
      <c r="D818" s="12" t="str">
        <f t="shared" si="25"/>
        <v>2026</v>
      </c>
      <c r="E818" s="16" t="s">
        <v>2759</v>
      </c>
      <c r="F818" s="17" t="s">
        <v>305</v>
      </c>
      <c r="G818" s="18" t="s">
        <v>28</v>
      </c>
      <c r="H818" s="19">
        <v>8000</v>
      </c>
      <c r="I818" s="20" t="s">
        <v>167</v>
      </c>
      <c r="J818" s="20" t="s">
        <v>2762</v>
      </c>
      <c r="K818" s="21" t="s">
        <v>2763</v>
      </c>
      <c r="L818" s="20" t="s">
        <v>32</v>
      </c>
      <c r="M818" t="str">
        <f>TEXT(A818,"dddd")</f>
        <v>Sunday</v>
      </c>
      <c r="N818" s="35">
        <f>DATE(Table4[[#This Row],[year]],Table4[[#This Row],[month2]],Table4[[#This Row],[day]])</f>
        <v>46082</v>
      </c>
    </row>
    <row r="819" spans="1:14" ht="16" x14ac:dyDescent="0.35">
      <c r="A819" t="str">
        <f t="shared" si="24"/>
        <v>01</v>
      </c>
      <c r="B819">
        <f>_xlfn.SWITCH(Table4[[#This Row],[month]],"jan",1,"feb",2,"mar",3,"apr",4,"may",5,"jun",6,"jul",7,"aug",8,"sep",9,"oct",10,"nov",11,"dec",12,"no month")</f>
        <v>3</v>
      </c>
      <c r="C819" s="12" t="str">
        <f>LEFT('All Transactions'!$E819,3)</f>
        <v>Mar</v>
      </c>
      <c r="D819" s="12" t="str">
        <f t="shared" si="25"/>
        <v>2026</v>
      </c>
      <c r="E819" s="22" t="s">
        <v>2759</v>
      </c>
      <c r="F819" s="23" t="s">
        <v>2764</v>
      </c>
      <c r="G819" s="27" t="s">
        <v>54</v>
      </c>
      <c r="H819" s="24">
        <v>8000</v>
      </c>
      <c r="I819" s="25" t="s">
        <v>2765</v>
      </c>
      <c r="J819" s="25" t="s">
        <v>2766</v>
      </c>
      <c r="K819" s="26" t="s">
        <v>2767</v>
      </c>
      <c r="L819" s="25" t="s">
        <v>58</v>
      </c>
      <c r="M819" t="str">
        <f>TEXT(A819,"dddd")</f>
        <v>Sunday</v>
      </c>
      <c r="N819" s="35">
        <f>DATE(Table4[[#This Row],[year]],Table4[[#This Row],[month2]],Table4[[#This Row],[day]])</f>
        <v>46082</v>
      </c>
    </row>
    <row r="820" spans="1:14" ht="16" x14ac:dyDescent="0.35">
      <c r="A820" t="str">
        <f t="shared" si="24"/>
        <v>01</v>
      </c>
      <c r="B820">
        <f>_xlfn.SWITCH(Table4[[#This Row],[month]],"jan",1,"feb",2,"mar",3,"apr",4,"may",5,"jun",6,"jul",7,"aug",8,"sep",9,"oct",10,"nov",11,"dec",12,"no month")</f>
        <v>3</v>
      </c>
      <c r="C820" s="12" t="str">
        <f>LEFT('All Transactions'!$E820,3)</f>
        <v>Mar</v>
      </c>
      <c r="D820" s="12" t="str">
        <f t="shared" si="25"/>
        <v>2026</v>
      </c>
      <c r="E820" s="16" t="s">
        <v>2759</v>
      </c>
      <c r="F820" s="17" t="s">
        <v>2768</v>
      </c>
      <c r="G820" s="18" t="s">
        <v>28</v>
      </c>
      <c r="H820" s="19">
        <v>150</v>
      </c>
      <c r="I820" s="20" t="s">
        <v>2033</v>
      </c>
      <c r="J820" s="20" t="s">
        <v>2769</v>
      </c>
      <c r="K820" s="21" t="s">
        <v>2770</v>
      </c>
      <c r="L820" s="20" t="s">
        <v>32</v>
      </c>
      <c r="M820" t="str">
        <f>TEXT(A820,"dddd")</f>
        <v>Sunday</v>
      </c>
      <c r="N820" s="35">
        <f>DATE(Table4[[#This Row],[year]],Table4[[#This Row],[month2]],Table4[[#This Row],[day]])</f>
        <v>46082</v>
      </c>
    </row>
    <row r="821" spans="1:14" ht="16" x14ac:dyDescent="0.35">
      <c r="A821" t="str">
        <f t="shared" si="24"/>
        <v>01</v>
      </c>
      <c r="B821">
        <f>_xlfn.SWITCH(Table4[[#This Row],[month]],"jan",1,"feb",2,"mar",3,"apr",4,"may",5,"jun",6,"jul",7,"aug",8,"sep",9,"oct",10,"nov",11,"dec",12,"no month")</f>
        <v>3</v>
      </c>
      <c r="C821" s="12" t="str">
        <f>LEFT('All Transactions'!$E821,3)</f>
        <v>Mar</v>
      </c>
      <c r="D821" s="12" t="str">
        <f t="shared" si="25"/>
        <v>2026</v>
      </c>
      <c r="E821" s="22" t="s">
        <v>2759</v>
      </c>
      <c r="F821" s="23" t="s">
        <v>2579</v>
      </c>
      <c r="G821" s="18" t="s">
        <v>28</v>
      </c>
      <c r="H821" s="24">
        <v>30</v>
      </c>
      <c r="I821" s="25" t="s">
        <v>2771</v>
      </c>
      <c r="J821" s="25" t="s">
        <v>2772</v>
      </c>
      <c r="K821" s="26" t="s">
        <v>2773</v>
      </c>
      <c r="L821" s="25" t="s">
        <v>32</v>
      </c>
      <c r="M821" t="str">
        <f>TEXT(A821,"dddd")</f>
        <v>Sunday</v>
      </c>
      <c r="N821" s="35">
        <f>DATE(Table4[[#This Row],[year]],Table4[[#This Row],[month2]],Table4[[#This Row],[day]])</f>
        <v>46082</v>
      </c>
    </row>
    <row r="822" spans="1:14" ht="16" x14ac:dyDescent="0.35">
      <c r="A822" t="str">
        <f t="shared" si="24"/>
        <v>01</v>
      </c>
      <c r="B822">
        <f>_xlfn.SWITCH(Table4[[#This Row],[month]],"jan",1,"feb",2,"mar",3,"apr",4,"may",5,"jun",6,"jul",7,"aug",8,"sep",9,"oct",10,"nov",11,"dec",12,"no month")</f>
        <v>3</v>
      </c>
      <c r="C822" s="12" t="str">
        <f>LEFT('All Transactions'!$E822,3)</f>
        <v>Mar</v>
      </c>
      <c r="D822" s="12" t="str">
        <f t="shared" si="25"/>
        <v>2026</v>
      </c>
      <c r="E822" s="16" t="s">
        <v>2759</v>
      </c>
      <c r="F822" s="17" t="s">
        <v>2774</v>
      </c>
      <c r="G822" s="27" t="s">
        <v>54</v>
      </c>
      <c r="H822" s="19">
        <v>5000</v>
      </c>
      <c r="I822" s="20" t="s">
        <v>143</v>
      </c>
      <c r="J822" s="20" t="s">
        <v>2775</v>
      </c>
      <c r="K822" s="21" t="s">
        <v>2776</v>
      </c>
      <c r="L822" s="20" t="s">
        <v>58</v>
      </c>
      <c r="M822" t="str">
        <f>TEXT(A822,"dddd")</f>
        <v>Sunday</v>
      </c>
      <c r="N822" s="35">
        <f>DATE(Table4[[#This Row],[year]],Table4[[#This Row],[month2]],Table4[[#This Row],[day]])</f>
        <v>46082</v>
      </c>
    </row>
    <row r="823" spans="1:14" ht="16" x14ac:dyDescent="0.35">
      <c r="A823" t="str">
        <f t="shared" si="24"/>
        <v>01</v>
      </c>
      <c r="B823">
        <f>_xlfn.SWITCH(Table4[[#This Row],[month]],"jan",1,"feb",2,"mar",3,"apr",4,"may",5,"jun",6,"jul",7,"aug",8,"sep",9,"oct",10,"nov",11,"dec",12,"no month")</f>
        <v>3</v>
      </c>
      <c r="C823" s="12" t="str">
        <f>LEFT('All Transactions'!$E823,3)</f>
        <v>Mar</v>
      </c>
      <c r="D823" s="12" t="str">
        <f t="shared" si="25"/>
        <v>2026</v>
      </c>
      <c r="E823" s="22" t="s">
        <v>2759</v>
      </c>
      <c r="F823" s="23" t="s">
        <v>2777</v>
      </c>
      <c r="G823" s="18" t="s">
        <v>28</v>
      </c>
      <c r="H823" s="24">
        <v>50</v>
      </c>
      <c r="I823" s="25" t="s">
        <v>2778</v>
      </c>
      <c r="J823" s="25" t="s">
        <v>2779</v>
      </c>
      <c r="K823" s="26" t="s">
        <v>2780</v>
      </c>
      <c r="L823" s="25" t="s">
        <v>32</v>
      </c>
      <c r="M823" t="str">
        <f>TEXT(A823,"dddd")</f>
        <v>Sunday</v>
      </c>
      <c r="N823" s="35">
        <f>DATE(Table4[[#This Row],[year]],Table4[[#This Row],[month2]],Table4[[#This Row],[day]])</f>
        <v>46082</v>
      </c>
    </row>
    <row r="824" spans="1:14" ht="16" x14ac:dyDescent="0.35">
      <c r="A824" t="str">
        <f t="shared" si="24"/>
        <v>28</v>
      </c>
      <c r="B824">
        <f>_xlfn.SWITCH(Table4[[#This Row],[month]],"jan",1,"feb",2,"mar",3,"apr",4,"may",5,"jun",6,"jul",7,"aug",8,"sep",9,"oct",10,"nov",11,"dec",12,"no month")</f>
        <v>2</v>
      </c>
      <c r="C824" s="12" t="str">
        <f>LEFT('All Transactions'!$E824,3)</f>
        <v>Feb</v>
      </c>
      <c r="D824" s="12" t="str">
        <f t="shared" si="25"/>
        <v>2026</v>
      </c>
      <c r="E824" s="16" t="s">
        <v>2781</v>
      </c>
      <c r="F824" s="17" t="s">
        <v>2376</v>
      </c>
      <c r="G824" s="18" t="s">
        <v>28</v>
      </c>
      <c r="H824" s="19">
        <v>140</v>
      </c>
      <c r="I824" s="20" t="s">
        <v>2782</v>
      </c>
      <c r="J824" s="20" t="s">
        <v>2783</v>
      </c>
      <c r="K824" s="21" t="s">
        <v>2784</v>
      </c>
      <c r="L824" s="20" t="s">
        <v>32</v>
      </c>
      <c r="M824" t="str">
        <f>TEXT(A824,"dddd")</f>
        <v>Saturday</v>
      </c>
      <c r="N824" s="35">
        <f>DATE(Table4[[#This Row],[year]],Table4[[#This Row],[month2]],Table4[[#This Row],[day]])</f>
        <v>46081</v>
      </c>
    </row>
    <row r="825" spans="1:14" ht="16" x14ac:dyDescent="0.35">
      <c r="A825" t="str">
        <f t="shared" si="24"/>
        <v>28</v>
      </c>
      <c r="B825">
        <f>_xlfn.SWITCH(Table4[[#This Row],[month]],"jan",1,"feb",2,"mar",3,"apr",4,"may",5,"jun",6,"jul",7,"aug",8,"sep",9,"oct",10,"nov",11,"dec",12,"no month")</f>
        <v>2</v>
      </c>
      <c r="C825" s="12" t="str">
        <f>LEFT('All Transactions'!$E825,3)</f>
        <v>Feb</v>
      </c>
      <c r="D825" s="12" t="str">
        <f t="shared" si="25"/>
        <v>2026</v>
      </c>
      <c r="E825" s="22" t="s">
        <v>2781</v>
      </c>
      <c r="F825" s="23" t="s">
        <v>2785</v>
      </c>
      <c r="G825" s="18" t="s">
        <v>28</v>
      </c>
      <c r="H825" s="24">
        <v>20</v>
      </c>
      <c r="I825" s="25" t="s">
        <v>2786</v>
      </c>
      <c r="J825" s="25" t="s">
        <v>2787</v>
      </c>
      <c r="K825" s="26" t="s">
        <v>2788</v>
      </c>
      <c r="L825" s="25" t="s">
        <v>32</v>
      </c>
      <c r="M825" t="str">
        <f>TEXT(A825,"dddd")</f>
        <v>Saturday</v>
      </c>
      <c r="N825" s="35">
        <f>DATE(Table4[[#This Row],[year]],Table4[[#This Row],[month2]],Table4[[#This Row],[day]])</f>
        <v>46081</v>
      </c>
    </row>
    <row r="826" spans="1:14" ht="16" x14ac:dyDescent="0.35">
      <c r="A826" t="str">
        <f t="shared" si="24"/>
        <v>28</v>
      </c>
      <c r="B826">
        <f>_xlfn.SWITCH(Table4[[#This Row],[month]],"jan",1,"feb",2,"mar",3,"apr",4,"may",5,"jun",6,"jul",7,"aug",8,"sep",9,"oct",10,"nov",11,"dec",12,"no month")</f>
        <v>2</v>
      </c>
      <c r="C826" s="12" t="str">
        <f>LEFT('All Transactions'!$E826,3)</f>
        <v>Feb</v>
      </c>
      <c r="D826" s="12" t="str">
        <f t="shared" si="25"/>
        <v>2026</v>
      </c>
      <c r="E826" s="16" t="s">
        <v>2781</v>
      </c>
      <c r="F826" s="17" t="s">
        <v>162</v>
      </c>
      <c r="G826" s="18" t="s">
        <v>28</v>
      </c>
      <c r="H826" s="19">
        <v>100</v>
      </c>
      <c r="I826" s="20" t="s">
        <v>12</v>
      </c>
      <c r="J826" s="20" t="s">
        <v>2789</v>
      </c>
      <c r="K826" s="21" t="s">
        <v>2790</v>
      </c>
      <c r="L826" s="20" t="s">
        <v>32</v>
      </c>
      <c r="M826" t="str">
        <f>TEXT(A826,"dddd")</f>
        <v>Saturday</v>
      </c>
      <c r="N826" s="35">
        <f>DATE(Table4[[#This Row],[year]],Table4[[#This Row],[month2]],Table4[[#This Row],[day]])</f>
        <v>46081</v>
      </c>
    </row>
    <row r="827" spans="1:14" ht="16" x14ac:dyDescent="0.35">
      <c r="A827" t="str">
        <f t="shared" si="24"/>
        <v>28</v>
      </c>
      <c r="B827">
        <f>_xlfn.SWITCH(Table4[[#This Row],[month]],"jan",1,"feb",2,"mar",3,"apr",4,"may",5,"jun",6,"jul",7,"aug",8,"sep",9,"oct",10,"nov",11,"dec",12,"no month")</f>
        <v>2</v>
      </c>
      <c r="C827" s="12" t="str">
        <f>LEFT('All Transactions'!$E827,3)</f>
        <v>Feb</v>
      </c>
      <c r="D827" s="12" t="str">
        <f t="shared" si="25"/>
        <v>2026</v>
      </c>
      <c r="E827" s="22" t="s">
        <v>2781</v>
      </c>
      <c r="F827" s="23" t="s">
        <v>2275</v>
      </c>
      <c r="G827" s="18" t="s">
        <v>28</v>
      </c>
      <c r="H827" s="24">
        <v>212</v>
      </c>
      <c r="I827" s="25" t="s">
        <v>167</v>
      </c>
      <c r="J827" s="25" t="s">
        <v>2791</v>
      </c>
      <c r="K827" s="26" t="s">
        <v>2792</v>
      </c>
      <c r="L827" s="25" t="s">
        <v>32</v>
      </c>
      <c r="M827" t="str">
        <f>TEXT(A827,"dddd")</f>
        <v>Saturday</v>
      </c>
      <c r="N827" s="35">
        <f>DATE(Table4[[#This Row],[year]],Table4[[#This Row],[month2]],Table4[[#This Row],[day]])</f>
        <v>46081</v>
      </c>
    </row>
    <row r="828" spans="1:14" ht="16" x14ac:dyDescent="0.35">
      <c r="A828" t="str">
        <f t="shared" si="24"/>
        <v>28</v>
      </c>
      <c r="B828">
        <f>_xlfn.SWITCH(Table4[[#This Row],[month]],"jan",1,"feb",2,"mar",3,"apr",4,"may",5,"jun",6,"jul",7,"aug",8,"sep",9,"oct",10,"nov",11,"dec",12,"no month")</f>
        <v>2</v>
      </c>
      <c r="C828" s="12" t="str">
        <f>LEFT('All Transactions'!$E828,3)</f>
        <v>Feb</v>
      </c>
      <c r="D828" s="12" t="str">
        <f t="shared" si="25"/>
        <v>2026</v>
      </c>
      <c r="E828" s="16" t="s">
        <v>2781</v>
      </c>
      <c r="F828" s="17" t="s">
        <v>2793</v>
      </c>
      <c r="G828" s="18" t="s">
        <v>28</v>
      </c>
      <c r="H828" s="19">
        <v>95.59</v>
      </c>
      <c r="I828" s="20" t="s">
        <v>336</v>
      </c>
      <c r="J828" s="20" t="s">
        <v>2794</v>
      </c>
      <c r="K828" s="21" t="s">
        <v>2795</v>
      </c>
      <c r="L828" s="20" t="s">
        <v>32</v>
      </c>
      <c r="M828" t="str">
        <f>TEXT(A828,"dddd")</f>
        <v>Saturday</v>
      </c>
      <c r="N828" s="35">
        <f>DATE(Table4[[#This Row],[year]],Table4[[#This Row],[month2]],Table4[[#This Row],[day]])</f>
        <v>46081</v>
      </c>
    </row>
    <row r="829" spans="1:14" ht="16" x14ac:dyDescent="0.35">
      <c r="A829" t="str">
        <f t="shared" si="24"/>
        <v>28</v>
      </c>
      <c r="B829">
        <f>_xlfn.SWITCH(Table4[[#This Row],[month]],"jan",1,"feb",2,"mar",3,"apr",4,"may",5,"jun",6,"jul",7,"aug",8,"sep",9,"oct",10,"nov",11,"dec",12,"no month")</f>
        <v>2</v>
      </c>
      <c r="C829" s="12" t="str">
        <f>LEFT('All Transactions'!$E829,3)</f>
        <v>Feb</v>
      </c>
      <c r="D829" s="12" t="str">
        <f t="shared" si="25"/>
        <v>2026</v>
      </c>
      <c r="E829" s="22" t="s">
        <v>2781</v>
      </c>
      <c r="F829" s="23" t="s">
        <v>2796</v>
      </c>
      <c r="G829" s="18" t="s">
        <v>28</v>
      </c>
      <c r="H829" s="24">
        <v>25</v>
      </c>
      <c r="I829" s="25" t="s">
        <v>2778</v>
      </c>
      <c r="J829" s="25" t="s">
        <v>2797</v>
      </c>
      <c r="K829" s="26" t="s">
        <v>2798</v>
      </c>
      <c r="L829" s="25" t="s">
        <v>32</v>
      </c>
      <c r="M829" t="str">
        <f>TEXT(A829,"dddd")</f>
        <v>Saturday</v>
      </c>
      <c r="N829" s="35">
        <f>DATE(Table4[[#This Row],[year]],Table4[[#This Row],[month2]],Table4[[#This Row],[day]])</f>
        <v>46081</v>
      </c>
    </row>
    <row r="830" spans="1:14" ht="16" x14ac:dyDescent="0.35">
      <c r="A830" t="str">
        <f t="shared" si="24"/>
        <v>28</v>
      </c>
      <c r="B830">
        <f>_xlfn.SWITCH(Table4[[#This Row],[month]],"jan",1,"feb",2,"mar",3,"apr",4,"may",5,"jun",6,"jul",7,"aug",8,"sep",9,"oct",10,"nov",11,"dec",12,"no month")</f>
        <v>2</v>
      </c>
      <c r="C830" s="12" t="str">
        <f>LEFT('All Transactions'!$E830,3)</f>
        <v>Feb</v>
      </c>
      <c r="D830" s="12" t="str">
        <f t="shared" si="25"/>
        <v>2026</v>
      </c>
      <c r="E830" s="16" t="s">
        <v>2781</v>
      </c>
      <c r="F830" s="17" t="s">
        <v>2799</v>
      </c>
      <c r="G830" s="18" t="s">
        <v>28</v>
      </c>
      <c r="H830" s="19">
        <v>25</v>
      </c>
      <c r="I830" s="20" t="s">
        <v>2778</v>
      </c>
      <c r="J830" s="20" t="s">
        <v>2800</v>
      </c>
      <c r="K830" s="21" t="s">
        <v>2801</v>
      </c>
      <c r="L830" s="20" t="s">
        <v>32</v>
      </c>
      <c r="M830" t="str">
        <f>TEXT(A830,"dddd")</f>
        <v>Saturday</v>
      </c>
      <c r="N830" s="35">
        <f>DATE(Table4[[#This Row],[year]],Table4[[#This Row],[month2]],Table4[[#This Row],[day]])</f>
        <v>46081</v>
      </c>
    </row>
    <row r="831" spans="1:14" ht="16" x14ac:dyDescent="0.35">
      <c r="A831" t="str">
        <f t="shared" si="24"/>
        <v>28</v>
      </c>
      <c r="B831">
        <f>_xlfn.SWITCH(Table4[[#This Row],[month]],"jan",1,"feb",2,"mar",3,"apr",4,"may",5,"jun",6,"jul",7,"aug",8,"sep",9,"oct",10,"nov",11,"dec",12,"no month")</f>
        <v>2</v>
      </c>
      <c r="C831" s="12" t="str">
        <f>LEFT('All Transactions'!$E831,3)</f>
        <v>Feb</v>
      </c>
      <c r="D831" s="12" t="str">
        <f t="shared" si="25"/>
        <v>2026</v>
      </c>
      <c r="E831" s="22" t="s">
        <v>2781</v>
      </c>
      <c r="F831" s="23" t="s">
        <v>2802</v>
      </c>
      <c r="G831" s="18" t="s">
        <v>28</v>
      </c>
      <c r="H831" s="24">
        <v>75</v>
      </c>
      <c r="I831" s="25" t="s">
        <v>2778</v>
      </c>
      <c r="J831" s="25" t="s">
        <v>2803</v>
      </c>
      <c r="K831" s="26" t="s">
        <v>2804</v>
      </c>
      <c r="L831" s="25" t="s">
        <v>32</v>
      </c>
      <c r="M831" t="str">
        <f>TEXT(A831,"dddd")</f>
        <v>Saturday</v>
      </c>
      <c r="N831" s="35">
        <f>DATE(Table4[[#This Row],[year]],Table4[[#This Row],[month2]],Table4[[#This Row],[day]])</f>
        <v>46081</v>
      </c>
    </row>
    <row r="832" spans="1:14" ht="16" x14ac:dyDescent="0.35">
      <c r="A832" t="str">
        <f t="shared" si="24"/>
        <v>28</v>
      </c>
      <c r="B832">
        <f>_xlfn.SWITCH(Table4[[#This Row],[month]],"jan",1,"feb",2,"mar",3,"apr",4,"may",5,"jun",6,"jul",7,"aug",8,"sep",9,"oct",10,"nov",11,"dec",12,"no month")</f>
        <v>2</v>
      </c>
      <c r="C832" s="12" t="str">
        <f>LEFT('All Transactions'!$E832,3)</f>
        <v>Feb</v>
      </c>
      <c r="D832" s="12" t="str">
        <f t="shared" si="25"/>
        <v>2026</v>
      </c>
      <c r="E832" s="16" t="s">
        <v>2781</v>
      </c>
      <c r="F832" s="17" t="s">
        <v>2805</v>
      </c>
      <c r="G832" s="27" t="s">
        <v>54</v>
      </c>
      <c r="H832" s="19">
        <v>30</v>
      </c>
      <c r="I832" s="20" t="s">
        <v>2806</v>
      </c>
      <c r="J832" s="20" t="s">
        <v>2807</v>
      </c>
      <c r="K832" s="21" t="s">
        <v>2808</v>
      </c>
      <c r="L832" s="20" t="s">
        <v>58</v>
      </c>
      <c r="M832" t="str">
        <f>TEXT(A832,"dddd")</f>
        <v>Saturday</v>
      </c>
      <c r="N832" s="35">
        <f>DATE(Table4[[#This Row],[year]],Table4[[#This Row],[month2]],Table4[[#This Row],[day]])</f>
        <v>46081</v>
      </c>
    </row>
    <row r="833" spans="1:14" ht="16" x14ac:dyDescent="0.35">
      <c r="A833" t="str">
        <f t="shared" si="24"/>
        <v>28</v>
      </c>
      <c r="B833">
        <f>_xlfn.SWITCH(Table4[[#This Row],[month]],"jan",1,"feb",2,"mar",3,"apr",4,"may",5,"jun",6,"jul",7,"aug",8,"sep",9,"oct",10,"nov",11,"dec",12,"no month")</f>
        <v>2</v>
      </c>
      <c r="C833" s="12" t="str">
        <f>LEFT('All Transactions'!$E833,3)</f>
        <v>Feb</v>
      </c>
      <c r="D833" s="12" t="str">
        <f t="shared" si="25"/>
        <v>2026</v>
      </c>
      <c r="E833" s="22" t="s">
        <v>2781</v>
      </c>
      <c r="F833" s="23" t="s">
        <v>2809</v>
      </c>
      <c r="G833" s="27" t="s">
        <v>54</v>
      </c>
      <c r="H833" s="24">
        <v>178</v>
      </c>
      <c r="I833" s="25" t="s">
        <v>2810</v>
      </c>
      <c r="J833" s="25" t="s">
        <v>2811</v>
      </c>
      <c r="K833" s="26" t="s">
        <v>2812</v>
      </c>
      <c r="L833" s="25" t="s">
        <v>58</v>
      </c>
      <c r="M833" t="str">
        <f>TEXT(A833,"dddd")</f>
        <v>Saturday</v>
      </c>
      <c r="N833" s="35">
        <f>DATE(Table4[[#This Row],[year]],Table4[[#This Row],[month2]],Table4[[#This Row],[day]])</f>
        <v>46081</v>
      </c>
    </row>
    <row r="834" spans="1:14" ht="16" x14ac:dyDescent="0.35">
      <c r="A834" t="str">
        <f t="shared" si="24"/>
        <v>28</v>
      </c>
      <c r="B834">
        <f>_xlfn.SWITCH(Table4[[#This Row],[month]],"jan",1,"feb",2,"mar",3,"apr",4,"may",5,"jun",6,"jul",7,"aug",8,"sep",9,"oct",10,"nov",11,"dec",12,"no month")</f>
        <v>2</v>
      </c>
      <c r="C834" s="12" t="str">
        <f>LEFT('All Transactions'!$E834,3)</f>
        <v>Feb</v>
      </c>
      <c r="D834" s="12" t="str">
        <f t="shared" si="25"/>
        <v>2026</v>
      </c>
      <c r="E834" s="16" t="s">
        <v>2781</v>
      </c>
      <c r="F834" s="17" t="s">
        <v>2813</v>
      </c>
      <c r="G834" s="27" t="s">
        <v>54</v>
      </c>
      <c r="H834" s="19">
        <v>186</v>
      </c>
      <c r="I834" s="20" t="s">
        <v>2814</v>
      </c>
      <c r="J834" s="20" t="s">
        <v>2815</v>
      </c>
      <c r="K834" s="21" t="s">
        <v>2816</v>
      </c>
      <c r="L834" s="20" t="s">
        <v>58</v>
      </c>
      <c r="M834" t="str">
        <f>TEXT(A834,"dddd")</f>
        <v>Saturday</v>
      </c>
      <c r="N834" s="35">
        <f>DATE(Table4[[#This Row],[year]],Table4[[#This Row],[month2]],Table4[[#This Row],[day]])</f>
        <v>46081</v>
      </c>
    </row>
    <row r="835" spans="1:14" ht="16" x14ac:dyDescent="0.35">
      <c r="A835" t="str">
        <f t="shared" ref="A835:A898" si="26">MID(E835,5,2)</f>
        <v>28</v>
      </c>
      <c r="B835">
        <f>_xlfn.SWITCH(Table4[[#This Row],[month]],"jan",1,"feb",2,"mar",3,"apr",4,"may",5,"jun",6,"jul",7,"aug",8,"sep",9,"oct",10,"nov",11,"dec",12,"no month")</f>
        <v>2</v>
      </c>
      <c r="C835" s="12" t="str">
        <f>LEFT('All Transactions'!$E835,3)</f>
        <v>Feb</v>
      </c>
      <c r="D835" s="12" t="str">
        <f t="shared" ref="D835:D898" si="27">RIGHT(E835,4)</f>
        <v>2026</v>
      </c>
      <c r="E835" s="22" t="s">
        <v>2781</v>
      </c>
      <c r="F835" s="23" t="s">
        <v>2817</v>
      </c>
      <c r="G835" s="18" t="s">
        <v>28</v>
      </c>
      <c r="H835" s="24">
        <v>110</v>
      </c>
      <c r="I835" s="25" t="s">
        <v>2818</v>
      </c>
      <c r="J835" s="25" t="s">
        <v>2819</v>
      </c>
      <c r="K835" s="26" t="s">
        <v>2820</v>
      </c>
      <c r="L835" s="25" t="s">
        <v>32</v>
      </c>
      <c r="M835" t="str">
        <f>TEXT(A835,"dddd")</f>
        <v>Saturday</v>
      </c>
      <c r="N835" s="35">
        <f>DATE(Table4[[#This Row],[year]],Table4[[#This Row],[month2]],Table4[[#This Row],[day]])</f>
        <v>46081</v>
      </c>
    </row>
    <row r="836" spans="1:14" ht="16" x14ac:dyDescent="0.35">
      <c r="A836" t="str">
        <f t="shared" si="26"/>
        <v>28</v>
      </c>
      <c r="B836">
        <f>_xlfn.SWITCH(Table4[[#This Row],[month]],"jan",1,"feb",2,"mar",3,"apr",4,"may",5,"jun",6,"jul",7,"aug",8,"sep",9,"oct",10,"nov",11,"dec",12,"no month")</f>
        <v>2</v>
      </c>
      <c r="C836" s="12" t="str">
        <f>LEFT('All Transactions'!$E836,3)</f>
        <v>Feb</v>
      </c>
      <c r="D836" s="12" t="str">
        <f t="shared" si="27"/>
        <v>2026</v>
      </c>
      <c r="E836" s="16" t="s">
        <v>2781</v>
      </c>
      <c r="F836" s="17" t="s">
        <v>2821</v>
      </c>
      <c r="G836" s="27" t="s">
        <v>54</v>
      </c>
      <c r="H836" s="19">
        <v>100</v>
      </c>
      <c r="I836" s="20" t="s">
        <v>1586</v>
      </c>
      <c r="J836" s="20" t="s">
        <v>2822</v>
      </c>
      <c r="K836" s="21" t="s">
        <v>2823</v>
      </c>
      <c r="L836" s="20" t="s">
        <v>58</v>
      </c>
      <c r="M836" t="str">
        <f>TEXT(A836,"dddd")</f>
        <v>Saturday</v>
      </c>
      <c r="N836" s="35">
        <f>DATE(Table4[[#This Row],[year]],Table4[[#This Row],[month2]],Table4[[#This Row],[day]])</f>
        <v>46081</v>
      </c>
    </row>
    <row r="837" spans="1:14" ht="16" x14ac:dyDescent="0.35">
      <c r="A837" t="str">
        <f t="shared" si="26"/>
        <v>27</v>
      </c>
      <c r="B837">
        <f>_xlfn.SWITCH(Table4[[#This Row],[month]],"jan",1,"feb",2,"mar",3,"apr",4,"may",5,"jun",6,"jul",7,"aug",8,"sep",9,"oct",10,"nov",11,"dec",12,"no month")</f>
        <v>2</v>
      </c>
      <c r="C837" s="12" t="str">
        <f>LEFT('All Transactions'!$E837,3)</f>
        <v>Feb</v>
      </c>
      <c r="D837" s="12" t="str">
        <f t="shared" si="27"/>
        <v>2026</v>
      </c>
      <c r="E837" s="22" t="s">
        <v>2824</v>
      </c>
      <c r="F837" s="23" t="s">
        <v>2764</v>
      </c>
      <c r="G837" s="18" t="s">
        <v>28</v>
      </c>
      <c r="H837" s="24">
        <v>19</v>
      </c>
      <c r="I837" s="25" t="s">
        <v>2825</v>
      </c>
      <c r="J837" s="25" t="s">
        <v>2826</v>
      </c>
      <c r="K837" s="26" t="s">
        <v>2827</v>
      </c>
      <c r="L837" s="25" t="s">
        <v>32</v>
      </c>
      <c r="M837" t="str">
        <f>TEXT(A837,"dddd")</f>
        <v>Friday</v>
      </c>
      <c r="N837" s="35">
        <f>DATE(Table4[[#This Row],[year]],Table4[[#This Row],[month2]],Table4[[#This Row],[day]])</f>
        <v>46080</v>
      </c>
    </row>
    <row r="838" spans="1:14" ht="16" x14ac:dyDescent="0.35">
      <c r="A838" t="str">
        <f t="shared" si="26"/>
        <v>27</v>
      </c>
      <c r="B838">
        <f>_xlfn.SWITCH(Table4[[#This Row],[month]],"jan",1,"feb",2,"mar",3,"apr",4,"may",5,"jun",6,"jul",7,"aug",8,"sep",9,"oct",10,"nov",11,"dec",12,"no month")</f>
        <v>2</v>
      </c>
      <c r="C838" s="12" t="str">
        <f>LEFT('All Transactions'!$E838,3)</f>
        <v>Feb</v>
      </c>
      <c r="D838" s="12" t="str">
        <f t="shared" si="27"/>
        <v>2026</v>
      </c>
      <c r="E838" s="16" t="s">
        <v>2824</v>
      </c>
      <c r="F838" s="17" t="s">
        <v>2828</v>
      </c>
      <c r="G838" s="18" t="s">
        <v>28</v>
      </c>
      <c r="H838" s="19">
        <v>20</v>
      </c>
      <c r="I838" s="20" t="s">
        <v>384</v>
      </c>
      <c r="J838" s="20" t="s">
        <v>2829</v>
      </c>
      <c r="K838" s="21" t="s">
        <v>2830</v>
      </c>
      <c r="L838" s="20" t="s">
        <v>32</v>
      </c>
      <c r="M838" t="str">
        <f>TEXT(A838,"dddd")</f>
        <v>Friday</v>
      </c>
      <c r="N838" s="35">
        <f>DATE(Table4[[#This Row],[year]],Table4[[#This Row],[month2]],Table4[[#This Row],[day]])</f>
        <v>46080</v>
      </c>
    </row>
    <row r="839" spans="1:14" ht="16" x14ac:dyDescent="0.35">
      <c r="A839" t="str">
        <f t="shared" si="26"/>
        <v>27</v>
      </c>
      <c r="B839">
        <f>_xlfn.SWITCH(Table4[[#This Row],[month]],"jan",1,"feb",2,"mar",3,"apr",4,"may",5,"jun",6,"jul",7,"aug",8,"sep",9,"oct",10,"nov",11,"dec",12,"no month")</f>
        <v>2</v>
      </c>
      <c r="C839" s="12" t="str">
        <f>LEFT('All Transactions'!$E839,3)</f>
        <v>Feb</v>
      </c>
      <c r="D839" s="12" t="str">
        <f t="shared" si="27"/>
        <v>2026</v>
      </c>
      <c r="E839" s="22" t="s">
        <v>2824</v>
      </c>
      <c r="F839" s="23" t="s">
        <v>2831</v>
      </c>
      <c r="G839" s="18" t="s">
        <v>28</v>
      </c>
      <c r="H839" s="24">
        <v>30</v>
      </c>
      <c r="I839" s="25" t="s">
        <v>2832</v>
      </c>
      <c r="J839" s="25" t="s">
        <v>2833</v>
      </c>
      <c r="K839" s="26" t="s">
        <v>2834</v>
      </c>
      <c r="L839" s="25" t="s">
        <v>32</v>
      </c>
      <c r="M839" t="str">
        <f>TEXT(A839,"dddd")</f>
        <v>Friday</v>
      </c>
      <c r="N839" s="35">
        <f>DATE(Table4[[#This Row],[year]],Table4[[#This Row],[month2]],Table4[[#This Row],[day]])</f>
        <v>46080</v>
      </c>
    </row>
    <row r="840" spans="1:14" ht="16" x14ac:dyDescent="0.35">
      <c r="A840" t="str">
        <f t="shared" si="26"/>
        <v>27</v>
      </c>
      <c r="B840">
        <f>_xlfn.SWITCH(Table4[[#This Row],[month]],"jan",1,"feb",2,"mar",3,"apr",4,"may",5,"jun",6,"jul",7,"aug",8,"sep",9,"oct",10,"nov",11,"dec",12,"no month")</f>
        <v>2</v>
      </c>
      <c r="C840" s="12" t="str">
        <f>LEFT('All Transactions'!$E840,3)</f>
        <v>Feb</v>
      </c>
      <c r="D840" s="12" t="str">
        <f t="shared" si="27"/>
        <v>2026</v>
      </c>
      <c r="E840" s="16" t="s">
        <v>2824</v>
      </c>
      <c r="F840" s="17" t="s">
        <v>2835</v>
      </c>
      <c r="G840" s="18" t="s">
        <v>28</v>
      </c>
      <c r="H840" s="19">
        <v>22</v>
      </c>
      <c r="I840" s="20" t="s">
        <v>2836</v>
      </c>
      <c r="J840" s="20" t="s">
        <v>2837</v>
      </c>
      <c r="K840" s="21" t="s">
        <v>2838</v>
      </c>
      <c r="L840" s="20" t="s">
        <v>32</v>
      </c>
      <c r="M840" t="str">
        <f>TEXT(A840,"dddd")</f>
        <v>Friday</v>
      </c>
      <c r="N840" s="35">
        <f>DATE(Table4[[#This Row],[year]],Table4[[#This Row],[month2]],Table4[[#This Row],[day]])</f>
        <v>46080</v>
      </c>
    </row>
    <row r="841" spans="1:14" ht="16" x14ac:dyDescent="0.35">
      <c r="A841" t="str">
        <f t="shared" si="26"/>
        <v>26</v>
      </c>
      <c r="B841">
        <f>_xlfn.SWITCH(Table4[[#This Row],[month]],"jan",1,"feb",2,"mar",3,"apr",4,"may",5,"jun",6,"jul",7,"aug",8,"sep",9,"oct",10,"nov",11,"dec",12,"no month")</f>
        <v>2</v>
      </c>
      <c r="C841" s="12" t="str">
        <f>LEFT('All Transactions'!$E841,3)</f>
        <v>Feb</v>
      </c>
      <c r="D841" s="12" t="str">
        <f t="shared" si="27"/>
        <v>2026</v>
      </c>
      <c r="E841" s="22" t="s">
        <v>2839</v>
      </c>
      <c r="F841" s="23" t="s">
        <v>1689</v>
      </c>
      <c r="G841" s="18" t="s">
        <v>28</v>
      </c>
      <c r="H841" s="24">
        <v>30</v>
      </c>
      <c r="I841" s="25" t="s">
        <v>2753</v>
      </c>
      <c r="J841" s="25" t="s">
        <v>2840</v>
      </c>
      <c r="K841" s="26" t="s">
        <v>2841</v>
      </c>
      <c r="L841" s="25" t="s">
        <v>32</v>
      </c>
      <c r="M841" t="str">
        <f>TEXT(A841,"dddd")</f>
        <v>Thursday</v>
      </c>
      <c r="N841" s="35">
        <f>DATE(Table4[[#This Row],[year]],Table4[[#This Row],[month2]],Table4[[#This Row],[day]])</f>
        <v>46079</v>
      </c>
    </row>
    <row r="842" spans="1:14" ht="16" x14ac:dyDescent="0.35">
      <c r="A842" t="str">
        <f t="shared" si="26"/>
        <v>26</v>
      </c>
      <c r="B842">
        <f>_xlfn.SWITCH(Table4[[#This Row],[month]],"jan",1,"feb",2,"mar",3,"apr",4,"may",5,"jun",6,"jul",7,"aug",8,"sep",9,"oct",10,"nov",11,"dec",12,"no month")</f>
        <v>2</v>
      </c>
      <c r="C842" s="12" t="str">
        <f>LEFT('All Transactions'!$E842,3)</f>
        <v>Feb</v>
      </c>
      <c r="D842" s="12" t="str">
        <f t="shared" si="27"/>
        <v>2026</v>
      </c>
      <c r="E842" s="16" t="s">
        <v>2839</v>
      </c>
      <c r="F842" s="17" t="s">
        <v>104</v>
      </c>
      <c r="G842" s="18" t="s">
        <v>28</v>
      </c>
      <c r="H842" s="19">
        <v>30</v>
      </c>
      <c r="I842" s="20" t="s">
        <v>2778</v>
      </c>
      <c r="J842" s="20" t="s">
        <v>2842</v>
      </c>
      <c r="K842" s="21" t="s">
        <v>2843</v>
      </c>
      <c r="L842" s="20" t="s">
        <v>32</v>
      </c>
      <c r="M842" t="str">
        <f>TEXT(A842,"dddd")</f>
        <v>Thursday</v>
      </c>
      <c r="N842" s="35">
        <f>DATE(Table4[[#This Row],[year]],Table4[[#This Row],[month2]],Table4[[#This Row],[day]])</f>
        <v>46079</v>
      </c>
    </row>
    <row r="843" spans="1:14" ht="16" x14ac:dyDescent="0.35">
      <c r="A843" t="str">
        <f t="shared" si="26"/>
        <v>26</v>
      </c>
      <c r="B843">
        <f>_xlfn.SWITCH(Table4[[#This Row],[month]],"jan",1,"feb",2,"mar",3,"apr",4,"may",5,"jun",6,"jul",7,"aug",8,"sep",9,"oct",10,"nov",11,"dec",12,"no month")</f>
        <v>2</v>
      </c>
      <c r="C843" s="12" t="str">
        <f>LEFT('All Transactions'!$E843,3)</f>
        <v>Feb</v>
      </c>
      <c r="D843" s="12" t="str">
        <f t="shared" si="27"/>
        <v>2026</v>
      </c>
      <c r="E843" s="22" t="s">
        <v>2839</v>
      </c>
      <c r="F843" s="23" t="s">
        <v>2139</v>
      </c>
      <c r="G843" s="27" t="s">
        <v>54</v>
      </c>
      <c r="H843" s="24">
        <v>200</v>
      </c>
      <c r="I843" s="25" t="s">
        <v>1586</v>
      </c>
      <c r="J843" s="25" t="s">
        <v>2844</v>
      </c>
      <c r="K843" s="26" t="s">
        <v>2845</v>
      </c>
      <c r="L843" s="25" t="s">
        <v>58</v>
      </c>
      <c r="M843" t="str">
        <f>TEXT(A843,"dddd")</f>
        <v>Thursday</v>
      </c>
      <c r="N843" s="35">
        <f>DATE(Table4[[#This Row],[year]],Table4[[#This Row],[month2]],Table4[[#This Row],[day]])</f>
        <v>46079</v>
      </c>
    </row>
    <row r="844" spans="1:14" ht="16" x14ac:dyDescent="0.35">
      <c r="A844" t="str">
        <f t="shared" si="26"/>
        <v>26</v>
      </c>
      <c r="B844">
        <f>_xlfn.SWITCH(Table4[[#This Row],[month]],"jan",1,"feb",2,"mar",3,"apr",4,"may",5,"jun",6,"jul",7,"aug",8,"sep",9,"oct",10,"nov",11,"dec",12,"no month")</f>
        <v>2</v>
      </c>
      <c r="C844" s="12" t="str">
        <f>LEFT('All Transactions'!$E844,3)</f>
        <v>Feb</v>
      </c>
      <c r="D844" s="12" t="str">
        <f t="shared" si="27"/>
        <v>2026</v>
      </c>
      <c r="E844" s="16" t="s">
        <v>2839</v>
      </c>
      <c r="F844" s="17" t="s">
        <v>2139</v>
      </c>
      <c r="G844" s="18" t="s">
        <v>28</v>
      </c>
      <c r="H844" s="19">
        <v>240</v>
      </c>
      <c r="I844" s="20" t="s">
        <v>167</v>
      </c>
      <c r="J844" s="20" t="s">
        <v>2846</v>
      </c>
      <c r="K844" s="21" t="s">
        <v>2847</v>
      </c>
      <c r="L844" s="20" t="s">
        <v>32</v>
      </c>
      <c r="M844" t="str">
        <f>TEXT(A844,"dddd")</f>
        <v>Thursday</v>
      </c>
      <c r="N844" s="35">
        <f>DATE(Table4[[#This Row],[year]],Table4[[#This Row],[month2]],Table4[[#This Row],[day]])</f>
        <v>46079</v>
      </c>
    </row>
    <row r="845" spans="1:14" ht="16" x14ac:dyDescent="0.35">
      <c r="A845" t="str">
        <f t="shared" si="26"/>
        <v>26</v>
      </c>
      <c r="B845">
        <f>_xlfn.SWITCH(Table4[[#This Row],[month]],"jan",1,"feb",2,"mar",3,"apr",4,"may",5,"jun",6,"jul",7,"aug",8,"sep",9,"oct",10,"nov",11,"dec",12,"no month")</f>
        <v>2</v>
      </c>
      <c r="C845" s="12" t="str">
        <f>LEFT('All Transactions'!$E845,3)</f>
        <v>Feb</v>
      </c>
      <c r="D845" s="12" t="str">
        <f t="shared" si="27"/>
        <v>2026</v>
      </c>
      <c r="E845" s="22" t="s">
        <v>2839</v>
      </c>
      <c r="F845" s="23" t="s">
        <v>581</v>
      </c>
      <c r="G845" s="18" t="s">
        <v>28</v>
      </c>
      <c r="H845" s="24">
        <v>22</v>
      </c>
      <c r="I845" s="25" t="s">
        <v>2848</v>
      </c>
      <c r="J845" s="25" t="s">
        <v>2849</v>
      </c>
      <c r="K845" s="26" t="s">
        <v>2850</v>
      </c>
      <c r="L845" s="25" t="s">
        <v>32</v>
      </c>
      <c r="M845" t="str">
        <f>TEXT(A845,"dddd")</f>
        <v>Thursday</v>
      </c>
      <c r="N845" s="35">
        <f>DATE(Table4[[#This Row],[year]],Table4[[#This Row],[month2]],Table4[[#This Row],[day]])</f>
        <v>46079</v>
      </c>
    </row>
    <row r="846" spans="1:14" ht="16" x14ac:dyDescent="0.35">
      <c r="A846" t="str">
        <f t="shared" si="26"/>
        <v>26</v>
      </c>
      <c r="B846">
        <f>_xlfn.SWITCH(Table4[[#This Row],[month]],"jan",1,"feb",2,"mar",3,"apr",4,"may",5,"jun",6,"jul",7,"aug",8,"sep",9,"oct",10,"nov",11,"dec",12,"no month")</f>
        <v>2</v>
      </c>
      <c r="C846" s="12" t="str">
        <f>LEFT('All Transactions'!$E846,3)</f>
        <v>Feb</v>
      </c>
      <c r="D846" s="12" t="str">
        <f t="shared" si="27"/>
        <v>2026</v>
      </c>
      <c r="E846" s="16" t="s">
        <v>2839</v>
      </c>
      <c r="F846" s="17" t="s">
        <v>2851</v>
      </c>
      <c r="G846" s="18" t="s">
        <v>28</v>
      </c>
      <c r="H846" s="19">
        <v>55</v>
      </c>
      <c r="I846" s="20" t="s">
        <v>2778</v>
      </c>
      <c r="J846" s="20" t="s">
        <v>2852</v>
      </c>
      <c r="K846" s="21" t="s">
        <v>2853</v>
      </c>
      <c r="L846" s="20" t="s">
        <v>32</v>
      </c>
      <c r="M846" t="str">
        <f>TEXT(A846,"dddd")</f>
        <v>Thursday</v>
      </c>
      <c r="N846" s="35">
        <f>DATE(Table4[[#This Row],[year]],Table4[[#This Row],[month2]],Table4[[#This Row],[day]])</f>
        <v>46079</v>
      </c>
    </row>
    <row r="847" spans="1:14" ht="16" x14ac:dyDescent="0.35">
      <c r="A847" t="str">
        <f t="shared" si="26"/>
        <v>26</v>
      </c>
      <c r="B847">
        <f>_xlfn.SWITCH(Table4[[#This Row],[month]],"jan",1,"feb",2,"mar",3,"apr",4,"may",5,"jun",6,"jul",7,"aug",8,"sep",9,"oct",10,"nov",11,"dec",12,"no month")</f>
        <v>2</v>
      </c>
      <c r="C847" s="12" t="str">
        <f>LEFT('All Transactions'!$E847,3)</f>
        <v>Feb</v>
      </c>
      <c r="D847" s="12" t="str">
        <f t="shared" si="27"/>
        <v>2026</v>
      </c>
      <c r="E847" s="22" t="s">
        <v>2839</v>
      </c>
      <c r="F847" s="23" t="s">
        <v>2854</v>
      </c>
      <c r="G847" s="18" t="s">
        <v>28</v>
      </c>
      <c r="H847" s="24">
        <v>50</v>
      </c>
      <c r="I847" s="25" t="s">
        <v>167</v>
      </c>
      <c r="J847" s="25" t="s">
        <v>2855</v>
      </c>
      <c r="K847" s="26" t="s">
        <v>2856</v>
      </c>
      <c r="L847" s="25" t="s">
        <v>32</v>
      </c>
      <c r="M847" t="str">
        <f>TEXT(A847,"dddd")</f>
        <v>Thursday</v>
      </c>
      <c r="N847" s="35">
        <f>DATE(Table4[[#This Row],[year]],Table4[[#This Row],[month2]],Table4[[#This Row],[day]])</f>
        <v>46079</v>
      </c>
    </row>
    <row r="848" spans="1:14" ht="16" x14ac:dyDescent="0.35">
      <c r="A848" t="str">
        <f t="shared" si="26"/>
        <v>26</v>
      </c>
      <c r="B848">
        <f>_xlfn.SWITCH(Table4[[#This Row],[month]],"jan",1,"feb",2,"mar",3,"apr",4,"may",5,"jun",6,"jul",7,"aug",8,"sep",9,"oct",10,"nov",11,"dec",12,"no month")</f>
        <v>2</v>
      </c>
      <c r="C848" s="12" t="str">
        <f>LEFT('All Transactions'!$E848,3)</f>
        <v>Feb</v>
      </c>
      <c r="D848" s="12" t="str">
        <f t="shared" si="27"/>
        <v>2026</v>
      </c>
      <c r="E848" s="16" t="s">
        <v>2839</v>
      </c>
      <c r="F848" s="17" t="s">
        <v>2857</v>
      </c>
      <c r="G848" s="18" t="s">
        <v>28</v>
      </c>
      <c r="H848" s="19">
        <v>140.57</v>
      </c>
      <c r="I848" s="20" t="s">
        <v>536</v>
      </c>
      <c r="J848" s="20" t="s">
        <v>2858</v>
      </c>
      <c r="K848" s="21" t="s">
        <v>2859</v>
      </c>
      <c r="L848" s="20" t="s">
        <v>32</v>
      </c>
      <c r="M848" t="str">
        <f>TEXT(A848,"dddd")</f>
        <v>Thursday</v>
      </c>
      <c r="N848" s="35">
        <f>DATE(Table4[[#This Row],[year]],Table4[[#This Row],[month2]],Table4[[#This Row],[day]])</f>
        <v>46079</v>
      </c>
    </row>
    <row r="849" spans="1:14" ht="16" x14ac:dyDescent="0.35">
      <c r="A849" t="str">
        <f t="shared" si="26"/>
        <v>26</v>
      </c>
      <c r="B849">
        <f>_xlfn.SWITCH(Table4[[#This Row],[month]],"jan",1,"feb",2,"mar",3,"apr",4,"may",5,"jun",6,"jul",7,"aug",8,"sep",9,"oct",10,"nov",11,"dec",12,"no month")</f>
        <v>2</v>
      </c>
      <c r="C849" s="12" t="str">
        <f>LEFT('All Transactions'!$E849,3)</f>
        <v>Feb</v>
      </c>
      <c r="D849" s="12" t="str">
        <f t="shared" si="27"/>
        <v>2026</v>
      </c>
      <c r="E849" s="22" t="s">
        <v>2839</v>
      </c>
      <c r="F849" s="23" t="s">
        <v>2429</v>
      </c>
      <c r="G849" s="27" t="s">
        <v>54</v>
      </c>
      <c r="H849" s="24">
        <v>40</v>
      </c>
      <c r="I849" s="25" t="s">
        <v>1586</v>
      </c>
      <c r="J849" s="25" t="s">
        <v>2860</v>
      </c>
      <c r="K849" s="26" t="s">
        <v>2861</v>
      </c>
      <c r="L849" s="25" t="s">
        <v>58</v>
      </c>
      <c r="M849" t="str">
        <f>TEXT(A849,"dddd")</f>
        <v>Thursday</v>
      </c>
      <c r="N849" s="35">
        <f>DATE(Table4[[#This Row],[year]],Table4[[#This Row],[month2]],Table4[[#This Row],[day]])</f>
        <v>46079</v>
      </c>
    </row>
    <row r="850" spans="1:14" ht="16" x14ac:dyDescent="0.35">
      <c r="A850" t="str">
        <f t="shared" si="26"/>
        <v>26</v>
      </c>
      <c r="B850">
        <f>_xlfn.SWITCH(Table4[[#This Row],[month]],"jan",1,"feb",2,"mar",3,"apr",4,"may",5,"jun",6,"jul",7,"aug",8,"sep",9,"oct",10,"nov",11,"dec",12,"no month")</f>
        <v>2</v>
      </c>
      <c r="C850" s="12" t="str">
        <f>LEFT('All Transactions'!$E850,3)</f>
        <v>Feb</v>
      </c>
      <c r="D850" s="12" t="str">
        <f t="shared" si="27"/>
        <v>2026</v>
      </c>
      <c r="E850" s="16" t="s">
        <v>2839</v>
      </c>
      <c r="F850" s="17" t="s">
        <v>328</v>
      </c>
      <c r="G850" s="18" t="s">
        <v>28</v>
      </c>
      <c r="H850" s="19">
        <v>50</v>
      </c>
      <c r="I850" s="20" t="s">
        <v>2862</v>
      </c>
      <c r="J850" s="20" t="s">
        <v>2863</v>
      </c>
      <c r="K850" s="21" t="s">
        <v>2864</v>
      </c>
      <c r="L850" s="20" t="s">
        <v>32</v>
      </c>
      <c r="M850" t="str">
        <f>TEXT(A850,"dddd")</f>
        <v>Thursday</v>
      </c>
      <c r="N850" s="35">
        <f>DATE(Table4[[#This Row],[year]],Table4[[#This Row],[month2]],Table4[[#This Row],[day]])</f>
        <v>46079</v>
      </c>
    </row>
    <row r="851" spans="1:14" ht="16" x14ac:dyDescent="0.35">
      <c r="A851" t="str">
        <f t="shared" si="26"/>
        <v>25</v>
      </c>
      <c r="B851">
        <f>_xlfn.SWITCH(Table4[[#This Row],[month]],"jan",1,"feb",2,"mar",3,"apr",4,"may",5,"jun",6,"jul",7,"aug",8,"sep",9,"oct",10,"nov",11,"dec",12,"no month")</f>
        <v>2</v>
      </c>
      <c r="C851" s="12" t="str">
        <f>LEFT('All Transactions'!$E851,3)</f>
        <v>Feb</v>
      </c>
      <c r="D851" s="12" t="str">
        <f t="shared" si="27"/>
        <v>2026</v>
      </c>
      <c r="E851" s="22" t="s">
        <v>2865</v>
      </c>
      <c r="F851" s="23" t="s">
        <v>350</v>
      </c>
      <c r="G851" s="18" t="s">
        <v>28</v>
      </c>
      <c r="H851" s="24">
        <v>30</v>
      </c>
      <c r="I851" s="25" t="s">
        <v>2778</v>
      </c>
      <c r="J851" s="25" t="s">
        <v>2866</v>
      </c>
      <c r="K851" s="26" t="s">
        <v>2867</v>
      </c>
      <c r="L851" s="25" t="s">
        <v>32</v>
      </c>
      <c r="M851" t="str">
        <f>TEXT(A851,"dddd")</f>
        <v>Wednesday</v>
      </c>
      <c r="N851" s="35">
        <f>DATE(Table4[[#This Row],[year]],Table4[[#This Row],[month2]],Table4[[#This Row],[day]])</f>
        <v>46078</v>
      </c>
    </row>
    <row r="852" spans="1:14" ht="16" x14ac:dyDescent="0.35">
      <c r="A852" t="str">
        <f t="shared" si="26"/>
        <v>25</v>
      </c>
      <c r="B852">
        <f>_xlfn.SWITCH(Table4[[#This Row],[month]],"jan",1,"feb",2,"mar",3,"apr",4,"may",5,"jun",6,"jul",7,"aug",8,"sep",9,"oct",10,"nov",11,"dec",12,"no month")</f>
        <v>2</v>
      </c>
      <c r="C852" s="12" t="str">
        <f>LEFT('All Transactions'!$E852,3)</f>
        <v>Feb</v>
      </c>
      <c r="D852" s="12" t="str">
        <f t="shared" si="27"/>
        <v>2026</v>
      </c>
      <c r="E852" s="16" t="s">
        <v>2865</v>
      </c>
      <c r="F852" s="17" t="s">
        <v>1474</v>
      </c>
      <c r="G852" s="18" t="s">
        <v>28</v>
      </c>
      <c r="H852" s="19">
        <v>20</v>
      </c>
      <c r="I852" s="20" t="s">
        <v>1465</v>
      </c>
      <c r="J852" s="20" t="s">
        <v>2868</v>
      </c>
      <c r="K852" s="21" t="s">
        <v>2869</v>
      </c>
      <c r="L852" s="20" t="s">
        <v>32</v>
      </c>
      <c r="M852" t="str">
        <f>TEXT(A852,"dddd")</f>
        <v>Wednesday</v>
      </c>
      <c r="N852" s="35">
        <f>DATE(Table4[[#This Row],[year]],Table4[[#This Row],[month2]],Table4[[#This Row],[day]])</f>
        <v>46078</v>
      </c>
    </row>
    <row r="853" spans="1:14" ht="16" x14ac:dyDescent="0.35">
      <c r="A853" t="str">
        <f t="shared" si="26"/>
        <v>24</v>
      </c>
      <c r="B853">
        <f>_xlfn.SWITCH(Table4[[#This Row],[month]],"jan",1,"feb",2,"mar",3,"apr",4,"may",5,"jun",6,"jul",7,"aug",8,"sep",9,"oct",10,"nov",11,"dec",12,"no month")</f>
        <v>2</v>
      </c>
      <c r="C853" s="12" t="str">
        <f>LEFT('All Transactions'!$E853,3)</f>
        <v>Feb</v>
      </c>
      <c r="D853" s="12" t="str">
        <f t="shared" si="27"/>
        <v>2026</v>
      </c>
      <c r="E853" s="22" t="s">
        <v>2870</v>
      </c>
      <c r="F853" s="23" t="s">
        <v>2064</v>
      </c>
      <c r="G853" s="18" t="s">
        <v>28</v>
      </c>
      <c r="H853" s="24">
        <v>8000</v>
      </c>
      <c r="I853" s="25" t="s">
        <v>2871</v>
      </c>
      <c r="J853" s="25" t="s">
        <v>2872</v>
      </c>
      <c r="K853" s="26" t="s">
        <v>2873</v>
      </c>
      <c r="L853" s="25" t="s">
        <v>32</v>
      </c>
      <c r="M853" t="str">
        <f>TEXT(A853,"dddd")</f>
        <v>Tuesday</v>
      </c>
      <c r="N853" s="35">
        <f>DATE(Table4[[#This Row],[year]],Table4[[#This Row],[month2]],Table4[[#This Row],[day]])</f>
        <v>46077</v>
      </c>
    </row>
    <row r="854" spans="1:14" ht="16" x14ac:dyDescent="0.35">
      <c r="A854" t="str">
        <f t="shared" si="26"/>
        <v>24</v>
      </c>
      <c r="B854">
        <f>_xlfn.SWITCH(Table4[[#This Row],[month]],"jan",1,"feb",2,"mar",3,"apr",4,"may",5,"jun",6,"jul",7,"aug",8,"sep",9,"oct",10,"nov",11,"dec",12,"no month")</f>
        <v>2</v>
      </c>
      <c r="C854" s="12" t="str">
        <f>LEFT('All Transactions'!$E854,3)</f>
        <v>Feb</v>
      </c>
      <c r="D854" s="12" t="str">
        <f t="shared" si="27"/>
        <v>2026</v>
      </c>
      <c r="E854" s="16" t="s">
        <v>2870</v>
      </c>
      <c r="F854" s="17" t="s">
        <v>245</v>
      </c>
      <c r="G854" s="27" t="s">
        <v>54</v>
      </c>
      <c r="H854" s="19">
        <v>10000</v>
      </c>
      <c r="I854" s="20" t="s">
        <v>1090</v>
      </c>
      <c r="J854" s="20" t="s">
        <v>2874</v>
      </c>
      <c r="K854" s="21" t="s">
        <v>2875</v>
      </c>
      <c r="L854" s="20" t="s">
        <v>58</v>
      </c>
      <c r="M854" t="str">
        <f>TEXT(A854,"dddd")</f>
        <v>Tuesday</v>
      </c>
      <c r="N854" s="35">
        <f>DATE(Table4[[#This Row],[year]],Table4[[#This Row],[month2]],Table4[[#This Row],[day]])</f>
        <v>46077</v>
      </c>
    </row>
    <row r="855" spans="1:14" ht="16" x14ac:dyDescent="0.35">
      <c r="A855" t="str">
        <f t="shared" si="26"/>
        <v>24</v>
      </c>
      <c r="B855">
        <f>_xlfn.SWITCH(Table4[[#This Row],[month]],"jan",1,"feb",2,"mar",3,"apr",4,"may",5,"jun",6,"jul",7,"aug",8,"sep",9,"oct",10,"nov",11,"dec",12,"no month")</f>
        <v>2</v>
      </c>
      <c r="C855" s="12" t="str">
        <f>LEFT('All Transactions'!$E855,3)</f>
        <v>Feb</v>
      </c>
      <c r="D855" s="12" t="str">
        <f t="shared" si="27"/>
        <v>2026</v>
      </c>
      <c r="E855" s="22" t="s">
        <v>2870</v>
      </c>
      <c r="F855" s="23" t="s">
        <v>2876</v>
      </c>
      <c r="G855" s="18" t="s">
        <v>28</v>
      </c>
      <c r="H855" s="24">
        <v>30</v>
      </c>
      <c r="I855" s="25" t="s">
        <v>167</v>
      </c>
      <c r="J855" s="25" t="s">
        <v>2877</v>
      </c>
      <c r="K855" s="26" t="s">
        <v>2878</v>
      </c>
      <c r="L855" s="25" t="s">
        <v>32</v>
      </c>
      <c r="M855" t="str">
        <f>TEXT(A855,"dddd")</f>
        <v>Tuesday</v>
      </c>
      <c r="N855" s="35">
        <f>DATE(Table4[[#This Row],[year]],Table4[[#This Row],[month2]],Table4[[#This Row],[day]])</f>
        <v>46077</v>
      </c>
    </row>
    <row r="856" spans="1:14" ht="16" x14ac:dyDescent="0.35">
      <c r="A856" t="str">
        <f t="shared" si="26"/>
        <v>24</v>
      </c>
      <c r="B856">
        <f>_xlfn.SWITCH(Table4[[#This Row],[month]],"jan",1,"feb",2,"mar",3,"apr",4,"may",5,"jun",6,"jul",7,"aug",8,"sep",9,"oct",10,"nov",11,"dec",12,"no month")</f>
        <v>2</v>
      </c>
      <c r="C856" s="12" t="str">
        <f>LEFT('All Transactions'!$E856,3)</f>
        <v>Feb</v>
      </c>
      <c r="D856" s="12" t="str">
        <f t="shared" si="27"/>
        <v>2026</v>
      </c>
      <c r="E856" s="16" t="s">
        <v>2870</v>
      </c>
      <c r="F856" s="17" t="s">
        <v>1571</v>
      </c>
      <c r="G856" s="18" t="s">
        <v>28</v>
      </c>
      <c r="H856" s="19">
        <v>10</v>
      </c>
      <c r="I856" s="20" t="s">
        <v>2879</v>
      </c>
      <c r="J856" s="20" t="s">
        <v>2880</v>
      </c>
      <c r="K856" s="21" t="s">
        <v>2881</v>
      </c>
      <c r="L856" s="20" t="s">
        <v>32</v>
      </c>
      <c r="M856" t="str">
        <f>TEXT(A856,"dddd")</f>
        <v>Tuesday</v>
      </c>
      <c r="N856" s="35">
        <f>DATE(Table4[[#This Row],[year]],Table4[[#This Row],[month2]],Table4[[#This Row],[day]])</f>
        <v>46077</v>
      </c>
    </row>
    <row r="857" spans="1:14" ht="16" x14ac:dyDescent="0.35">
      <c r="A857" t="str">
        <f t="shared" si="26"/>
        <v>24</v>
      </c>
      <c r="B857">
        <f>_xlfn.SWITCH(Table4[[#This Row],[month]],"jan",1,"feb",2,"mar",3,"apr",4,"may",5,"jun",6,"jul",7,"aug",8,"sep",9,"oct",10,"nov",11,"dec",12,"no month")</f>
        <v>2</v>
      </c>
      <c r="C857" s="12" t="str">
        <f>LEFT('All Transactions'!$E857,3)</f>
        <v>Feb</v>
      </c>
      <c r="D857" s="12" t="str">
        <f t="shared" si="27"/>
        <v>2026</v>
      </c>
      <c r="E857" s="22" t="s">
        <v>2870</v>
      </c>
      <c r="F857" s="23" t="s">
        <v>2882</v>
      </c>
      <c r="G857" s="27" t="s">
        <v>54</v>
      </c>
      <c r="H857" s="24">
        <v>1</v>
      </c>
      <c r="I857" s="25" t="s">
        <v>2883</v>
      </c>
      <c r="J857" s="25" t="s">
        <v>2884</v>
      </c>
      <c r="K857" s="26"/>
      <c r="L857" s="25" t="s">
        <v>2885</v>
      </c>
      <c r="M857" t="str">
        <f>TEXT(A857,"dddd")</f>
        <v>Tuesday</v>
      </c>
      <c r="N857" s="35">
        <f>DATE(Table4[[#This Row],[year]],Table4[[#This Row],[month2]],Table4[[#This Row],[day]])</f>
        <v>46077</v>
      </c>
    </row>
    <row r="858" spans="1:14" ht="16" x14ac:dyDescent="0.35">
      <c r="A858" t="str">
        <f t="shared" si="26"/>
        <v>24</v>
      </c>
      <c r="B858">
        <f>_xlfn.SWITCH(Table4[[#This Row],[month]],"jan",1,"feb",2,"mar",3,"apr",4,"may",5,"jun",6,"jul",7,"aug",8,"sep",9,"oct",10,"nov",11,"dec",12,"no month")</f>
        <v>2</v>
      </c>
      <c r="C858" s="12" t="str">
        <f>LEFT('All Transactions'!$E858,3)</f>
        <v>Feb</v>
      </c>
      <c r="D858" s="12" t="str">
        <f t="shared" si="27"/>
        <v>2026</v>
      </c>
      <c r="E858" s="16" t="s">
        <v>2870</v>
      </c>
      <c r="F858" s="17" t="s">
        <v>1633</v>
      </c>
      <c r="G858" s="27" t="s">
        <v>54</v>
      </c>
      <c r="H858" s="19">
        <v>2.5</v>
      </c>
      <c r="I858" s="20" t="s">
        <v>2883</v>
      </c>
      <c r="J858" s="20" t="s">
        <v>2886</v>
      </c>
      <c r="K858" s="21"/>
      <c r="L858" s="20" t="s">
        <v>2885</v>
      </c>
      <c r="M858" t="str">
        <f>TEXT(A858,"dddd")</f>
        <v>Tuesday</v>
      </c>
      <c r="N858" s="35">
        <f>DATE(Table4[[#This Row],[year]],Table4[[#This Row],[month2]],Table4[[#This Row],[day]])</f>
        <v>46077</v>
      </c>
    </row>
    <row r="859" spans="1:14" ht="16" x14ac:dyDescent="0.35">
      <c r="A859" t="str">
        <f t="shared" si="26"/>
        <v>24</v>
      </c>
      <c r="B859">
        <f>_xlfn.SWITCH(Table4[[#This Row],[month]],"jan",1,"feb",2,"mar",3,"apr",4,"may",5,"jun",6,"jul",7,"aug",8,"sep",9,"oct",10,"nov",11,"dec",12,"no month")</f>
        <v>2</v>
      </c>
      <c r="C859" s="12" t="str">
        <f>LEFT('All Transactions'!$E859,3)</f>
        <v>Feb</v>
      </c>
      <c r="D859" s="12" t="str">
        <f t="shared" si="27"/>
        <v>2026</v>
      </c>
      <c r="E859" s="22" t="s">
        <v>2870</v>
      </c>
      <c r="F859" s="23" t="s">
        <v>1633</v>
      </c>
      <c r="G859" s="27" t="s">
        <v>54</v>
      </c>
      <c r="H859" s="24">
        <v>1</v>
      </c>
      <c r="I859" s="25" t="s">
        <v>2883</v>
      </c>
      <c r="J859" s="25" t="s">
        <v>2887</v>
      </c>
      <c r="K859" s="26"/>
      <c r="L859" s="25" t="s">
        <v>2885</v>
      </c>
      <c r="M859" t="str">
        <f>TEXT(A859,"dddd")</f>
        <v>Tuesday</v>
      </c>
      <c r="N859" s="35">
        <f>DATE(Table4[[#This Row],[year]],Table4[[#This Row],[month2]],Table4[[#This Row],[day]])</f>
        <v>46077</v>
      </c>
    </row>
    <row r="860" spans="1:14" ht="16" x14ac:dyDescent="0.35">
      <c r="A860" t="str">
        <f t="shared" si="26"/>
        <v>24</v>
      </c>
      <c r="B860">
        <f>_xlfn.SWITCH(Table4[[#This Row],[month]],"jan",1,"feb",2,"mar",3,"apr",4,"may",5,"jun",6,"jul",7,"aug",8,"sep",9,"oct",10,"nov",11,"dec",12,"no month")</f>
        <v>2</v>
      </c>
      <c r="C860" s="12" t="str">
        <f>LEFT('All Transactions'!$E860,3)</f>
        <v>Feb</v>
      </c>
      <c r="D860" s="12" t="str">
        <f t="shared" si="27"/>
        <v>2026</v>
      </c>
      <c r="E860" s="16" t="s">
        <v>2870</v>
      </c>
      <c r="F860" s="17" t="s">
        <v>2888</v>
      </c>
      <c r="G860" s="18" t="s">
        <v>28</v>
      </c>
      <c r="H860" s="19">
        <v>40</v>
      </c>
      <c r="I860" s="20" t="s">
        <v>1465</v>
      </c>
      <c r="J860" s="20" t="s">
        <v>2889</v>
      </c>
      <c r="K860" s="21" t="s">
        <v>2890</v>
      </c>
      <c r="L860" s="20" t="s">
        <v>32</v>
      </c>
      <c r="M860" t="str">
        <f>TEXT(A860,"dddd")</f>
        <v>Tuesday</v>
      </c>
      <c r="N860" s="35">
        <f>DATE(Table4[[#This Row],[year]],Table4[[#This Row],[month2]],Table4[[#This Row],[day]])</f>
        <v>46077</v>
      </c>
    </row>
    <row r="861" spans="1:14" ht="16" x14ac:dyDescent="0.35">
      <c r="A861" t="str">
        <f t="shared" si="26"/>
        <v>24</v>
      </c>
      <c r="B861">
        <f>_xlfn.SWITCH(Table4[[#This Row],[month]],"jan",1,"feb",2,"mar",3,"apr",4,"may",5,"jun",6,"jul",7,"aug",8,"sep",9,"oct",10,"nov",11,"dec",12,"no month")</f>
        <v>2</v>
      </c>
      <c r="C861" s="12" t="str">
        <f>LEFT('All Transactions'!$E861,3)</f>
        <v>Feb</v>
      </c>
      <c r="D861" s="12" t="str">
        <f t="shared" si="27"/>
        <v>2026</v>
      </c>
      <c r="E861" s="22" t="s">
        <v>2870</v>
      </c>
      <c r="F861" s="23" t="s">
        <v>2891</v>
      </c>
      <c r="G861" s="18" t="s">
        <v>28</v>
      </c>
      <c r="H861" s="24">
        <v>20</v>
      </c>
      <c r="I861" s="25" t="s">
        <v>2778</v>
      </c>
      <c r="J861" s="25" t="s">
        <v>2892</v>
      </c>
      <c r="K861" s="26" t="s">
        <v>2893</v>
      </c>
      <c r="L861" s="25" t="s">
        <v>32</v>
      </c>
      <c r="M861" t="str">
        <f>TEXT(A861,"dddd")</f>
        <v>Tuesday</v>
      </c>
      <c r="N861" s="35">
        <f>DATE(Table4[[#This Row],[year]],Table4[[#This Row],[month2]],Table4[[#This Row],[day]])</f>
        <v>46077</v>
      </c>
    </row>
    <row r="862" spans="1:14" ht="16" x14ac:dyDescent="0.35">
      <c r="A862" t="str">
        <f t="shared" si="26"/>
        <v>23</v>
      </c>
      <c r="B862">
        <f>_xlfn.SWITCH(Table4[[#This Row],[month]],"jan",1,"feb",2,"mar",3,"apr",4,"may",5,"jun",6,"jul",7,"aug",8,"sep",9,"oct",10,"nov",11,"dec",12,"no month")</f>
        <v>2</v>
      </c>
      <c r="C862" s="12" t="str">
        <f>LEFT('All Transactions'!$E862,3)</f>
        <v>Feb</v>
      </c>
      <c r="D862" s="12" t="str">
        <f t="shared" si="27"/>
        <v>2026</v>
      </c>
      <c r="E862" s="16" t="s">
        <v>2894</v>
      </c>
      <c r="F862" s="17" t="s">
        <v>1203</v>
      </c>
      <c r="G862" s="18" t="s">
        <v>28</v>
      </c>
      <c r="H862" s="19">
        <v>102.44</v>
      </c>
      <c r="I862" s="20" t="s">
        <v>536</v>
      </c>
      <c r="J862" s="20" t="s">
        <v>2895</v>
      </c>
      <c r="K862" s="21" t="s">
        <v>2896</v>
      </c>
      <c r="L862" s="20" t="s">
        <v>32</v>
      </c>
      <c r="M862" t="str">
        <f>TEXT(A862,"dddd")</f>
        <v>Monday</v>
      </c>
      <c r="N862" s="35">
        <f>DATE(Table4[[#This Row],[year]],Table4[[#This Row],[month2]],Table4[[#This Row],[day]])</f>
        <v>46076</v>
      </c>
    </row>
    <row r="863" spans="1:14" ht="16" x14ac:dyDescent="0.35">
      <c r="A863" t="str">
        <f t="shared" si="26"/>
        <v>23</v>
      </c>
      <c r="B863">
        <f>_xlfn.SWITCH(Table4[[#This Row],[month]],"jan",1,"feb",2,"mar",3,"apr",4,"may",5,"jun",6,"jul",7,"aug",8,"sep",9,"oct",10,"nov",11,"dec",12,"no month")</f>
        <v>2</v>
      </c>
      <c r="C863" s="12" t="str">
        <f>LEFT('All Transactions'!$E863,3)</f>
        <v>Feb</v>
      </c>
      <c r="D863" s="12" t="str">
        <f t="shared" si="27"/>
        <v>2026</v>
      </c>
      <c r="E863" s="22" t="s">
        <v>2894</v>
      </c>
      <c r="F863" s="23" t="s">
        <v>1203</v>
      </c>
      <c r="G863" s="27" t="s">
        <v>54</v>
      </c>
      <c r="H863" s="24">
        <v>100</v>
      </c>
      <c r="I863" s="25" t="s">
        <v>1586</v>
      </c>
      <c r="J863" s="25" t="s">
        <v>2897</v>
      </c>
      <c r="K863" s="26" t="s">
        <v>2898</v>
      </c>
      <c r="L863" s="25" t="s">
        <v>58</v>
      </c>
      <c r="M863" t="str">
        <f>TEXT(A863,"dddd")</f>
        <v>Monday</v>
      </c>
      <c r="N863" s="35">
        <f>DATE(Table4[[#This Row],[year]],Table4[[#This Row],[month2]],Table4[[#This Row],[day]])</f>
        <v>46076</v>
      </c>
    </row>
    <row r="864" spans="1:14" ht="16" x14ac:dyDescent="0.35">
      <c r="A864" t="str">
        <f t="shared" si="26"/>
        <v>23</v>
      </c>
      <c r="B864">
        <f>_xlfn.SWITCH(Table4[[#This Row],[month]],"jan",1,"feb",2,"mar",3,"apr",4,"may",5,"jun",6,"jul",7,"aug",8,"sep",9,"oct",10,"nov",11,"dec",12,"no month")</f>
        <v>2</v>
      </c>
      <c r="C864" s="12" t="str">
        <f>LEFT('All Transactions'!$E864,3)</f>
        <v>Feb</v>
      </c>
      <c r="D864" s="12" t="str">
        <f t="shared" si="27"/>
        <v>2026</v>
      </c>
      <c r="E864" s="16" t="s">
        <v>2894</v>
      </c>
      <c r="F864" s="17" t="s">
        <v>362</v>
      </c>
      <c r="G864" s="18" t="s">
        <v>28</v>
      </c>
      <c r="H864" s="19">
        <v>470</v>
      </c>
      <c r="I864" s="20" t="s">
        <v>2899</v>
      </c>
      <c r="J864" s="20" t="s">
        <v>2900</v>
      </c>
      <c r="K864" s="21" t="s">
        <v>2901</v>
      </c>
      <c r="L864" s="20" t="s">
        <v>32</v>
      </c>
      <c r="M864" t="str">
        <f>TEXT(A864,"dddd")</f>
        <v>Monday</v>
      </c>
      <c r="N864" s="35">
        <f>DATE(Table4[[#This Row],[year]],Table4[[#This Row],[month2]],Table4[[#This Row],[day]])</f>
        <v>46076</v>
      </c>
    </row>
    <row r="865" spans="1:14" ht="16" x14ac:dyDescent="0.35">
      <c r="A865" t="str">
        <f t="shared" si="26"/>
        <v>23</v>
      </c>
      <c r="B865">
        <f>_xlfn.SWITCH(Table4[[#This Row],[month]],"jan",1,"feb",2,"mar",3,"apr",4,"may",5,"jun",6,"jul",7,"aug",8,"sep",9,"oct",10,"nov",11,"dec",12,"no month")</f>
        <v>2</v>
      </c>
      <c r="C865" s="12" t="str">
        <f>LEFT('All Transactions'!$E865,3)</f>
        <v>Feb</v>
      </c>
      <c r="D865" s="12" t="str">
        <f t="shared" si="27"/>
        <v>2026</v>
      </c>
      <c r="E865" s="22" t="s">
        <v>2894</v>
      </c>
      <c r="F865" s="23" t="s">
        <v>362</v>
      </c>
      <c r="G865" s="27" t="s">
        <v>54</v>
      </c>
      <c r="H865" s="24">
        <v>200</v>
      </c>
      <c r="I865" s="25" t="s">
        <v>1586</v>
      </c>
      <c r="J865" s="25" t="s">
        <v>2902</v>
      </c>
      <c r="K865" s="26" t="s">
        <v>2903</v>
      </c>
      <c r="L865" s="25" t="s">
        <v>58</v>
      </c>
      <c r="M865" t="str">
        <f>TEXT(A865,"dddd")</f>
        <v>Monday</v>
      </c>
      <c r="N865" s="35">
        <f>DATE(Table4[[#This Row],[year]],Table4[[#This Row],[month2]],Table4[[#This Row],[day]])</f>
        <v>46076</v>
      </c>
    </row>
    <row r="866" spans="1:14" ht="16" x14ac:dyDescent="0.35">
      <c r="A866" t="str">
        <f t="shared" si="26"/>
        <v>23</v>
      </c>
      <c r="B866">
        <f>_xlfn.SWITCH(Table4[[#This Row],[month]],"jan",1,"feb",2,"mar",3,"apr",4,"may",5,"jun",6,"jul",7,"aug",8,"sep",9,"oct",10,"nov",11,"dec",12,"no month")</f>
        <v>2</v>
      </c>
      <c r="C866" s="12" t="str">
        <f>LEFT('All Transactions'!$E866,3)</f>
        <v>Feb</v>
      </c>
      <c r="D866" s="12" t="str">
        <f t="shared" si="27"/>
        <v>2026</v>
      </c>
      <c r="E866" s="16" t="s">
        <v>2894</v>
      </c>
      <c r="F866" s="17" t="s">
        <v>2042</v>
      </c>
      <c r="G866" s="27" t="s">
        <v>54</v>
      </c>
      <c r="H866" s="19">
        <v>200</v>
      </c>
      <c r="I866" s="20" t="s">
        <v>947</v>
      </c>
      <c r="J866" s="20" t="s">
        <v>2904</v>
      </c>
      <c r="K866" s="21" t="s">
        <v>2905</v>
      </c>
      <c r="L866" s="20" t="s">
        <v>58</v>
      </c>
      <c r="M866" t="str">
        <f>TEXT(A866,"dddd")</f>
        <v>Monday</v>
      </c>
      <c r="N866" s="35">
        <f>DATE(Table4[[#This Row],[year]],Table4[[#This Row],[month2]],Table4[[#This Row],[day]])</f>
        <v>46076</v>
      </c>
    </row>
    <row r="867" spans="1:14" ht="16" x14ac:dyDescent="0.35">
      <c r="A867" t="str">
        <f t="shared" si="26"/>
        <v>23</v>
      </c>
      <c r="B867">
        <f>_xlfn.SWITCH(Table4[[#This Row],[month]],"jan",1,"feb",2,"mar",3,"apr",4,"may",5,"jun",6,"jul",7,"aug",8,"sep",9,"oct",10,"nov",11,"dec",12,"no month")</f>
        <v>2</v>
      </c>
      <c r="C867" s="12" t="str">
        <f>LEFT('All Transactions'!$E867,3)</f>
        <v>Feb</v>
      </c>
      <c r="D867" s="12" t="str">
        <f t="shared" si="27"/>
        <v>2026</v>
      </c>
      <c r="E867" s="22" t="s">
        <v>2894</v>
      </c>
      <c r="F867" s="23" t="s">
        <v>1035</v>
      </c>
      <c r="G867" s="18" t="s">
        <v>28</v>
      </c>
      <c r="H867" s="24">
        <v>120</v>
      </c>
      <c r="I867" s="25" t="s">
        <v>2033</v>
      </c>
      <c r="J867" s="25" t="s">
        <v>2906</v>
      </c>
      <c r="K867" s="26" t="s">
        <v>2907</v>
      </c>
      <c r="L867" s="25" t="s">
        <v>32</v>
      </c>
      <c r="M867" t="str">
        <f>TEXT(A867,"dddd")</f>
        <v>Monday</v>
      </c>
      <c r="N867" s="35">
        <f>DATE(Table4[[#This Row],[year]],Table4[[#This Row],[month2]],Table4[[#This Row],[day]])</f>
        <v>46076</v>
      </c>
    </row>
    <row r="868" spans="1:14" ht="16" x14ac:dyDescent="0.35">
      <c r="A868" t="str">
        <f t="shared" si="26"/>
        <v>23</v>
      </c>
      <c r="B868">
        <f>_xlfn.SWITCH(Table4[[#This Row],[month]],"jan",1,"feb",2,"mar",3,"apr",4,"may",5,"jun",6,"jul",7,"aug",8,"sep",9,"oct",10,"nov",11,"dec",12,"no month")</f>
        <v>2</v>
      </c>
      <c r="C868" s="12" t="str">
        <f>LEFT('All Transactions'!$E868,3)</f>
        <v>Feb</v>
      </c>
      <c r="D868" s="12" t="str">
        <f t="shared" si="27"/>
        <v>2026</v>
      </c>
      <c r="E868" s="16" t="s">
        <v>2894</v>
      </c>
      <c r="F868" s="17" t="s">
        <v>2908</v>
      </c>
      <c r="G868" s="18" t="s">
        <v>28</v>
      </c>
      <c r="H868" s="19">
        <v>20</v>
      </c>
      <c r="I868" s="20" t="s">
        <v>2909</v>
      </c>
      <c r="J868" s="20" t="s">
        <v>2910</v>
      </c>
      <c r="K868" s="21"/>
      <c r="L868" s="20" t="s">
        <v>2911</v>
      </c>
      <c r="M868" t="str">
        <f>TEXT(A868,"dddd")</f>
        <v>Monday</v>
      </c>
      <c r="N868" s="35">
        <f>DATE(Table4[[#This Row],[year]],Table4[[#This Row],[month2]],Table4[[#This Row],[day]])</f>
        <v>46076</v>
      </c>
    </row>
    <row r="869" spans="1:14" ht="16" x14ac:dyDescent="0.35">
      <c r="A869" t="str">
        <f t="shared" si="26"/>
        <v>23</v>
      </c>
      <c r="B869">
        <f>_xlfn.SWITCH(Table4[[#This Row],[month]],"jan",1,"feb",2,"mar",3,"apr",4,"may",5,"jun",6,"jul",7,"aug",8,"sep",9,"oct",10,"nov",11,"dec",12,"no month")</f>
        <v>2</v>
      </c>
      <c r="C869" s="12" t="str">
        <f>LEFT('All Transactions'!$E869,3)</f>
        <v>Feb</v>
      </c>
      <c r="D869" s="12" t="str">
        <f t="shared" si="27"/>
        <v>2026</v>
      </c>
      <c r="E869" s="22" t="s">
        <v>2894</v>
      </c>
      <c r="F869" s="23" t="s">
        <v>2235</v>
      </c>
      <c r="G869" s="27" t="s">
        <v>54</v>
      </c>
      <c r="H869" s="24">
        <v>4</v>
      </c>
      <c r="I869" s="25" t="s">
        <v>2883</v>
      </c>
      <c r="J869" s="25" t="s">
        <v>2912</v>
      </c>
      <c r="K869" s="26"/>
      <c r="L869" s="25" t="s">
        <v>2885</v>
      </c>
      <c r="M869" t="str">
        <f>TEXT(A869,"dddd")</f>
        <v>Monday</v>
      </c>
      <c r="N869" s="35">
        <f>DATE(Table4[[#This Row],[year]],Table4[[#This Row],[month2]],Table4[[#This Row],[day]])</f>
        <v>46076</v>
      </c>
    </row>
    <row r="870" spans="1:14" ht="16" x14ac:dyDescent="0.35">
      <c r="A870" t="str">
        <f t="shared" si="26"/>
        <v>23</v>
      </c>
      <c r="B870">
        <f>_xlfn.SWITCH(Table4[[#This Row],[month]],"jan",1,"feb",2,"mar",3,"apr",4,"may",5,"jun",6,"jul",7,"aug",8,"sep",9,"oct",10,"nov",11,"dec",12,"no month")</f>
        <v>2</v>
      </c>
      <c r="C870" s="12" t="str">
        <f>LEFT('All Transactions'!$E870,3)</f>
        <v>Feb</v>
      </c>
      <c r="D870" s="12" t="str">
        <f t="shared" si="27"/>
        <v>2026</v>
      </c>
      <c r="E870" s="16" t="s">
        <v>2894</v>
      </c>
      <c r="F870" s="17" t="s">
        <v>2913</v>
      </c>
      <c r="G870" s="18" t="s">
        <v>28</v>
      </c>
      <c r="H870" s="19">
        <v>124.18</v>
      </c>
      <c r="I870" s="20" t="s">
        <v>336</v>
      </c>
      <c r="J870" s="20" t="s">
        <v>2914</v>
      </c>
      <c r="K870" s="21" t="s">
        <v>2915</v>
      </c>
      <c r="L870" s="20" t="s">
        <v>32</v>
      </c>
      <c r="M870" t="str">
        <f>TEXT(A870,"dddd")</f>
        <v>Monday</v>
      </c>
      <c r="N870" s="35">
        <f>DATE(Table4[[#This Row],[year]],Table4[[#This Row],[month2]],Table4[[#This Row],[day]])</f>
        <v>46076</v>
      </c>
    </row>
    <row r="871" spans="1:14" ht="16" x14ac:dyDescent="0.35">
      <c r="A871" t="str">
        <f t="shared" si="26"/>
        <v>23</v>
      </c>
      <c r="B871">
        <f>_xlfn.SWITCH(Table4[[#This Row],[month]],"jan",1,"feb",2,"mar",3,"apr",4,"may",5,"jun",6,"jul",7,"aug",8,"sep",9,"oct",10,"nov",11,"dec",12,"no month")</f>
        <v>2</v>
      </c>
      <c r="C871" s="12" t="str">
        <f>LEFT('All Transactions'!$E871,3)</f>
        <v>Feb</v>
      </c>
      <c r="D871" s="12" t="str">
        <f t="shared" si="27"/>
        <v>2026</v>
      </c>
      <c r="E871" s="22" t="s">
        <v>2894</v>
      </c>
      <c r="F871" s="23" t="s">
        <v>2916</v>
      </c>
      <c r="G871" s="27" t="s">
        <v>54</v>
      </c>
      <c r="H871" s="24">
        <v>1.5</v>
      </c>
      <c r="I871" s="25" t="s">
        <v>2883</v>
      </c>
      <c r="J871" s="25" t="s">
        <v>2917</v>
      </c>
      <c r="K871" s="26"/>
      <c r="L871" s="25" t="s">
        <v>2885</v>
      </c>
      <c r="M871" t="str">
        <f>TEXT(A871,"dddd")</f>
        <v>Monday</v>
      </c>
      <c r="N871" s="35">
        <f>DATE(Table4[[#This Row],[year]],Table4[[#This Row],[month2]],Table4[[#This Row],[day]])</f>
        <v>46076</v>
      </c>
    </row>
    <row r="872" spans="1:14" ht="16" x14ac:dyDescent="0.35">
      <c r="A872" t="str">
        <f t="shared" si="26"/>
        <v>23</v>
      </c>
      <c r="B872">
        <f>_xlfn.SWITCH(Table4[[#This Row],[month]],"jan",1,"feb",2,"mar",3,"apr",4,"may",5,"jun",6,"jul",7,"aug",8,"sep",9,"oct",10,"nov",11,"dec",12,"no month")</f>
        <v>2</v>
      </c>
      <c r="C872" s="12" t="str">
        <f>LEFT('All Transactions'!$E872,3)</f>
        <v>Feb</v>
      </c>
      <c r="D872" s="12" t="str">
        <f t="shared" si="27"/>
        <v>2026</v>
      </c>
      <c r="E872" s="16" t="s">
        <v>2894</v>
      </c>
      <c r="F872" s="17" t="s">
        <v>2918</v>
      </c>
      <c r="G872" s="18" t="s">
        <v>28</v>
      </c>
      <c r="H872" s="19">
        <v>134</v>
      </c>
      <c r="I872" s="20" t="s">
        <v>2919</v>
      </c>
      <c r="J872" s="20" t="s">
        <v>2920</v>
      </c>
      <c r="K872" s="21" t="s">
        <v>2921</v>
      </c>
      <c r="L872" s="20" t="s">
        <v>32</v>
      </c>
      <c r="M872" t="str">
        <f>TEXT(A872,"dddd")</f>
        <v>Monday</v>
      </c>
      <c r="N872" s="35">
        <f>DATE(Table4[[#This Row],[year]],Table4[[#This Row],[month2]],Table4[[#This Row],[day]])</f>
        <v>46076</v>
      </c>
    </row>
    <row r="873" spans="1:14" ht="16" x14ac:dyDescent="0.35">
      <c r="A873" t="str">
        <f t="shared" si="26"/>
        <v>23</v>
      </c>
      <c r="B873">
        <f>_xlfn.SWITCH(Table4[[#This Row],[month]],"jan",1,"feb",2,"mar",3,"apr",4,"may",5,"jun",6,"jul",7,"aug",8,"sep",9,"oct",10,"nov",11,"dec",12,"no month")</f>
        <v>2</v>
      </c>
      <c r="C873" s="12" t="str">
        <f>LEFT('All Transactions'!$E873,3)</f>
        <v>Feb</v>
      </c>
      <c r="D873" s="12" t="str">
        <f t="shared" si="27"/>
        <v>2026</v>
      </c>
      <c r="E873" s="22" t="s">
        <v>2894</v>
      </c>
      <c r="F873" s="23" t="s">
        <v>2922</v>
      </c>
      <c r="G873" s="27" t="s">
        <v>54</v>
      </c>
      <c r="H873" s="24">
        <v>134</v>
      </c>
      <c r="I873" s="25" t="s">
        <v>1775</v>
      </c>
      <c r="J873" s="25" t="s">
        <v>2923</v>
      </c>
      <c r="K873" s="26" t="s">
        <v>2924</v>
      </c>
      <c r="L873" s="25" t="s">
        <v>58</v>
      </c>
      <c r="M873" t="str">
        <f>TEXT(A873,"dddd")</f>
        <v>Monday</v>
      </c>
      <c r="N873" s="35">
        <f>DATE(Table4[[#This Row],[year]],Table4[[#This Row],[month2]],Table4[[#This Row],[day]])</f>
        <v>46076</v>
      </c>
    </row>
    <row r="874" spans="1:14" ht="16" x14ac:dyDescent="0.35">
      <c r="A874" t="str">
        <f t="shared" si="26"/>
        <v>23</v>
      </c>
      <c r="B874">
        <f>_xlfn.SWITCH(Table4[[#This Row],[month]],"jan",1,"feb",2,"mar",3,"apr",4,"may",5,"jun",6,"jul",7,"aug",8,"sep",9,"oct",10,"nov",11,"dec",12,"no month")</f>
        <v>2</v>
      </c>
      <c r="C874" s="12" t="str">
        <f>LEFT('All Transactions'!$E874,3)</f>
        <v>Feb</v>
      </c>
      <c r="D874" s="12" t="str">
        <f t="shared" si="27"/>
        <v>2026</v>
      </c>
      <c r="E874" s="16" t="s">
        <v>2894</v>
      </c>
      <c r="F874" s="17" t="s">
        <v>2925</v>
      </c>
      <c r="G874" s="18" t="s">
        <v>28</v>
      </c>
      <c r="H874" s="19">
        <v>60</v>
      </c>
      <c r="I874" s="20" t="s">
        <v>2778</v>
      </c>
      <c r="J874" s="20" t="s">
        <v>2926</v>
      </c>
      <c r="K874" s="21" t="s">
        <v>2927</v>
      </c>
      <c r="L874" s="20" t="s">
        <v>32</v>
      </c>
      <c r="M874" t="str">
        <f>TEXT(A874,"dddd")</f>
        <v>Monday</v>
      </c>
      <c r="N874" s="35">
        <f>DATE(Table4[[#This Row],[year]],Table4[[#This Row],[month2]],Table4[[#This Row],[day]])</f>
        <v>46076</v>
      </c>
    </row>
    <row r="875" spans="1:14" ht="16" x14ac:dyDescent="0.35">
      <c r="A875" t="str">
        <f t="shared" si="26"/>
        <v>22</v>
      </c>
      <c r="B875">
        <f>_xlfn.SWITCH(Table4[[#This Row],[month]],"jan",1,"feb",2,"mar",3,"apr",4,"may",5,"jun",6,"jul",7,"aug",8,"sep",9,"oct",10,"nov",11,"dec",12,"no month")</f>
        <v>2</v>
      </c>
      <c r="C875" s="12" t="str">
        <f>LEFT('All Transactions'!$E875,3)</f>
        <v>Feb</v>
      </c>
      <c r="D875" s="12" t="str">
        <f t="shared" si="27"/>
        <v>2026</v>
      </c>
      <c r="E875" s="22" t="s">
        <v>2928</v>
      </c>
      <c r="F875" s="23" t="s">
        <v>561</v>
      </c>
      <c r="G875" s="27" t="s">
        <v>54</v>
      </c>
      <c r="H875" s="24">
        <v>1.5</v>
      </c>
      <c r="I875" s="25" t="s">
        <v>2883</v>
      </c>
      <c r="J875" s="25" t="s">
        <v>2929</v>
      </c>
      <c r="K875" s="26"/>
      <c r="L875" s="25" t="s">
        <v>2885</v>
      </c>
      <c r="M875" t="str">
        <f>TEXT(A875,"dddd")</f>
        <v>Sunday</v>
      </c>
      <c r="N875" s="35">
        <f>DATE(Table4[[#This Row],[year]],Table4[[#This Row],[month2]],Table4[[#This Row],[day]])</f>
        <v>46075</v>
      </c>
    </row>
    <row r="876" spans="1:14" ht="16" x14ac:dyDescent="0.35">
      <c r="A876" t="str">
        <f t="shared" si="26"/>
        <v>22</v>
      </c>
      <c r="B876">
        <f>_xlfn.SWITCH(Table4[[#This Row],[month]],"jan",1,"feb",2,"mar",3,"apr",4,"may",5,"jun",6,"jul",7,"aug",8,"sep",9,"oct",10,"nov",11,"dec",12,"no month")</f>
        <v>2</v>
      </c>
      <c r="C876" s="12" t="str">
        <f>LEFT('All Transactions'!$E876,3)</f>
        <v>Feb</v>
      </c>
      <c r="D876" s="12" t="str">
        <f t="shared" si="27"/>
        <v>2026</v>
      </c>
      <c r="E876" s="16" t="s">
        <v>2928</v>
      </c>
      <c r="F876" s="17" t="s">
        <v>561</v>
      </c>
      <c r="G876" s="18" t="s">
        <v>28</v>
      </c>
      <c r="H876" s="19">
        <v>24</v>
      </c>
      <c r="I876" s="20" t="s">
        <v>2930</v>
      </c>
      <c r="J876" s="20" t="s">
        <v>2931</v>
      </c>
      <c r="K876" s="21"/>
      <c r="L876" s="20" t="s">
        <v>2911</v>
      </c>
      <c r="M876" t="str">
        <f>TEXT(A876,"dddd")</f>
        <v>Sunday</v>
      </c>
      <c r="N876" s="35">
        <f>DATE(Table4[[#This Row],[year]],Table4[[#This Row],[month2]],Table4[[#This Row],[day]])</f>
        <v>46075</v>
      </c>
    </row>
    <row r="877" spans="1:14" ht="16" x14ac:dyDescent="0.35">
      <c r="A877" t="str">
        <f t="shared" si="26"/>
        <v>22</v>
      </c>
      <c r="B877">
        <f>_xlfn.SWITCH(Table4[[#This Row],[month]],"jan",1,"feb",2,"mar",3,"apr",4,"may",5,"jun",6,"jul",7,"aug",8,"sep",9,"oct",10,"nov",11,"dec",12,"no month")</f>
        <v>2</v>
      </c>
      <c r="C877" s="12" t="str">
        <f>LEFT('All Transactions'!$E877,3)</f>
        <v>Feb</v>
      </c>
      <c r="D877" s="12" t="str">
        <f t="shared" si="27"/>
        <v>2026</v>
      </c>
      <c r="E877" s="22" t="s">
        <v>2928</v>
      </c>
      <c r="F877" s="23" t="s">
        <v>1838</v>
      </c>
      <c r="G877" s="18" t="s">
        <v>28</v>
      </c>
      <c r="H877" s="24">
        <v>30</v>
      </c>
      <c r="I877" s="25" t="s">
        <v>2932</v>
      </c>
      <c r="J877" s="25" t="s">
        <v>2933</v>
      </c>
      <c r="K877" s="26" t="s">
        <v>2934</v>
      </c>
      <c r="L877" s="25" t="s">
        <v>32</v>
      </c>
      <c r="M877" t="str">
        <f>TEXT(A877,"dddd")</f>
        <v>Sunday</v>
      </c>
      <c r="N877" s="35">
        <f>DATE(Table4[[#This Row],[year]],Table4[[#This Row],[month2]],Table4[[#This Row],[day]])</f>
        <v>46075</v>
      </c>
    </row>
    <row r="878" spans="1:14" ht="16" x14ac:dyDescent="0.35">
      <c r="A878" t="str">
        <f t="shared" si="26"/>
        <v>22</v>
      </c>
      <c r="B878">
        <f>_xlfn.SWITCH(Table4[[#This Row],[month]],"jan",1,"feb",2,"mar",3,"apr",4,"may",5,"jun",6,"jul",7,"aug",8,"sep",9,"oct",10,"nov",11,"dec",12,"no month")</f>
        <v>2</v>
      </c>
      <c r="C878" s="12" t="str">
        <f>LEFT('All Transactions'!$E878,3)</f>
        <v>Feb</v>
      </c>
      <c r="D878" s="12" t="str">
        <f t="shared" si="27"/>
        <v>2026</v>
      </c>
      <c r="E878" s="16" t="s">
        <v>2928</v>
      </c>
      <c r="F878" s="17" t="s">
        <v>255</v>
      </c>
      <c r="G878" s="27" t="s">
        <v>54</v>
      </c>
      <c r="H878" s="19">
        <v>1.5</v>
      </c>
      <c r="I878" s="20" t="s">
        <v>2883</v>
      </c>
      <c r="J878" s="20" t="s">
        <v>2935</v>
      </c>
      <c r="K878" s="21"/>
      <c r="L878" s="20" t="s">
        <v>2885</v>
      </c>
      <c r="M878" t="str">
        <f>TEXT(A878,"dddd")</f>
        <v>Sunday</v>
      </c>
      <c r="N878" s="35">
        <f>DATE(Table4[[#This Row],[year]],Table4[[#This Row],[month2]],Table4[[#This Row],[day]])</f>
        <v>46075</v>
      </c>
    </row>
    <row r="879" spans="1:14" ht="16" x14ac:dyDescent="0.35">
      <c r="A879" t="str">
        <f t="shared" si="26"/>
        <v>22</v>
      </c>
      <c r="B879">
        <f>_xlfn.SWITCH(Table4[[#This Row],[month]],"jan",1,"feb",2,"mar",3,"apr",4,"may",5,"jun",6,"jul",7,"aug",8,"sep",9,"oct",10,"nov",11,"dec",12,"no month")</f>
        <v>2</v>
      </c>
      <c r="C879" s="12" t="str">
        <f>LEFT('All Transactions'!$E879,3)</f>
        <v>Feb</v>
      </c>
      <c r="D879" s="12" t="str">
        <f t="shared" si="27"/>
        <v>2026</v>
      </c>
      <c r="E879" s="22" t="s">
        <v>2928</v>
      </c>
      <c r="F879" s="23" t="s">
        <v>255</v>
      </c>
      <c r="G879" s="27" t="s">
        <v>54</v>
      </c>
      <c r="H879" s="24">
        <v>1</v>
      </c>
      <c r="I879" s="25" t="s">
        <v>2883</v>
      </c>
      <c r="J879" s="25" t="s">
        <v>2936</v>
      </c>
      <c r="K879" s="26"/>
      <c r="L879" s="25" t="s">
        <v>2885</v>
      </c>
      <c r="M879" t="str">
        <f>TEXT(A879,"dddd")</f>
        <v>Sunday</v>
      </c>
      <c r="N879" s="35">
        <f>DATE(Table4[[#This Row],[year]],Table4[[#This Row],[month2]],Table4[[#This Row],[day]])</f>
        <v>46075</v>
      </c>
    </row>
    <row r="880" spans="1:14" ht="16" x14ac:dyDescent="0.35">
      <c r="A880" t="str">
        <f t="shared" si="26"/>
        <v>22</v>
      </c>
      <c r="B880">
        <f>_xlfn.SWITCH(Table4[[#This Row],[month]],"jan",1,"feb",2,"mar",3,"apr",4,"may",5,"jun",6,"jul",7,"aug",8,"sep",9,"oct",10,"nov",11,"dec",12,"no month")</f>
        <v>2</v>
      </c>
      <c r="C880" s="12" t="str">
        <f>LEFT('All Transactions'!$E880,3)</f>
        <v>Feb</v>
      </c>
      <c r="D880" s="12" t="str">
        <f t="shared" si="27"/>
        <v>2026</v>
      </c>
      <c r="E880" s="16" t="s">
        <v>2928</v>
      </c>
      <c r="F880" s="17" t="s">
        <v>259</v>
      </c>
      <c r="G880" s="27" t="s">
        <v>54</v>
      </c>
      <c r="H880" s="19">
        <v>2</v>
      </c>
      <c r="I880" s="20" t="s">
        <v>2883</v>
      </c>
      <c r="J880" s="20" t="s">
        <v>2937</v>
      </c>
      <c r="K880" s="21"/>
      <c r="L880" s="20" t="s">
        <v>2885</v>
      </c>
      <c r="M880" t="str">
        <f>TEXT(A880,"dddd")</f>
        <v>Sunday</v>
      </c>
      <c r="N880" s="35">
        <f>DATE(Table4[[#This Row],[year]],Table4[[#This Row],[month2]],Table4[[#This Row],[day]])</f>
        <v>46075</v>
      </c>
    </row>
    <row r="881" spans="1:14" ht="16" x14ac:dyDescent="0.35">
      <c r="A881" t="str">
        <f t="shared" si="26"/>
        <v>22</v>
      </c>
      <c r="B881">
        <f>_xlfn.SWITCH(Table4[[#This Row],[month]],"jan",1,"feb",2,"mar",3,"apr",4,"may",5,"jun",6,"jul",7,"aug",8,"sep",9,"oct",10,"nov",11,"dec",12,"no month")</f>
        <v>2</v>
      </c>
      <c r="C881" s="12" t="str">
        <f>LEFT('All Transactions'!$E881,3)</f>
        <v>Feb</v>
      </c>
      <c r="D881" s="12" t="str">
        <f t="shared" si="27"/>
        <v>2026</v>
      </c>
      <c r="E881" s="22" t="s">
        <v>2928</v>
      </c>
      <c r="F881" s="23" t="s">
        <v>259</v>
      </c>
      <c r="G881" s="27" t="s">
        <v>54</v>
      </c>
      <c r="H881" s="24">
        <v>1</v>
      </c>
      <c r="I881" s="25" t="s">
        <v>2883</v>
      </c>
      <c r="J881" s="25" t="s">
        <v>2938</v>
      </c>
      <c r="K881" s="26"/>
      <c r="L881" s="25" t="s">
        <v>2885</v>
      </c>
      <c r="M881" t="str">
        <f>TEXT(A881,"dddd")</f>
        <v>Sunday</v>
      </c>
      <c r="N881" s="35">
        <f>DATE(Table4[[#This Row],[year]],Table4[[#This Row],[month2]],Table4[[#This Row],[day]])</f>
        <v>46075</v>
      </c>
    </row>
    <row r="882" spans="1:14" ht="16" x14ac:dyDescent="0.35">
      <c r="A882" t="str">
        <f t="shared" si="26"/>
        <v>22</v>
      </c>
      <c r="B882">
        <f>_xlfn.SWITCH(Table4[[#This Row],[month]],"jan",1,"feb",2,"mar",3,"apr",4,"may",5,"jun",6,"jul",7,"aug",8,"sep",9,"oct",10,"nov",11,"dec",12,"no month")</f>
        <v>2</v>
      </c>
      <c r="C882" s="12" t="str">
        <f>LEFT('All Transactions'!$E882,3)</f>
        <v>Feb</v>
      </c>
      <c r="D882" s="12" t="str">
        <f t="shared" si="27"/>
        <v>2026</v>
      </c>
      <c r="E882" s="16" t="s">
        <v>2928</v>
      </c>
      <c r="F882" s="17" t="s">
        <v>259</v>
      </c>
      <c r="G882" s="27" t="s">
        <v>54</v>
      </c>
      <c r="H882" s="19">
        <v>1.5</v>
      </c>
      <c r="I882" s="20" t="s">
        <v>2883</v>
      </c>
      <c r="J882" s="20" t="s">
        <v>2939</v>
      </c>
      <c r="K882" s="21"/>
      <c r="L882" s="20" t="s">
        <v>2885</v>
      </c>
      <c r="M882" t="str">
        <f>TEXT(A882,"dddd")</f>
        <v>Sunday</v>
      </c>
      <c r="N882" s="35">
        <f>DATE(Table4[[#This Row],[year]],Table4[[#This Row],[month2]],Table4[[#This Row],[day]])</f>
        <v>46075</v>
      </c>
    </row>
    <row r="883" spans="1:14" ht="16" x14ac:dyDescent="0.35">
      <c r="A883" t="str">
        <f t="shared" si="26"/>
        <v>22</v>
      </c>
      <c r="B883">
        <f>_xlfn.SWITCH(Table4[[#This Row],[month]],"jan",1,"feb",2,"mar",3,"apr",4,"may",5,"jun",6,"jul",7,"aug",8,"sep",9,"oct",10,"nov",11,"dec",12,"no month")</f>
        <v>2</v>
      </c>
      <c r="C883" s="12" t="str">
        <f>LEFT('All Transactions'!$E883,3)</f>
        <v>Feb</v>
      </c>
      <c r="D883" s="12" t="str">
        <f t="shared" si="27"/>
        <v>2026</v>
      </c>
      <c r="E883" s="22" t="s">
        <v>2928</v>
      </c>
      <c r="F883" s="23" t="s">
        <v>259</v>
      </c>
      <c r="G883" s="27" t="s">
        <v>54</v>
      </c>
      <c r="H883" s="24">
        <v>1.5</v>
      </c>
      <c r="I883" s="25" t="s">
        <v>2883</v>
      </c>
      <c r="J883" s="25" t="s">
        <v>2940</v>
      </c>
      <c r="K883" s="26"/>
      <c r="L883" s="25" t="s">
        <v>2885</v>
      </c>
      <c r="M883" t="str">
        <f>TEXT(A883,"dddd")</f>
        <v>Sunday</v>
      </c>
      <c r="N883" s="35">
        <f>DATE(Table4[[#This Row],[year]],Table4[[#This Row],[month2]],Table4[[#This Row],[day]])</f>
        <v>46075</v>
      </c>
    </row>
    <row r="884" spans="1:14" ht="16" x14ac:dyDescent="0.35">
      <c r="A884" t="str">
        <f t="shared" si="26"/>
        <v>22</v>
      </c>
      <c r="B884">
        <f>_xlfn.SWITCH(Table4[[#This Row],[month]],"jan",1,"feb",2,"mar",3,"apr",4,"may",5,"jun",6,"jul",7,"aug",8,"sep",9,"oct",10,"nov",11,"dec",12,"no month")</f>
        <v>2</v>
      </c>
      <c r="C884" s="12" t="str">
        <f>LEFT('All Transactions'!$E884,3)</f>
        <v>Feb</v>
      </c>
      <c r="D884" s="12" t="str">
        <f t="shared" si="27"/>
        <v>2026</v>
      </c>
      <c r="E884" s="16" t="s">
        <v>2928</v>
      </c>
      <c r="F884" s="17" t="s">
        <v>259</v>
      </c>
      <c r="G884" s="27" t="s">
        <v>54</v>
      </c>
      <c r="H884" s="19">
        <v>3</v>
      </c>
      <c r="I884" s="20" t="s">
        <v>2883</v>
      </c>
      <c r="J884" s="20" t="s">
        <v>2941</v>
      </c>
      <c r="K884" s="21"/>
      <c r="L884" s="20" t="s">
        <v>2885</v>
      </c>
      <c r="M884" t="str">
        <f>TEXT(A884,"dddd")</f>
        <v>Sunday</v>
      </c>
      <c r="N884" s="35">
        <f>DATE(Table4[[#This Row],[year]],Table4[[#This Row],[month2]],Table4[[#This Row],[day]])</f>
        <v>46075</v>
      </c>
    </row>
    <row r="885" spans="1:14" ht="16" x14ac:dyDescent="0.35">
      <c r="A885" t="str">
        <f t="shared" si="26"/>
        <v>22</v>
      </c>
      <c r="B885">
        <f>_xlfn.SWITCH(Table4[[#This Row],[month]],"jan",1,"feb",2,"mar",3,"apr",4,"may",5,"jun",6,"jul",7,"aug",8,"sep",9,"oct",10,"nov",11,"dec",12,"no month")</f>
        <v>2</v>
      </c>
      <c r="C885" s="12" t="str">
        <f>LEFT('All Transactions'!$E885,3)</f>
        <v>Feb</v>
      </c>
      <c r="D885" s="12" t="str">
        <f t="shared" si="27"/>
        <v>2026</v>
      </c>
      <c r="E885" s="22" t="s">
        <v>2928</v>
      </c>
      <c r="F885" s="23" t="s">
        <v>259</v>
      </c>
      <c r="G885" s="27" t="s">
        <v>54</v>
      </c>
      <c r="H885" s="24">
        <v>1.5</v>
      </c>
      <c r="I885" s="25" t="s">
        <v>2883</v>
      </c>
      <c r="J885" s="25" t="s">
        <v>2942</v>
      </c>
      <c r="K885" s="26"/>
      <c r="L885" s="25" t="s">
        <v>2885</v>
      </c>
      <c r="M885" t="str">
        <f>TEXT(A885,"dddd")</f>
        <v>Sunday</v>
      </c>
      <c r="N885" s="35">
        <f>DATE(Table4[[#This Row],[year]],Table4[[#This Row],[month2]],Table4[[#This Row],[day]])</f>
        <v>46075</v>
      </c>
    </row>
    <row r="886" spans="1:14" ht="16" x14ac:dyDescent="0.35">
      <c r="A886" t="str">
        <f t="shared" si="26"/>
        <v>22</v>
      </c>
      <c r="B886">
        <f>_xlfn.SWITCH(Table4[[#This Row],[month]],"jan",1,"feb",2,"mar",3,"apr",4,"may",5,"jun",6,"jul",7,"aug",8,"sep",9,"oct",10,"nov",11,"dec",12,"no month")</f>
        <v>2</v>
      </c>
      <c r="C886" s="12" t="str">
        <f>LEFT('All Transactions'!$E886,3)</f>
        <v>Feb</v>
      </c>
      <c r="D886" s="12" t="str">
        <f t="shared" si="27"/>
        <v>2026</v>
      </c>
      <c r="E886" s="16" t="s">
        <v>2928</v>
      </c>
      <c r="F886" s="17" t="s">
        <v>259</v>
      </c>
      <c r="G886" s="27" t="s">
        <v>54</v>
      </c>
      <c r="H886" s="19">
        <v>4</v>
      </c>
      <c r="I886" s="20" t="s">
        <v>2883</v>
      </c>
      <c r="J886" s="20" t="s">
        <v>2943</v>
      </c>
      <c r="K886" s="21"/>
      <c r="L886" s="20" t="s">
        <v>2885</v>
      </c>
      <c r="M886" t="str">
        <f>TEXT(A886,"dddd")</f>
        <v>Sunday</v>
      </c>
      <c r="N886" s="35">
        <f>DATE(Table4[[#This Row],[year]],Table4[[#This Row],[month2]],Table4[[#This Row],[day]])</f>
        <v>46075</v>
      </c>
    </row>
    <row r="887" spans="1:14" ht="16" x14ac:dyDescent="0.35">
      <c r="A887" t="str">
        <f t="shared" si="26"/>
        <v>22</v>
      </c>
      <c r="B887">
        <f>_xlfn.SWITCH(Table4[[#This Row],[month]],"jan",1,"feb",2,"mar",3,"apr",4,"may",5,"jun",6,"jul",7,"aug",8,"sep",9,"oct",10,"nov",11,"dec",12,"no month")</f>
        <v>2</v>
      </c>
      <c r="C887" s="12" t="str">
        <f>LEFT('All Transactions'!$E887,3)</f>
        <v>Feb</v>
      </c>
      <c r="D887" s="12" t="str">
        <f t="shared" si="27"/>
        <v>2026</v>
      </c>
      <c r="E887" s="22" t="s">
        <v>2928</v>
      </c>
      <c r="F887" s="23" t="s">
        <v>259</v>
      </c>
      <c r="G887" s="27" t="s">
        <v>54</v>
      </c>
      <c r="H887" s="24">
        <v>4</v>
      </c>
      <c r="I887" s="25" t="s">
        <v>2883</v>
      </c>
      <c r="J887" s="25" t="s">
        <v>2944</v>
      </c>
      <c r="K887" s="26"/>
      <c r="L887" s="25" t="s">
        <v>2885</v>
      </c>
      <c r="M887" t="str">
        <f>TEXT(A887,"dddd")</f>
        <v>Sunday</v>
      </c>
      <c r="N887" s="35">
        <f>DATE(Table4[[#This Row],[year]],Table4[[#This Row],[month2]],Table4[[#This Row],[day]])</f>
        <v>46075</v>
      </c>
    </row>
    <row r="888" spans="1:14" ht="16" x14ac:dyDescent="0.35">
      <c r="A888" t="str">
        <f t="shared" si="26"/>
        <v>22</v>
      </c>
      <c r="B888">
        <f>_xlfn.SWITCH(Table4[[#This Row],[month]],"jan",1,"feb",2,"mar",3,"apr",4,"may",5,"jun",6,"jul",7,"aug",8,"sep",9,"oct",10,"nov",11,"dec",12,"no month")</f>
        <v>2</v>
      </c>
      <c r="C888" s="12" t="str">
        <f>LEFT('All Transactions'!$E888,3)</f>
        <v>Feb</v>
      </c>
      <c r="D888" s="12" t="str">
        <f t="shared" si="27"/>
        <v>2026</v>
      </c>
      <c r="E888" s="16" t="s">
        <v>2928</v>
      </c>
      <c r="F888" s="17" t="s">
        <v>259</v>
      </c>
      <c r="G888" s="27" t="s">
        <v>54</v>
      </c>
      <c r="H888" s="19">
        <v>4</v>
      </c>
      <c r="I888" s="20" t="s">
        <v>2883</v>
      </c>
      <c r="J888" s="20" t="s">
        <v>2945</v>
      </c>
      <c r="K888" s="21"/>
      <c r="L888" s="20" t="s">
        <v>2885</v>
      </c>
      <c r="M888" t="str">
        <f>TEXT(A888,"dddd")</f>
        <v>Sunday</v>
      </c>
      <c r="N888" s="35">
        <f>DATE(Table4[[#This Row],[year]],Table4[[#This Row],[month2]],Table4[[#This Row],[day]])</f>
        <v>46075</v>
      </c>
    </row>
    <row r="889" spans="1:14" ht="16" x14ac:dyDescent="0.35">
      <c r="A889" t="str">
        <f t="shared" si="26"/>
        <v>22</v>
      </c>
      <c r="B889">
        <f>_xlfn.SWITCH(Table4[[#This Row],[month]],"jan",1,"feb",2,"mar",3,"apr",4,"may",5,"jun",6,"jul",7,"aug",8,"sep",9,"oct",10,"nov",11,"dec",12,"no month")</f>
        <v>2</v>
      </c>
      <c r="C889" s="12" t="str">
        <f>LEFT('All Transactions'!$E889,3)</f>
        <v>Feb</v>
      </c>
      <c r="D889" s="12" t="str">
        <f t="shared" si="27"/>
        <v>2026</v>
      </c>
      <c r="E889" s="22" t="s">
        <v>2928</v>
      </c>
      <c r="F889" s="23" t="s">
        <v>259</v>
      </c>
      <c r="G889" s="27" t="s">
        <v>54</v>
      </c>
      <c r="H889" s="24">
        <v>2.5</v>
      </c>
      <c r="I889" s="25" t="s">
        <v>2883</v>
      </c>
      <c r="J889" s="25" t="s">
        <v>2946</v>
      </c>
      <c r="K889" s="26"/>
      <c r="L889" s="25" t="s">
        <v>2885</v>
      </c>
      <c r="M889" t="str">
        <f>TEXT(A889,"dddd")</f>
        <v>Sunday</v>
      </c>
      <c r="N889" s="35">
        <f>DATE(Table4[[#This Row],[year]],Table4[[#This Row],[month2]],Table4[[#This Row],[day]])</f>
        <v>46075</v>
      </c>
    </row>
    <row r="890" spans="1:14" ht="16" x14ac:dyDescent="0.35">
      <c r="A890" t="str">
        <f t="shared" si="26"/>
        <v>22</v>
      </c>
      <c r="B890">
        <f>_xlfn.SWITCH(Table4[[#This Row],[month]],"jan",1,"feb",2,"mar",3,"apr",4,"may",5,"jun",6,"jul",7,"aug",8,"sep",9,"oct",10,"nov",11,"dec",12,"no month")</f>
        <v>2</v>
      </c>
      <c r="C890" s="12" t="str">
        <f>LEFT('All Transactions'!$E890,3)</f>
        <v>Feb</v>
      </c>
      <c r="D890" s="12" t="str">
        <f t="shared" si="27"/>
        <v>2026</v>
      </c>
      <c r="E890" s="16" t="s">
        <v>2928</v>
      </c>
      <c r="F890" s="17" t="s">
        <v>259</v>
      </c>
      <c r="G890" s="27" t="s">
        <v>54</v>
      </c>
      <c r="H890" s="19">
        <v>1.5</v>
      </c>
      <c r="I890" s="20" t="s">
        <v>2883</v>
      </c>
      <c r="J890" s="20" t="s">
        <v>2947</v>
      </c>
      <c r="K890" s="21"/>
      <c r="L890" s="20" t="s">
        <v>2885</v>
      </c>
      <c r="M890" t="str">
        <f>TEXT(A890,"dddd")</f>
        <v>Sunday</v>
      </c>
      <c r="N890" s="35">
        <f>DATE(Table4[[#This Row],[year]],Table4[[#This Row],[month2]],Table4[[#This Row],[day]])</f>
        <v>46075</v>
      </c>
    </row>
    <row r="891" spans="1:14" ht="16" x14ac:dyDescent="0.35">
      <c r="A891" t="str">
        <f t="shared" si="26"/>
        <v>22</v>
      </c>
      <c r="B891">
        <f>_xlfn.SWITCH(Table4[[#This Row],[month]],"jan",1,"feb",2,"mar",3,"apr",4,"may",5,"jun",6,"jul",7,"aug",8,"sep",9,"oct",10,"nov",11,"dec",12,"no month")</f>
        <v>2</v>
      </c>
      <c r="C891" s="12" t="str">
        <f>LEFT('All Transactions'!$E891,3)</f>
        <v>Feb</v>
      </c>
      <c r="D891" s="12" t="str">
        <f t="shared" si="27"/>
        <v>2026</v>
      </c>
      <c r="E891" s="22" t="s">
        <v>2928</v>
      </c>
      <c r="F891" s="23" t="s">
        <v>259</v>
      </c>
      <c r="G891" s="27" t="s">
        <v>54</v>
      </c>
      <c r="H891" s="24">
        <v>1.5</v>
      </c>
      <c r="I891" s="25" t="s">
        <v>2883</v>
      </c>
      <c r="J891" s="25" t="s">
        <v>2948</v>
      </c>
      <c r="K891" s="26"/>
      <c r="L891" s="25" t="s">
        <v>2885</v>
      </c>
      <c r="M891" t="str">
        <f>TEXT(A891,"dddd")</f>
        <v>Sunday</v>
      </c>
      <c r="N891" s="35">
        <f>DATE(Table4[[#This Row],[year]],Table4[[#This Row],[month2]],Table4[[#This Row],[day]])</f>
        <v>46075</v>
      </c>
    </row>
    <row r="892" spans="1:14" ht="16" x14ac:dyDescent="0.35">
      <c r="A892" t="str">
        <f t="shared" si="26"/>
        <v>22</v>
      </c>
      <c r="B892">
        <f>_xlfn.SWITCH(Table4[[#This Row],[month]],"jan",1,"feb",2,"mar",3,"apr",4,"may",5,"jun",6,"jul",7,"aug",8,"sep",9,"oct",10,"nov",11,"dec",12,"no month")</f>
        <v>2</v>
      </c>
      <c r="C892" s="12" t="str">
        <f>LEFT('All Transactions'!$E892,3)</f>
        <v>Feb</v>
      </c>
      <c r="D892" s="12" t="str">
        <f t="shared" si="27"/>
        <v>2026</v>
      </c>
      <c r="E892" s="16" t="s">
        <v>2928</v>
      </c>
      <c r="F892" s="17" t="s">
        <v>259</v>
      </c>
      <c r="G892" s="27" t="s">
        <v>54</v>
      </c>
      <c r="H892" s="19">
        <v>3</v>
      </c>
      <c r="I892" s="20" t="s">
        <v>2883</v>
      </c>
      <c r="J892" s="20" t="s">
        <v>2949</v>
      </c>
      <c r="K892" s="21"/>
      <c r="L892" s="20" t="s">
        <v>2885</v>
      </c>
      <c r="M892" t="str">
        <f>TEXT(A892,"dddd")</f>
        <v>Sunday</v>
      </c>
      <c r="N892" s="35">
        <f>DATE(Table4[[#This Row],[year]],Table4[[#This Row],[month2]],Table4[[#This Row],[day]])</f>
        <v>46075</v>
      </c>
    </row>
    <row r="893" spans="1:14" ht="16" x14ac:dyDescent="0.35">
      <c r="A893" t="str">
        <f t="shared" si="26"/>
        <v>22</v>
      </c>
      <c r="B893">
        <f>_xlfn.SWITCH(Table4[[#This Row],[month]],"jan",1,"feb",2,"mar",3,"apr",4,"may",5,"jun",6,"jul",7,"aug",8,"sep",9,"oct",10,"nov",11,"dec",12,"no month")</f>
        <v>2</v>
      </c>
      <c r="C893" s="12" t="str">
        <f>LEFT('All Transactions'!$E893,3)</f>
        <v>Feb</v>
      </c>
      <c r="D893" s="12" t="str">
        <f t="shared" si="27"/>
        <v>2026</v>
      </c>
      <c r="E893" s="22" t="s">
        <v>2928</v>
      </c>
      <c r="F893" s="23" t="s">
        <v>259</v>
      </c>
      <c r="G893" s="27" t="s">
        <v>54</v>
      </c>
      <c r="H893" s="24">
        <v>1</v>
      </c>
      <c r="I893" s="25" t="s">
        <v>2883</v>
      </c>
      <c r="J893" s="25" t="s">
        <v>2950</v>
      </c>
      <c r="K893" s="26"/>
      <c r="L893" s="25" t="s">
        <v>2885</v>
      </c>
      <c r="M893" t="str">
        <f>TEXT(A893,"dddd")</f>
        <v>Sunday</v>
      </c>
      <c r="N893" s="35">
        <f>DATE(Table4[[#This Row],[year]],Table4[[#This Row],[month2]],Table4[[#This Row],[day]])</f>
        <v>46075</v>
      </c>
    </row>
    <row r="894" spans="1:14" ht="16" x14ac:dyDescent="0.35">
      <c r="A894" t="str">
        <f t="shared" si="26"/>
        <v>22</v>
      </c>
      <c r="B894">
        <f>_xlfn.SWITCH(Table4[[#This Row],[month]],"jan",1,"feb",2,"mar",3,"apr",4,"may",5,"jun",6,"jul",7,"aug",8,"sep",9,"oct",10,"nov",11,"dec",12,"no month")</f>
        <v>2</v>
      </c>
      <c r="C894" s="12" t="str">
        <f>LEFT('All Transactions'!$E894,3)</f>
        <v>Feb</v>
      </c>
      <c r="D894" s="12" t="str">
        <f t="shared" si="27"/>
        <v>2026</v>
      </c>
      <c r="E894" s="16" t="s">
        <v>2928</v>
      </c>
      <c r="F894" s="17" t="s">
        <v>259</v>
      </c>
      <c r="G894" s="27" t="s">
        <v>54</v>
      </c>
      <c r="H894" s="19">
        <v>2</v>
      </c>
      <c r="I894" s="20" t="s">
        <v>2883</v>
      </c>
      <c r="J894" s="20" t="s">
        <v>2951</v>
      </c>
      <c r="K894" s="21"/>
      <c r="L894" s="20" t="s">
        <v>2885</v>
      </c>
      <c r="M894" t="str">
        <f>TEXT(A894,"dddd")</f>
        <v>Sunday</v>
      </c>
      <c r="N894" s="35">
        <f>DATE(Table4[[#This Row],[year]],Table4[[#This Row],[month2]],Table4[[#This Row],[day]])</f>
        <v>46075</v>
      </c>
    </row>
    <row r="895" spans="1:14" ht="16" x14ac:dyDescent="0.35">
      <c r="A895" t="str">
        <f t="shared" si="26"/>
        <v>22</v>
      </c>
      <c r="B895">
        <f>_xlfn.SWITCH(Table4[[#This Row],[month]],"jan",1,"feb",2,"mar",3,"apr",4,"may",5,"jun",6,"jul",7,"aug",8,"sep",9,"oct",10,"nov",11,"dec",12,"no month")</f>
        <v>2</v>
      </c>
      <c r="C895" s="12" t="str">
        <f>LEFT('All Transactions'!$E895,3)</f>
        <v>Feb</v>
      </c>
      <c r="D895" s="12" t="str">
        <f t="shared" si="27"/>
        <v>2026</v>
      </c>
      <c r="E895" s="22" t="s">
        <v>2928</v>
      </c>
      <c r="F895" s="23" t="s">
        <v>2952</v>
      </c>
      <c r="G895" s="27" t="s">
        <v>54</v>
      </c>
      <c r="H895" s="24">
        <v>3</v>
      </c>
      <c r="I895" s="25" t="s">
        <v>2883</v>
      </c>
      <c r="J895" s="25" t="s">
        <v>2953</v>
      </c>
      <c r="K895" s="26"/>
      <c r="L895" s="25" t="s">
        <v>2885</v>
      </c>
      <c r="M895" t="str">
        <f>TEXT(A895,"dddd")</f>
        <v>Sunday</v>
      </c>
      <c r="N895" s="35">
        <f>DATE(Table4[[#This Row],[year]],Table4[[#This Row],[month2]],Table4[[#This Row],[day]])</f>
        <v>46075</v>
      </c>
    </row>
    <row r="896" spans="1:14" ht="16" x14ac:dyDescent="0.35">
      <c r="A896" t="str">
        <f t="shared" si="26"/>
        <v>22</v>
      </c>
      <c r="B896">
        <f>_xlfn.SWITCH(Table4[[#This Row],[month]],"jan",1,"feb",2,"mar",3,"apr",4,"may",5,"jun",6,"jul",7,"aug",8,"sep",9,"oct",10,"nov",11,"dec",12,"no month")</f>
        <v>2</v>
      </c>
      <c r="C896" s="12" t="str">
        <f>LEFT('All Transactions'!$E896,3)</f>
        <v>Feb</v>
      </c>
      <c r="D896" s="12" t="str">
        <f t="shared" si="27"/>
        <v>2026</v>
      </c>
      <c r="E896" s="16" t="s">
        <v>2928</v>
      </c>
      <c r="F896" s="17" t="s">
        <v>2952</v>
      </c>
      <c r="G896" s="27" t="s">
        <v>54</v>
      </c>
      <c r="H896" s="19">
        <v>2</v>
      </c>
      <c r="I896" s="20" t="s">
        <v>2883</v>
      </c>
      <c r="J896" s="20" t="s">
        <v>2954</v>
      </c>
      <c r="K896" s="21"/>
      <c r="L896" s="20" t="s">
        <v>2885</v>
      </c>
      <c r="M896" t="str">
        <f>TEXT(A896,"dddd")</f>
        <v>Sunday</v>
      </c>
      <c r="N896" s="35">
        <f>DATE(Table4[[#This Row],[year]],Table4[[#This Row],[month2]],Table4[[#This Row],[day]])</f>
        <v>46075</v>
      </c>
    </row>
    <row r="897" spans="1:14" ht="16" x14ac:dyDescent="0.35">
      <c r="A897" t="str">
        <f t="shared" si="26"/>
        <v>22</v>
      </c>
      <c r="B897">
        <f>_xlfn.SWITCH(Table4[[#This Row],[month]],"jan",1,"feb",2,"mar",3,"apr",4,"may",5,"jun",6,"jul",7,"aug",8,"sep",9,"oct",10,"nov",11,"dec",12,"no month")</f>
        <v>2</v>
      </c>
      <c r="C897" s="12" t="str">
        <f>LEFT('All Transactions'!$E897,3)</f>
        <v>Feb</v>
      </c>
      <c r="D897" s="12" t="str">
        <f t="shared" si="27"/>
        <v>2026</v>
      </c>
      <c r="E897" s="22" t="s">
        <v>2928</v>
      </c>
      <c r="F897" s="23" t="s">
        <v>577</v>
      </c>
      <c r="G897" s="18" t="s">
        <v>28</v>
      </c>
      <c r="H897" s="24">
        <v>200</v>
      </c>
      <c r="I897" s="25" t="s">
        <v>167</v>
      </c>
      <c r="J897" s="25" t="s">
        <v>2955</v>
      </c>
      <c r="K897" s="26" t="s">
        <v>2956</v>
      </c>
      <c r="L897" s="25" t="s">
        <v>32</v>
      </c>
      <c r="M897" t="str">
        <f>TEXT(A897,"dddd")</f>
        <v>Sunday</v>
      </c>
      <c r="N897" s="35">
        <f>DATE(Table4[[#This Row],[year]],Table4[[#This Row],[month2]],Table4[[#This Row],[day]])</f>
        <v>46075</v>
      </c>
    </row>
    <row r="898" spans="1:14" ht="16" x14ac:dyDescent="0.35">
      <c r="A898" t="str">
        <f t="shared" si="26"/>
        <v>22</v>
      </c>
      <c r="B898">
        <f>_xlfn.SWITCH(Table4[[#This Row],[month]],"jan",1,"feb",2,"mar",3,"apr",4,"may",5,"jun",6,"jul",7,"aug",8,"sep",9,"oct",10,"nov",11,"dec",12,"no month")</f>
        <v>2</v>
      </c>
      <c r="C898" s="12" t="str">
        <f>LEFT('All Transactions'!$E898,3)</f>
        <v>Feb</v>
      </c>
      <c r="D898" s="12" t="str">
        <f t="shared" si="27"/>
        <v>2026</v>
      </c>
      <c r="E898" s="16" t="s">
        <v>2928</v>
      </c>
      <c r="F898" s="17" t="s">
        <v>2583</v>
      </c>
      <c r="G898" s="27" t="s">
        <v>54</v>
      </c>
      <c r="H898" s="19">
        <v>1000</v>
      </c>
      <c r="I898" s="20" t="s">
        <v>2352</v>
      </c>
      <c r="J898" s="20" t="s">
        <v>2957</v>
      </c>
      <c r="K898" s="21" t="s">
        <v>2958</v>
      </c>
      <c r="L898" s="20" t="s">
        <v>58</v>
      </c>
      <c r="M898" t="str">
        <f>TEXT(A898,"dddd")</f>
        <v>Sunday</v>
      </c>
      <c r="N898" s="35">
        <f>DATE(Table4[[#This Row],[year]],Table4[[#This Row],[month2]],Table4[[#This Row],[day]])</f>
        <v>46075</v>
      </c>
    </row>
    <row r="899" spans="1:14" ht="16" x14ac:dyDescent="0.35">
      <c r="A899" t="str">
        <f t="shared" ref="A899:A962" si="28">MID(E899,5,2)</f>
        <v>22</v>
      </c>
      <c r="B899">
        <f>_xlfn.SWITCH(Table4[[#This Row],[month]],"jan",1,"feb",2,"mar",3,"apr",4,"may",5,"jun",6,"jul",7,"aug",8,"sep",9,"oct",10,"nov",11,"dec",12,"no month")</f>
        <v>2</v>
      </c>
      <c r="C899" s="12" t="str">
        <f>LEFT('All Transactions'!$E899,3)</f>
        <v>Feb</v>
      </c>
      <c r="D899" s="12" t="str">
        <f t="shared" ref="D899:D962" si="29">RIGHT(E899,4)</f>
        <v>2026</v>
      </c>
      <c r="E899" s="22" t="s">
        <v>2928</v>
      </c>
      <c r="F899" s="23" t="s">
        <v>956</v>
      </c>
      <c r="G899" s="27" t="s">
        <v>54</v>
      </c>
      <c r="H899" s="24">
        <v>200</v>
      </c>
      <c r="I899" s="25" t="s">
        <v>1775</v>
      </c>
      <c r="J899" s="25" t="s">
        <v>2959</v>
      </c>
      <c r="K899" s="26" t="s">
        <v>2960</v>
      </c>
      <c r="L899" s="25" t="s">
        <v>58</v>
      </c>
      <c r="M899" t="str">
        <f>TEXT(A899,"dddd")</f>
        <v>Sunday</v>
      </c>
      <c r="N899" s="35">
        <f>DATE(Table4[[#This Row],[year]],Table4[[#This Row],[month2]],Table4[[#This Row],[day]])</f>
        <v>46075</v>
      </c>
    </row>
    <row r="900" spans="1:14" ht="16" x14ac:dyDescent="0.35">
      <c r="A900" t="str">
        <f t="shared" si="28"/>
        <v>22</v>
      </c>
      <c r="B900">
        <f>_xlfn.SWITCH(Table4[[#This Row],[month]],"jan",1,"feb",2,"mar",3,"apr",4,"may",5,"jun",6,"jul",7,"aug",8,"sep",9,"oct",10,"nov",11,"dec",12,"no month")</f>
        <v>2</v>
      </c>
      <c r="C900" s="12" t="str">
        <f>LEFT('All Transactions'!$E900,3)</f>
        <v>Feb</v>
      </c>
      <c r="D900" s="12" t="str">
        <f t="shared" si="29"/>
        <v>2026</v>
      </c>
      <c r="E900" s="16" t="s">
        <v>2928</v>
      </c>
      <c r="F900" s="17" t="s">
        <v>1551</v>
      </c>
      <c r="G900" s="18" t="s">
        <v>28</v>
      </c>
      <c r="H900" s="19">
        <v>80</v>
      </c>
      <c r="I900" s="20" t="s">
        <v>1465</v>
      </c>
      <c r="J900" s="20" t="s">
        <v>2961</v>
      </c>
      <c r="K900" s="21" t="s">
        <v>2962</v>
      </c>
      <c r="L900" s="20" t="s">
        <v>32</v>
      </c>
      <c r="M900" t="str">
        <f>TEXT(A900,"dddd")</f>
        <v>Sunday</v>
      </c>
      <c r="N900" s="35">
        <f>DATE(Table4[[#This Row],[year]],Table4[[#This Row],[month2]],Table4[[#This Row],[day]])</f>
        <v>46075</v>
      </c>
    </row>
    <row r="901" spans="1:14" ht="16" x14ac:dyDescent="0.35">
      <c r="A901" t="str">
        <f t="shared" si="28"/>
        <v>22</v>
      </c>
      <c r="B901">
        <f>_xlfn.SWITCH(Table4[[#This Row],[month]],"jan",1,"feb",2,"mar",3,"apr",4,"may",5,"jun",6,"jul",7,"aug",8,"sep",9,"oct",10,"nov",11,"dec",12,"no month")</f>
        <v>2</v>
      </c>
      <c r="C901" s="12" t="str">
        <f>LEFT('All Transactions'!$E901,3)</f>
        <v>Feb</v>
      </c>
      <c r="D901" s="12" t="str">
        <f t="shared" si="29"/>
        <v>2026</v>
      </c>
      <c r="E901" s="22" t="s">
        <v>2928</v>
      </c>
      <c r="F901" s="23" t="s">
        <v>2963</v>
      </c>
      <c r="G901" s="27" t="s">
        <v>54</v>
      </c>
      <c r="H901" s="24">
        <v>40</v>
      </c>
      <c r="I901" s="25" t="s">
        <v>2964</v>
      </c>
      <c r="J901" s="25" t="s">
        <v>2965</v>
      </c>
      <c r="K901" s="26" t="s">
        <v>2966</v>
      </c>
      <c r="L901" s="25" t="s">
        <v>58</v>
      </c>
      <c r="M901" t="str">
        <f>TEXT(A901,"dddd")</f>
        <v>Sunday</v>
      </c>
      <c r="N901" s="35">
        <f>DATE(Table4[[#This Row],[year]],Table4[[#This Row],[month2]],Table4[[#This Row],[day]])</f>
        <v>46075</v>
      </c>
    </row>
    <row r="902" spans="1:14" ht="16" x14ac:dyDescent="0.35">
      <c r="A902" t="str">
        <f t="shared" si="28"/>
        <v>22</v>
      </c>
      <c r="B902">
        <f>_xlfn.SWITCH(Table4[[#This Row],[month]],"jan",1,"feb",2,"mar",3,"apr",4,"may",5,"jun",6,"jul",7,"aug",8,"sep",9,"oct",10,"nov",11,"dec",12,"no month")</f>
        <v>2</v>
      </c>
      <c r="C902" s="12" t="str">
        <f>LEFT('All Transactions'!$E902,3)</f>
        <v>Feb</v>
      </c>
      <c r="D902" s="12" t="str">
        <f t="shared" si="29"/>
        <v>2026</v>
      </c>
      <c r="E902" s="16" t="s">
        <v>2928</v>
      </c>
      <c r="F902" s="17" t="s">
        <v>2967</v>
      </c>
      <c r="G902" s="27" t="s">
        <v>54</v>
      </c>
      <c r="H902" s="19">
        <v>40</v>
      </c>
      <c r="I902" s="20" t="s">
        <v>2964</v>
      </c>
      <c r="J902" s="20" t="s">
        <v>2968</v>
      </c>
      <c r="K902" s="21" t="s">
        <v>2969</v>
      </c>
      <c r="L902" s="20" t="s">
        <v>58</v>
      </c>
      <c r="M902" t="str">
        <f>TEXT(A902,"dddd")</f>
        <v>Sunday</v>
      </c>
      <c r="N902" s="35">
        <f>DATE(Table4[[#This Row],[year]],Table4[[#This Row],[month2]],Table4[[#This Row],[day]])</f>
        <v>46075</v>
      </c>
    </row>
    <row r="903" spans="1:14" ht="16" x14ac:dyDescent="0.35">
      <c r="A903" t="str">
        <f t="shared" si="28"/>
        <v>21</v>
      </c>
      <c r="B903">
        <f>_xlfn.SWITCH(Table4[[#This Row],[month]],"jan",1,"feb",2,"mar",3,"apr",4,"may",5,"jun",6,"jul",7,"aug",8,"sep",9,"oct",10,"nov",11,"dec",12,"no month")</f>
        <v>2</v>
      </c>
      <c r="C903" s="12" t="str">
        <f>LEFT('All Transactions'!$E903,3)</f>
        <v>Feb</v>
      </c>
      <c r="D903" s="12" t="str">
        <f t="shared" si="29"/>
        <v>2026</v>
      </c>
      <c r="E903" s="22" t="s">
        <v>2970</v>
      </c>
      <c r="F903" s="23" t="s">
        <v>2393</v>
      </c>
      <c r="G903" s="18" t="s">
        <v>28</v>
      </c>
      <c r="H903" s="24">
        <v>153.19999999999999</v>
      </c>
      <c r="I903" s="25" t="s">
        <v>536</v>
      </c>
      <c r="J903" s="25" t="s">
        <v>2971</v>
      </c>
      <c r="K903" s="26" t="s">
        <v>2972</v>
      </c>
      <c r="L903" s="25" t="s">
        <v>32</v>
      </c>
      <c r="M903" t="str">
        <f>TEXT(A903,"dddd")</f>
        <v>Saturday</v>
      </c>
      <c r="N903" s="35">
        <f>DATE(Table4[[#This Row],[year]],Table4[[#This Row],[month2]],Table4[[#This Row],[day]])</f>
        <v>46074</v>
      </c>
    </row>
    <row r="904" spans="1:14" ht="16" x14ac:dyDescent="0.35">
      <c r="A904" t="str">
        <f t="shared" si="28"/>
        <v>21</v>
      </c>
      <c r="B904">
        <f>_xlfn.SWITCH(Table4[[#This Row],[month]],"jan",1,"feb",2,"mar",3,"apr",4,"may",5,"jun",6,"jul",7,"aug",8,"sep",9,"oct",10,"nov",11,"dec",12,"no month")</f>
        <v>2</v>
      </c>
      <c r="C904" s="12" t="str">
        <f>LEFT('All Transactions'!$E904,3)</f>
        <v>Feb</v>
      </c>
      <c r="D904" s="12" t="str">
        <f t="shared" si="29"/>
        <v>2026</v>
      </c>
      <c r="E904" s="16" t="s">
        <v>2970</v>
      </c>
      <c r="F904" s="17" t="s">
        <v>2393</v>
      </c>
      <c r="G904" s="27" t="s">
        <v>54</v>
      </c>
      <c r="H904" s="19">
        <v>5</v>
      </c>
      <c r="I904" s="20" t="s">
        <v>947</v>
      </c>
      <c r="J904" s="20" t="s">
        <v>2973</v>
      </c>
      <c r="K904" s="21" t="s">
        <v>2974</v>
      </c>
      <c r="L904" s="20" t="s">
        <v>58</v>
      </c>
      <c r="M904" t="str">
        <f>TEXT(A904,"dddd")</f>
        <v>Saturday</v>
      </c>
      <c r="N904" s="35">
        <f>DATE(Table4[[#This Row],[year]],Table4[[#This Row],[month2]],Table4[[#This Row],[day]])</f>
        <v>46074</v>
      </c>
    </row>
    <row r="905" spans="1:14" ht="16" x14ac:dyDescent="0.35">
      <c r="A905" t="str">
        <f t="shared" si="28"/>
        <v>21</v>
      </c>
      <c r="B905">
        <f>_xlfn.SWITCH(Table4[[#This Row],[month]],"jan",1,"feb",2,"mar",3,"apr",4,"may",5,"jun",6,"jul",7,"aug",8,"sep",9,"oct",10,"nov",11,"dec",12,"no month")</f>
        <v>2</v>
      </c>
      <c r="C905" s="12" t="str">
        <f>LEFT('All Transactions'!$E905,3)</f>
        <v>Feb</v>
      </c>
      <c r="D905" s="12" t="str">
        <f t="shared" si="29"/>
        <v>2026</v>
      </c>
      <c r="E905" s="22" t="s">
        <v>2970</v>
      </c>
      <c r="F905" s="23" t="s">
        <v>239</v>
      </c>
      <c r="G905" s="27" t="s">
        <v>54</v>
      </c>
      <c r="H905" s="24">
        <v>150</v>
      </c>
      <c r="I905" s="25" t="s">
        <v>156</v>
      </c>
      <c r="J905" s="25" t="s">
        <v>2975</v>
      </c>
      <c r="K905" s="26" t="s">
        <v>2976</v>
      </c>
      <c r="L905" s="25" t="s">
        <v>58</v>
      </c>
      <c r="M905" t="str">
        <f>TEXT(A905,"dddd")</f>
        <v>Saturday</v>
      </c>
      <c r="N905" s="35">
        <f>DATE(Table4[[#This Row],[year]],Table4[[#This Row],[month2]],Table4[[#This Row],[day]])</f>
        <v>46074</v>
      </c>
    </row>
    <row r="906" spans="1:14" ht="16" x14ac:dyDescent="0.35">
      <c r="A906" t="str">
        <f t="shared" si="28"/>
        <v>21</v>
      </c>
      <c r="B906">
        <f>_xlfn.SWITCH(Table4[[#This Row],[month]],"jan",1,"feb",2,"mar",3,"apr",4,"may",5,"jun",6,"jul",7,"aug",8,"sep",9,"oct",10,"nov",11,"dec",12,"no month")</f>
        <v>2</v>
      </c>
      <c r="C906" s="12" t="str">
        <f>LEFT('All Transactions'!$E906,3)</f>
        <v>Feb</v>
      </c>
      <c r="D906" s="12" t="str">
        <f t="shared" si="29"/>
        <v>2026</v>
      </c>
      <c r="E906" s="16" t="s">
        <v>2970</v>
      </c>
      <c r="F906" s="17" t="s">
        <v>2977</v>
      </c>
      <c r="G906" s="18" t="s">
        <v>28</v>
      </c>
      <c r="H906" s="19">
        <v>30</v>
      </c>
      <c r="I906" s="20" t="s">
        <v>1465</v>
      </c>
      <c r="J906" s="20" t="s">
        <v>2978</v>
      </c>
      <c r="K906" s="21" t="s">
        <v>2979</v>
      </c>
      <c r="L906" s="20" t="s">
        <v>32</v>
      </c>
      <c r="M906" t="str">
        <f>TEXT(A906,"dddd")</f>
        <v>Saturday</v>
      </c>
      <c r="N906" s="35">
        <f>DATE(Table4[[#This Row],[year]],Table4[[#This Row],[month2]],Table4[[#This Row],[day]])</f>
        <v>46074</v>
      </c>
    </row>
    <row r="907" spans="1:14" ht="16" x14ac:dyDescent="0.35">
      <c r="A907" t="str">
        <f t="shared" si="28"/>
        <v>21</v>
      </c>
      <c r="B907">
        <f>_xlfn.SWITCH(Table4[[#This Row],[month]],"jan",1,"feb",2,"mar",3,"apr",4,"may",5,"jun",6,"jul",7,"aug",8,"sep",9,"oct",10,"nov",11,"dec",12,"no month")</f>
        <v>2</v>
      </c>
      <c r="C907" s="12" t="str">
        <f>LEFT('All Transactions'!$E907,3)</f>
        <v>Feb</v>
      </c>
      <c r="D907" s="12" t="str">
        <f t="shared" si="29"/>
        <v>2026</v>
      </c>
      <c r="E907" s="22" t="s">
        <v>2970</v>
      </c>
      <c r="F907" s="23" t="s">
        <v>2977</v>
      </c>
      <c r="G907" s="27" t="s">
        <v>54</v>
      </c>
      <c r="H907" s="24">
        <v>30</v>
      </c>
      <c r="I907" s="25" t="s">
        <v>156</v>
      </c>
      <c r="J907" s="25" t="s">
        <v>2980</v>
      </c>
      <c r="K907" s="26" t="s">
        <v>2981</v>
      </c>
      <c r="L907" s="25" t="s">
        <v>58</v>
      </c>
      <c r="M907" t="str">
        <f>TEXT(A907,"dddd")</f>
        <v>Saturday</v>
      </c>
      <c r="N907" s="35">
        <f>DATE(Table4[[#This Row],[year]],Table4[[#This Row],[month2]],Table4[[#This Row],[day]])</f>
        <v>46074</v>
      </c>
    </row>
    <row r="908" spans="1:14" ht="16" x14ac:dyDescent="0.35">
      <c r="A908" t="str">
        <f t="shared" si="28"/>
        <v>21</v>
      </c>
      <c r="B908">
        <f>_xlfn.SWITCH(Table4[[#This Row],[month]],"jan",1,"feb",2,"mar",3,"apr",4,"may",5,"jun",6,"jul",7,"aug",8,"sep",9,"oct",10,"nov",11,"dec",12,"no month")</f>
        <v>2</v>
      </c>
      <c r="C908" s="12" t="str">
        <f>LEFT('All Transactions'!$E908,3)</f>
        <v>Feb</v>
      </c>
      <c r="D908" s="12" t="str">
        <f t="shared" si="29"/>
        <v>2026</v>
      </c>
      <c r="E908" s="16" t="s">
        <v>2970</v>
      </c>
      <c r="F908" s="17" t="s">
        <v>2982</v>
      </c>
      <c r="G908" s="18" t="s">
        <v>28</v>
      </c>
      <c r="H908" s="19">
        <v>30</v>
      </c>
      <c r="I908" s="20" t="s">
        <v>2746</v>
      </c>
      <c r="J908" s="20" t="s">
        <v>2983</v>
      </c>
      <c r="K908" s="21" t="s">
        <v>2984</v>
      </c>
      <c r="L908" s="20" t="s">
        <v>32</v>
      </c>
      <c r="M908" t="str">
        <f>TEXT(A908,"dddd")</f>
        <v>Saturday</v>
      </c>
      <c r="N908" s="35">
        <f>DATE(Table4[[#This Row],[year]],Table4[[#This Row],[month2]],Table4[[#This Row],[day]])</f>
        <v>46074</v>
      </c>
    </row>
    <row r="909" spans="1:14" ht="16" x14ac:dyDescent="0.35">
      <c r="A909" t="str">
        <f t="shared" si="28"/>
        <v>21</v>
      </c>
      <c r="B909">
        <f>_xlfn.SWITCH(Table4[[#This Row],[month]],"jan",1,"feb",2,"mar",3,"apr",4,"may",5,"jun",6,"jul",7,"aug",8,"sep",9,"oct",10,"nov",11,"dec",12,"no month")</f>
        <v>2</v>
      </c>
      <c r="C909" s="12" t="str">
        <f>LEFT('All Transactions'!$E909,3)</f>
        <v>Feb</v>
      </c>
      <c r="D909" s="12" t="str">
        <f t="shared" si="29"/>
        <v>2026</v>
      </c>
      <c r="E909" s="22" t="s">
        <v>2970</v>
      </c>
      <c r="F909" s="23" t="s">
        <v>959</v>
      </c>
      <c r="G909" s="27" t="s">
        <v>54</v>
      </c>
      <c r="H909" s="24">
        <v>30</v>
      </c>
      <c r="I909" s="25" t="s">
        <v>156</v>
      </c>
      <c r="J909" s="25" t="s">
        <v>2985</v>
      </c>
      <c r="K909" s="26" t="s">
        <v>2986</v>
      </c>
      <c r="L909" s="25" t="s">
        <v>58</v>
      </c>
      <c r="M909" t="str">
        <f>TEXT(A909,"dddd")</f>
        <v>Saturday</v>
      </c>
      <c r="N909" s="35">
        <f>DATE(Table4[[#This Row],[year]],Table4[[#This Row],[month2]],Table4[[#This Row],[day]])</f>
        <v>46074</v>
      </c>
    </row>
    <row r="910" spans="1:14" ht="16" x14ac:dyDescent="0.35">
      <c r="A910" t="str">
        <f t="shared" si="28"/>
        <v>20</v>
      </c>
      <c r="B910">
        <f>_xlfn.SWITCH(Table4[[#This Row],[month]],"jan",1,"feb",2,"mar",3,"apr",4,"may",5,"jun",6,"jul",7,"aug",8,"sep",9,"oct",10,"nov",11,"dec",12,"no month")</f>
        <v>2</v>
      </c>
      <c r="C910" s="12" t="str">
        <f>LEFT('All Transactions'!$E910,3)</f>
        <v>Feb</v>
      </c>
      <c r="D910" s="12" t="str">
        <f t="shared" si="29"/>
        <v>2026</v>
      </c>
      <c r="E910" s="16" t="s">
        <v>2987</v>
      </c>
      <c r="F910" s="17" t="s">
        <v>891</v>
      </c>
      <c r="G910" s="18" t="s">
        <v>28</v>
      </c>
      <c r="H910" s="19">
        <v>80</v>
      </c>
      <c r="I910" s="20" t="s">
        <v>384</v>
      </c>
      <c r="J910" s="20" t="s">
        <v>2988</v>
      </c>
      <c r="K910" s="21" t="s">
        <v>2989</v>
      </c>
      <c r="L910" s="20" t="s">
        <v>32</v>
      </c>
      <c r="M910" t="str">
        <f>TEXT(A910,"dddd")</f>
        <v>Friday</v>
      </c>
      <c r="N910" s="35">
        <f>DATE(Table4[[#This Row],[year]],Table4[[#This Row],[month2]],Table4[[#This Row],[day]])</f>
        <v>46073</v>
      </c>
    </row>
    <row r="911" spans="1:14" ht="16" x14ac:dyDescent="0.35">
      <c r="A911" t="str">
        <f t="shared" si="28"/>
        <v>20</v>
      </c>
      <c r="B911">
        <f>_xlfn.SWITCH(Table4[[#This Row],[month]],"jan",1,"feb",2,"mar",3,"apr",4,"may",5,"jun",6,"jul",7,"aug",8,"sep",9,"oct",10,"nov",11,"dec",12,"no month")</f>
        <v>2</v>
      </c>
      <c r="C911" s="12" t="str">
        <f>LEFT('All Transactions'!$E911,3)</f>
        <v>Feb</v>
      </c>
      <c r="D911" s="12" t="str">
        <f t="shared" si="29"/>
        <v>2026</v>
      </c>
      <c r="E911" s="22" t="s">
        <v>2987</v>
      </c>
      <c r="F911" s="23" t="s">
        <v>1564</v>
      </c>
      <c r="G911" s="27" t="s">
        <v>54</v>
      </c>
      <c r="H911" s="24">
        <v>30</v>
      </c>
      <c r="I911" s="25" t="s">
        <v>947</v>
      </c>
      <c r="J911" s="25" t="s">
        <v>2990</v>
      </c>
      <c r="K911" s="26" t="s">
        <v>2991</v>
      </c>
      <c r="L911" s="25" t="s">
        <v>58</v>
      </c>
      <c r="M911" t="str">
        <f>TEXT(A911,"dddd")</f>
        <v>Friday</v>
      </c>
      <c r="N911" s="35">
        <f>DATE(Table4[[#This Row],[year]],Table4[[#This Row],[month2]],Table4[[#This Row],[day]])</f>
        <v>46073</v>
      </c>
    </row>
    <row r="912" spans="1:14" ht="16" x14ac:dyDescent="0.35">
      <c r="A912" t="str">
        <f t="shared" si="28"/>
        <v>20</v>
      </c>
      <c r="B912">
        <f>_xlfn.SWITCH(Table4[[#This Row],[month]],"jan",1,"feb",2,"mar",3,"apr",4,"may",5,"jun",6,"jul",7,"aug",8,"sep",9,"oct",10,"nov",11,"dec",12,"no month")</f>
        <v>2</v>
      </c>
      <c r="C912" s="12" t="str">
        <f>LEFT('All Transactions'!$E912,3)</f>
        <v>Feb</v>
      </c>
      <c r="D912" s="12" t="str">
        <f t="shared" si="29"/>
        <v>2026</v>
      </c>
      <c r="E912" s="16" t="s">
        <v>2987</v>
      </c>
      <c r="F912" s="17" t="s">
        <v>2992</v>
      </c>
      <c r="G912" s="18" t="s">
        <v>28</v>
      </c>
      <c r="H912" s="19">
        <v>50</v>
      </c>
      <c r="I912" s="20" t="s">
        <v>2778</v>
      </c>
      <c r="J912" s="20" t="s">
        <v>2993</v>
      </c>
      <c r="K912" s="21" t="s">
        <v>2994</v>
      </c>
      <c r="L912" s="20" t="s">
        <v>32</v>
      </c>
      <c r="M912" t="str">
        <f>TEXT(A912,"dddd")</f>
        <v>Friday</v>
      </c>
      <c r="N912" s="35">
        <f>DATE(Table4[[#This Row],[year]],Table4[[#This Row],[month2]],Table4[[#This Row],[day]])</f>
        <v>46073</v>
      </c>
    </row>
    <row r="913" spans="1:14" ht="16" x14ac:dyDescent="0.35">
      <c r="A913" t="str">
        <f t="shared" si="28"/>
        <v>20</v>
      </c>
      <c r="B913">
        <f>_xlfn.SWITCH(Table4[[#This Row],[month]],"jan",1,"feb",2,"mar",3,"apr",4,"may",5,"jun",6,"jul",7,"aug",8,"sep",9,"oct",10,"nov",11,"dec",12,"no month")</f>
        <v>2</v>
      </c>
      <c r="C913" s="12" t="str">
        <f>LEFT('All Transactions'!$E913,3)</f>
        <v>Feb</v>
      </c>
      <c r="D913" s="12" t="str">
        <f t="shared" si="29"/>
        <v>2026</v>
      </c>
      <c r="E913" s="22" t="s">
        <v>2987</v>
      </c>
      <c r="F913" s="23" t="s">
        <v>2995</v>
      </c>
      <c r="G913" s="18" t="s">
        <v>28</v>
      </c>
      <c r="H913" s="24">
        <v>75</v>
      </c>
      <c r="I913" s="25" t="s">
        <v>2996</v>
      </c>
      <c r="J913" s="25" t="s">
        <v>2997</v>
      </c>
      <c r="K913" s="26" t="s">
        <v>2998</v>
      </c>
      <c r="L913" s="25" t="s">
        <v>32</v>
      </c>
      <c r="M913" t="str">
        <f>TEXT(A913,"dddd")</f>
        <v>Friday</v>
      </c>
      <c r="N913" s="35">
        <f>DATE(Table4[[#This Row],[year]],Table4[[#This Row],[month2]],Table4[[#This Row],[day]])</f>
        <v>46073</v>
      </c>
    </row>
    <row r="914" spans="1:14" ht="16" x14ac:dyDescent="0.35">
      <c r="A914" t="str">
        <f t="shared" si="28"/>
        <v>20</v>
      </c>
      <c r="B914">
        <f>_xlfn.SWITCH(Table4[[#This Row],[month]],"jan",1,"feb",2,"mar",3,"apr",4,"may",5,"jun",6,"jul",7,"aug",8,"sep",9,"oct",10,"nov",11,"dec",12,"no month")</f>
        <v>2</v>
      </c>
      <c r="C914" s="12" t="str">
        <f>LEFT('All Transactions'!$E914,3)</f>
        <v>Feb</v>
      </c>
      <c r="D914" s="12" t="str">
        <f t="shared" si="29"/>
        <v>2026</v>
      </c>
      <c r="E914" s="16" t="s">
        <v>2987</v>
      </c>
      <c r="F914" s="17" t="s">
        <v>2999</v>
      </c>
      <c r="G914" s="18" t="s">
        <v>28</v>
      </c>
      <c r="H914" s="19">
        <v>10</v>
      </c>
      <c r="I914" s="20" t="s">
        <v>3000</v>
      </c>
      <c r="J914" s="20" t="s">
        <v>3001</v>
      </c>
      <c r="K914" s="21" t="s">
        <v>3002</v>
      </c>
      <c r="L914" s="20" t="s">
        <v>32</v>
      </c>
      <c r="M914" t="str">
        <f>TEXT(A914,"dddd")</f>
        <v>Friday</v>
      </c>
      <c r="N914" s="35">
        <f>DATE(Table4[[#This Row],[year]],Table4[[#This Row],[month2]],Table4[[#This Row],[day]])</f>
        <v>46073</v>
      </c>
    </row>
    <row r="915" spans="1:14" ht="16" x14ac:dyDescent="0.35">
      <c r="A915" t="str">
        <f t="shared" si="28"/>
        <v>20</v>
      </c>
      <c r="B915">
        <f>_xlfn.SWITCH(Table4[[#This Row],[month]],"jan",1,"feb",2,"mar",3,"apr",4,"may",5,"jun",6,"jul",7,"aug",8,"sep",9,"oct",10,"nov",11,"dec",12,"no month")</f>
        <v>2</v>
      </c>
      <c r="C915" s="12" t="str">
        <f>LEFT('All Transactions'!$E915,3)</f>
        <v>Feb</v>
      </c>
      <c r="D915" s="12" t="str">
        <f t="shared" si="29"/>
        <v>2026</v>
      </c>
      <c r="E915" s="22" t="s">
        <v>2987</v>
      </c>
      <c r="F915" s="23" t="s">
        <v>3003</v>
      </c>
      <c r="G915" s="18" t="s">
        <v>28</v>
      </c>
      <c r="H915" s="24">
        <v>302</v>
      </c>
      <c r="I915" s="25" t="s">
        <v>3004</v>
      </c>
      <c r="J915" s="25" t="s">
        <v>3005</v>
      </c>
      <c r="K915" s="26" t="s">
        <v>3006</v>
      </c>
      <c r="L915" s="25" t="s">
        <v>32</v>
      </c>
      <c r="M915" t="str">
        <f>TEXT(A915,"dddd")</f>
        <v>Friday</v>
      </c>
      <c r="N915" s="35">
        <f>DATE(Table4[[#This Row],[year]],Table4[[#This Row],[month2]],Table4[[#This Row],[day]])</f>
        <v>46073</v>
      </c>
    </row>
    <row r="916" spans="1:14" ht="16" x14ac:dyDescent="0.35">
      <c r="A916" t="str">
        <f t="shared" si="28"/>
        <v>20</v>
      </c>
      <c r="B916">
        <f>_xlfn.SWITCH(Table4[[#This Row],[month]],"jan",1,"feb",2,"mar",3,"apr",4,"may",5,"jun",6,"jul",7,"aug",8,"sep",9,"oct",10,"nov",11,"dec",12,"no month")</f>
        <v>2</v>
      </c>
      <c r="C916" s="12" t="str">
        <f>LEFT('All Transactions'!$E916,3)</f>
        <v>Feb</v>
      </c>
      <c r="D916" s="12" t="str">
        <f t="shared" si="29"/>
        <v>2026</v>
      </c>
      <c r="E916" s="16" t="s">
        <v>2987</v>
      </c>
      <c r="F916" s="17" t="s">
        <v>2777</v>
      </c>
      <c r="G916" s="27" t="s">
        <v>54</v>
      </c>
      <c r="H916" s="19">
        <v>200</v>
      </c>
      <c r="I916" s="20" t="s">
        <v>156</v>
      </c>
      <c r="J916" s="20" t="s">
        <v>3007</v>
      </c>
      <c r="K916" s="21" t="s">
        <v>3008</v>
      </c>
      <c r="L916" s="20" t="s">
        <v>58</v>
      </c>
      <c r="M916" t="str">
        <f>TEXT(A916,"dddd")</f>
        <v>Friday</v>
      </c>
      <c r="N916" s="35">
        <f>DATE(Table4[[#This Row],[year]],Table4[[#This Row],[month2]],Table4[[#This Row],[day]])</f>
        <v>46073</v>
      </c>
    </row>
    <row r="917" spans="1:14" ht="16" x14ac:dyDescent="0.35">
      <c r="A917" t="str">
        <f t="shared" si="28"/>
        <v>20</v>
      </c>
      <c r="B917">
        <f>_xlfn.SWITCH(Table4[[#This Row],[month]],"jan",1,"feb",2,"mar",3,"apr",4,"may",5,"jun",6,"jul",7,"aug",8,"sep",9,"oct",10,"nov",11,"dec",12,"no month")</f>
        <v>2</v>
      </c>
      <c r="C917" s="12" t="str">
        <f>LEFT('All Transactions'!$E917,3)</f>
        <v>Feb</v>
      </c>
      <c r="D917" s="12" t="str">
        <f t="shared" si="29"/>
        <v>2026</v>
      </c>
      <c r="E917" s="22" t="s">
        <v>2987</v>
      </c>
      <c r="F917" s="23" t="s">
        <v>3009</v>
      </c>
      <c r="G917" s="18" t="s">
        <v>28</v>
      </c>
      <c r="H917" s="24">
        <v>200</v>
      </c>
      <c r="I917" s="25" t="s">
        <v>167</v>
      </c>
      <c r="J917" s="25" t="s">
        <v>3010</v>
      </c>
      <c r="K917" s="26" t="s">
        <v>3011</v>
      </c>
      <c r="L917" s="25" t="s">
        <v>32</v>
      </c>
      <c r="M917" t="str">
        <f>TEXT(A917,"dddd")</f>
        <v>Friday</v>
      </c>
      <c r="N917" s="35">
        <f>DATE(Table4[[#This Row],[year]],Table4[[#This Row],[month2]],Table4[[#This Row],[day]])</f>
        <v>46073</v>
      </c>
    </row>
    <row r="918" spans="1:14" ht="16" x14ac:dyDescent="0.35">
      <c r="A918" t="str">
        <f t="shared" si="28"/>
        <v>20</v>
      </c>
      <c r="B918">
        <f>_xlfn.SWITCH(Table4[[#This Row],[month]],"jan",1,"feb",2,"mar",3,"apr",4,"may",5,"jun",6,"jul",7,"aug",8,"sep",9,"oct",10,"nov",11,"dec",12,"no month")</f>
        <v>2</v>
      </c>
      <c r="C918" s="12" t="str">
        <f>LEFT('All Transactions'!$E918,3)</f>
        <v>Feb</v>
      </c>
      <c r="D918" s="12" t="str">
        <f t="shared" si="29"/>
        <v>2026</v>
      </c>
      <c r="E918" s="16" t="s">
        <v>2987</v>
      </c>
      <c r="F918" s="17" t="s">
        <v>2471</v>
      </c>
      <c r="G918" s="27" t="s">
        <v>54</v>
      </c>
      <c r="H918" s="19">
        <v>34</v>
      </c>
      <c r="I918" s="20" t="s">
        <v>3012</v>
      </c>
      <c r="J918" s="20" t="s">
        <v>3013</v>
      </c>
      <c r="K918" s="21" t="s">
        <v>3014</v>
      </c>
      <c r="L918" s="20" t="s">
        <v>58</v>
      </c>
      <c r="M918" t="str">
        <f>TEXT(A918,"dddd")</f>
        <v>Friday</v>
      </c>
      <c r="N918" s="35">
        <f>DATE(Table4[[#This Row],[year]],Table4[[#This Row],[month2]],Table4[[#This Row],[day]])</f>
        <v>46073</v>
      </c>
    </row>
    <row r="919" spans="1:14" ht="16" x14ac:dyDescent="0.35">
      <c r="A919" t="str">
        <f t="shared" si="28"/>
        <v>20</v>
      </c>
      <c r="B919">
        <f>_xlfn.SWITCH(Table4[[#This Row],[month]],"jan",1,"feb",2,"mar",3,"apr",4,"may",5,"jun",6,"jul",7,"aug",8,"sep",9,"oct",10,"nov",11,"dec",12,"no month")</f>
        <v>2</v>
      </c>
      <c r="C919" s="12" t="str">
        <f>LEFT('All Transactions'!$E919,3)</f>
        <v>Feb</v>
      </c>
      <c r="D919" s="12" t="str">
        <f t="shared" si="29"/>
        <v>2026</v>
      </c>
      <c r="E919" s="22" t="s">
        <v>2987</v>
      </c>
      <c r="F919" s="23" t="s">
        <v>3015</v>
      </c>
      <c r="G919" s="27" t="s">
        <v>54</v>
      </c>
      <c r="H919" s="24">
        <v>34</v>
      </c>
      <c r="I919" s="25" t="s">
        <v>3016</v>
      </c>
      <c r="J919" s="25" t="s">
        <v>3017</v>
      </c>
      <c r="K919" s="26" t="s">
        <v>3018</v>
      </c>
      <c r="L919" s="25" t="s">
        <v>58</v>
      </c>
      <c r="M919" t="str">
        <f>TEXT(A919,"dddd")</f>
        <v>Friday</v>
      </c>
      <c r="N919" s="35">
        <f>DATE(Table4[[#This Row],[year]],Table4[[#This Row],[month2]],Table4[[#This Row],[day]])</f>
        <v>46073</v>
      </c>
    </row>
    <row r="920" spans="1:14" ht="16" x14ac:dyDescent="0.35">
      <c r="A920" t="str">
        <f t="shared" si="28"/>
        <v>20</v>
      </c>
      <c r="B920">
        <f>_xlfn.SWITCH(Table4[[#This Row],[month]],"jan",1,"feb",2,"mar",3,"apr",4,"may",5,"jun",6,"jul",7,"aug",8,"sep",9,"oct",10,"nov",11,"dec",12,"no month")</f>
        <v>2</v>
      </c>
      <c r="C920" s="12" t="str">
        <f>LEFT('All Transactions'!$E920,3)</f>
        <v>Feb</v>
      </c>
      <c r="D920" s="12" t="str">
        <f t="shared" si="29"/>
        <v>2026</v>
      </c>
      <c r="E920" s="16" t="s">
        <v>2987</v>
      </c>
      <c r="F920" s="17" t="s">
        <v>1478</v>
      </c>
      <c r="G920" s="18" t="s">
        <v>28</v>
      </c>
      <c r="H920" s="19">
        <v>120</v>
      </c>
      <c r="I920" s="20" t="s">
        <v>3019</v>
      </c>
      <c r="J920" s="20" t="s">
        <v>3020</v>
      </c>
      <c r="K920" s="21" t="s">
        <v>3021</v>
      </c>
      <c r="L920" s="20" t="s">
        <v>32</v>
      </c>
      <c r="M920" t="str">
        <f>TEXT(A920,"dddd")</f>
        <v>Friday</v>
      </c>
      <c r="N920" s="35">
        <f>DATE(Table4[[#This Row],[year]],Table4[[#This Row],[month2]],Table4[[#This Row],[day]])</f>
        <v>46073</v>
      </c>
    </row>
    <row r="921" spans="1:14" ht="16" x14ac:dyDescent="0.35">
      <c r="A921" t="str">
        <f t="shared" si="28"/>
        <v>20</v>
      </c>
      <c r="B921">
        <f>_xlfn.SWITCH(Table4[[#This Row],[month]],"jan",1,"feb",2,"mar",3,"apr",4,"may",5,"jun",6,"jul",7,"aug",8,"sep",9,"oct",10,"nov",11,"dec",12,"no month")</f>
        <v>2</v>
      </c>
      <c r="C921" s="12" t="str">
        <f>LEFT('All Transactions'!$E921,3)</f>
        <v>Feb</v>
      </c>
      <c r="D921" s="12" t="str">
        <f t="shared" si="29"/>
        <v>2026</v>
      </c>
      <c r="E921" s="22" t="s">
        <v>2987</v>
      </c>
      <c r="F921" s="23" t="s">
        <v>3022</v>
      </c>
      <c r="G921" s="27" t="s">
        <v>54</v>
      </c>
      <c r="H921" s="24">
        <v>32</v>
      </c>
      <c r="I921" s="25" t="s">
        <v>3023</v>
      </c>
      <c r="J921" s="25" t="s">
        <v>3024</v>
      </c>
      <c r="K921" s="26" t="s">
        <v>3025</v>
      </c>
      <c r="L921" s="25" t="s">
        <v>58</v>
      </c>
      <c r="M921" t="str">
        <f>TEXT(A921,"dddd")</f>
        <v>Friday</v>
      </c>
      <c r="N921" s="35">
        <f>DATE(Table4[[#This Row],[year]],Table4[[#This Row],[month2]],Table4[[#This Row],[day]])</f>
        <v>46073</v>
      </c>
    </row>
    <row r="922" spans="1:14" ht="16" x14ac:dyDescent="0.35">
      <c r="A922" t="str">
        <f t="shared" si="28"/>
        <v>19</v>
      </c>
      <c r="B922">
        <f>_xlfn.SWITCH(Table4[[#This Row],[month]],"jan",1,"feb",2,"mar",3,"apr",4,"may",5,"jun",6,"jul",7,"aug",8,"sep",9,"oct",10,"nov",11,"dec",12,"no month")</f>
        <v>2</v>
      </c>
      <c r="C922" s="12" t="str">
        <f>LEFT('All Transactions'!$E922,3)</f>
        <v>Feb</v>
      </c>
      <c r="D922" s="12" t="str">
        <f t="shared" si="29"/>
        <v>2026</v>
      </c>
      <c r="E922" s="16" t="s">
        <v>3026</v>
      </c>
      <c r="F922" s="17" t="s">
        <v>1314</v>
      </c>
      <c r="G922" s="27" t="s">
        <v>54</v>
      </c>
      <c r="H922" s="19">
        <v>43</v>
      </c>
      <c r="I922" s="20" t="s">
        <v>3027</v>
      </c>
      <c r="J922" s="20" t="s">
        <v>3028</v>
      </c>
      <c r="K922" s="21" t="s">
        <v>3029</v>
      </c>
      <c r="L922" s="20" t="s">
        <v>58</v>
      </c>
      <c r="M922" t="str">
        <f>TEXT(A922,"dddd")</f>
        <v>Thursday</v>
      </c>
      <c r="N922" s="35">
        <f>DATE(Table4[[#This Row],[year]],Table4[[#This Row],[month2]],Table4[[#This Row],[day]])</f>
        <v>46072</v>
      </c>
    </row>
    <row r="923" spans="1:14" ht="16" x14ac:dyDescent="0.35">
      <c r="A923" t="str">
        <f t="shared" si="28"/>
        <v>19</v>
      </c>
      <c r="B923">
        <f>_xlfn.SWITCH(Table4[[#This Row],[month]],"jan",1,"feb",2,"mar",3,"apr",4,"may",5,"jun",6,"jul",7,"aug",8,"sep",9,"oct",10,"nov",11,"dec",12,"no month")</f>
        <v>2</v>
      </c>
      <c r="C923" s="12" t="str">
        <f>LEFT('All Transactions'!$E923,3)</f>
        <v>Feb</v>
      </c>
      <c r="D923" s="12" t="str">
        <f t="shared" si="29"/>
        <v>2026</v>
      </c>
      <c r="E923" s="22" t="s">
        <v>3026</v>
      </c>
      <c r="F923" s="23" t="s">
        <v>1720</v>
      </c>
      <c r="G923" s="27" t="s">
        <v>54</v>
      </c>
      <c r="H923" s="24">
        <v>35</v>
      </c>
      <c r="I923" s="25" t="s">
        <v>3030</v>
      </c>
      <c r="J923" s="25" t="s">
        <v>3031</v>
      </c>
      <c r="K923" s="26" t="s">
        <v>3032</v>
      </c>
      <c r="L923" s="25" t="s">
        <v>58</v>
      </c>
      <c r="M923" t="str">
        <f>TEXT(A923,"dddd")</f>
        <v>Thursday</v>
      </c>
      <c r="N923" s="35">
        <f>DATE(Table4[[#This Row],[year]],Table4[[#This Row],[month2]],Table4[[#This Row],[day]])</f>
        <v>46072</v>
      </c>
    </row>
    <row r="924" spans="1:14" ht="16" x14ac:dyDescent="0.35">
      <c r="A924" t="str">
        <f t="shared" si="28"/>
        <v>19</v>
      </c>
      <c r="B924">
        <f>_xlfn.SWITCH(Table4[[#This Row],[month]],"jan",1,"feb",2,"mar",3,"apr",4,"may",5,"jun",6,"jul",7,"aug",8,"sep",9,"oct",10,"nov",11,"dec",12,"no month")</f>
        <v>2</v>
      </c>
      <c r="C924" s="12" t="str">
        <f>LEFT('All Transactions'!$E924,3)</f>
        <v>Feb</v>
      </c>
      <c r="D924" s="12" t="str">
        <f t="shared" si="29"/>
        <v>2026</v>
      </c>
      <c r="E924" s="16" t="s">
        <v>3026</v>
      </c>
      <c r="F924" s="17" t="s">
        <v>2321</v>
      </c>
      <c r="G924" s="27" t="s">
        <v>54</v>
      </c>
      <c r="H924" s="19">
        <v>80</v>
      </c>
      <c r="I924" s="20" t="s">
        <v>3033</v>
      </c>
      <c r="J924" s="20" t="s">
        <v>3034</v>
      </c>
      <c r="K924" s="21" t="s">
        <v>3035</v>
      </c>
      <c r="L924" s="20" t="s">
        <v>58</v>
      </c>
      <c r="M924" t="str">
        <f>TEXT(A924,"dddd")</f>
        <v>Thursday</v>
      </c>
      <c r="N924" s="35">
        <f>DATE(Table4[[#This Row],[year]],Table4[[#This Row],[month2]],Table4[[#This Row],[day]])</f>
        <v>46072</v>
      </c>
    </row>
    <row r="925" spans="1:14" ht="16" x14ac:dyDescent="0.35">
      <c r="A925" t="str">
        <f t="shared" si="28"/>
        <v>19</v>
      </c>
      <c r="B925">
        <f>_xlfn.SWITCH(Table4[[#This Row],[month]],"jan",1,"feb",2,"mar",3,"apr",4,"may",5,"jun",6,"jul",7,"aug",8,"sep",9,"oct",10,"nov",11,"dec",12,"no month")</f>
        <v>2</v>
      </c>
      <c r="C925" s="12" t="str">
        <f>LEFT('All Transactions'!$E925,3)</f>
        <v>Feb</v>
      </c>
      <c r="D925" s="12" t="str">
        <f t="shared" si="29"/>
        <v>2026</v>
      </c>
      <c r="E925" s="22" t="s">
        <v>3026</v>
      </c>
      <c r="F925" s="23" t="s">
        <v>1597</v>
      </c>
      <c r="G925" s="27" t="s">
        <v>54</v>
      </c>
      <c r="H925" s="24">
        <v>152</v>
      </c>
      <c r="I925" s="25" t="s">
        <v>3036</v>
      </c>
      <c r="J925" s="25" t="s">
        <v>3037</v>
      </c>
      <c r="K925" s="26" t="s">
        <v>3038</v>
      </c>
      <c r="L925" s="25" t="s">
        <v>58</v>
      </c>
      <c r="M925" t="str">
        <f>TEXT(A925,"dddd")</f>
        <v>Thursday</v>
      </c>
      <c r="N925" s="35">
        <f>DATE(Table4[[#This Row],[year]],Table4[[#This Row],[month2]],Table4[[#This Row],[day]])</f>
        <v>46072</v>
      </c>
    </row>
    <row r="926" spans="1:14" ht="16" x14ac:dyDescent="0.35">
      <c r="A926" t="str">
        <f t="shared" si="28"/>
        <v>19</v>
      </c>
      <c r="B926">
        <f>_xlfn.SWITCH(Table4[[#This Row],[month]],"jan",1,"feb",2,"mar",3,"apr",4,"may",5,"jun",6,"jul",7,"aug",8,"sep",9,"oct",10,"nov",11,"dec",12,"no month")</f>
        <v>2</v>
      </c>
      <c r="C926" s="12" t="str">
        <f>LEFT('All Transactions'!$E926,3)</f>
        <v>Feb</v>
      </c>
      <c r="D926" s="12" t="str">
        <f t="shared" si="29"/>
        <v>2026</v>
      </c>
      <c r="E926" s="16" t="s">
        <v>3026</v>
      </c>
      <c r="F926" s="17" t="s">
        <v>985</v>
      </c>
      <c r="G926" s="27" t="s">
        <v>54</v>
      </c>
      <c r="H926" s="19">
        <v>130</v>
      </c>
      <c r="I926" s="20" t="s">
        <v>3039</v>
      </c>
      <c r="J926" s="20" t="s">
        <v>3040</v>
      </c>
      <c r="K926" s="21" t="s">
        <v>3041</v>
      </c>
      <c r="L926" s="20" t="s">
        <v>58</v>
      </c>
      <c r="M926" t="str">
        <f>TEXT(A926,"dddd")</f>
        <v>Thursday</v>
      </c>
      <c r="N926" s="35">
        <f>DATE(Table4[[#This Row],[year]],Table4[[#This Row],[month2]],Table4[[#This Row],[day]])</f>
        <v>46072</v>
      </c>
    </row>
    <row r="927" spans="1:14" ht="16" x14ac:dyDescent="0.35">
      <c r="A927" t="str">
        <f t="shared" si="28"/>
        <v>19</v>
      </c>
      <c r="B927">
        <f>_xlfn.SWITCH(Table4[[#This Row],[month]],"jan",1,"feb",2,"mar",3,"apr",4,"may",5,"jun",6,"jul",7,"aug",8,"sep",9,"oct",10,"nov",11,"dec",12,"no month")</f>
        <v>2</v>
      </c>
      <c r="C927" s="12" t="str">
        <f>LEFT('All Transactions'!$E927,3)</f>
        <v>Feb</v>
      </c>
      <c r="D927" s="12" t="str">
        <f t="shared" si="29"/>
        <v>2026</v>
      </c>
      <c r="E927" s="22" t="s">
        <v>3026</v>
      </c>
      <c r="F927" s="23" t="s">
        <v>3042</v>
      </c>
      <c r="G927" s="18" t="s">
        <v>28</v>
      </c>
      <c r="H927" s="24">
        <v>133.47999999999999</v>
      </c>
      <c r="I927" s="25" t="s">
        <v>566</v>
      </c>
      <c r="J927" s="25" t="s">
        <v>3043</v>
      </c>
      <c r="K927" s="26" t="s">
        <v>3044</v>
      </c>
      <c r="L927" s="25" t="s">
        <v>32</v>
      </c>
      <c r="M927" t="str">
        <f>TEXT(A927,"dddd")</f>
        <v>Thursday</v>
      </c>
      <c r="N927" s="35">
        <f>DATE(Table4[[#This Row],[year]],Table4[[#This Row],[month2]],Table4[[#This Row],[day]])</f>
        <v>46072</v>
      </c>
    </row>
    <row r="928" spans="1:14" ht="16" x14ac:dyDescent="0.35">
      <c r="A928" t="str">
        <f t="shared" si="28"/>
        <v>19</v>
      </c>
      <c r="B928">
        <f>_xlfn.SWITCH(Table4[[#This Row],[month]],"jan",1,"feb",2,"mar",3,"apr",4,"may",5,"jun",6,"jul",7,"aug",8,"sep",9,"oct",10,"nov",11,"dec",12,"no month")</f>
        <v>2</v>
      </c>
      <c r="C928" s="12" t="str">
        <f>LEFT('All Transactions'!$E928,3)</f>
        <v>Feb</v>
      </c>
      <c r="D928" s="12" t="str">
        <f t="shared" si="29"/>
        <v>2026</v>
      </c>
      <c r="E928" s="16" t="s">
        <v>3026</v>
      </c>
      <c r="F928" s="17" t="s">
        <v>297</v>
      </c>
      <c r="G928" s="27" t="s">
        <v>54</v>
      </c>
      <c r="H928" s="19">
        <v>150</v>
      </c>
      <c r="I928" s="20" t="s">
        <v>1586</v>
      </c>
      <c r="J928" s="20" t="s">
        <v>3045</v>
      </c>
      <c r="K928" s="21" t="s">
        <v>3046</v>
      </c>
      <c r="L928" s="20" t="s">
        <v>58</v>
      </c>
      <c r="M928" t="str">
        <f>TEXT(A928,"dddd")</f>
        <v>Thursday</v>
      </c>
      <c r="N928" s="35">
        <f>DATE(Table4[[#This Row],[year]],Table4[[#This Row],[month2]],Table4[[#This Row],[day]])</f>
        <v>46072</v>
      </c>
    </row>
    <row r="929" spans="1:14" ht="16" x14ac:dyDescent="0.35">
      <c r="A929" t="str">
        <f t="shared" si="28"/>
        <v>19</v>
      </c>
      <c r="B929">
        <f>_xlfn.SWITCH(Table4[[#This Row],[month]],"jan",1,"feb",2,"mar",3,"apr",4,"may",5,"jun",6,"jul",7,"aug",8,"sep",9,"oct",10,"nov",11,"dec",12,"no month")</f>
        <v>2</v>
      </c>
      <c r="C929" s="12" t="str">
        <f>LEFT('All Transactions'!$E929,3)</f>
        <v>Feb</v>
      </c>
      <c r="D929" s="12" t="str">
        <f t="shared" si="29"/>
        <v>2026</v>
      </c>
      <c r="E929" s="22" t="s">
        <v>3026</v>
      </c>
      <c r="F929" s="23" t="s">
        <v>1994</v>
      </c>
      <c r="G929" s="27" t="s">
        <v>54</v>
      </c>
      <c r="H929" s="24">
        <v>46</v>
      </c>
      <c r="I929" s="25" t="s">
        <v>3047</v>
      </c>
      <c r="J929" s="25" t="s">
        <v>3048</v>
      </c>
      <c r="K929" s="26" t="s">
        <v>3049</v>
      </c>
      <c r="L929" s="25" t="s">
        <v>58</v>
      </c>
      <c r="M929" t="str">
        <f>TEXT(A929,"dddd")</f>
        <v>Thursday</v>
      </c>
      <c r="N929" s="35">
        <f>DATE(Table4[[#This Row],[year]],Table4[[#This Row],[month2]],Table4[[#This Row],[day]])</f>
        <v>46072</v>
      </c>
    </row>
    <row r="930" spans="1:14" ht="16" x14ac:dyDescent="0.35">
      <c r="A930" t="str">
        <f t="shared" si="28"/>
        <v>19</v>
      </c>
      <c r="B930">
        <f>_xlfn.SWITCH(Table4[[#This Row],[month]],"jan",1,"feb",2,"mar",3,"apr",4,"may",5,"jun",6,"jul",7,"aug",8,"sep",9,"oct",10,"nov",11,"dec",12,"no month")</f>
        <v>2</v>
      </c>
      <c r="C930" s="12" t="str">
        <f>LEFT('All Transactions'!$E930,3)</f>
        <v>Feb</v>
      </c>
      <c r="D930" s="12" t="str">
        <f t="shared" si="29"/>
        <v>2026</v>
      </c>
      <c r="E930" s="16" t="s">
        <v>3026</v>
      </c>
      <c r="F930" s="17" t="s">
        <v>3050</v>
      </c>
      <c r="G930" s="18" t="s">
        <v>28</v>
      </c>
      <c r="H930" s="19">
        <v>40</v>
      </c>
      <c r="I930" s="20" t="s">
        <v>167</v>
      </c>
      <c r="J930" s="20" t="s">
        <v>3051</v>
      </c>
      <c r="K930" s="21" t="s">
        <v>3052</v>
      </c>
      <c r="L930" s="20" t="s">
        <v>32</v>
      </c>
      <c r="M930" t="str">
        <f>TEXT(A930,"dddd")</f>
        <v>Thursday</v>
      </c>
      <c r="N930" s="35">
        <f>DATE(Table4[[#This Row],[year]],Table4[[#This Row],[month2]],Table4[[#This Row],[day]])</f>
        <v>46072</v>
      </c>
    </row>
    <row r="931" spans="1:14" ht="16" x14ac:dyDescent="0.35">
      <c r="A931" t="str">
        <f t="shared" si="28"/>
        <v>19</v>
      </c>
      <c r="B931">
        <f>_xlfn.SWITCH(Table4[[#This Row],[month]],"jan",1,"feb",2,"mar",3,"apr",4,"may",5,"jun",6,"jul",7,"aug",8,"sep",9,"oct",10,"nov",11,"dec",12,"no month")</f>
        <v>2</v>
      </c>
      <c r="C931" s="12" t="str">
        <f>LEFT('All Transactions'!$E931,3)</f>
        <v>Feb</v>
      </c>
      <c r="D931" s="12" t="str">
        <f t="shared" si="29"/>
        <v>2026</v>
      </c>
      <c r="E931" s="22" t="s">
        <v>3026</v>
      </c>
      <c r="F931" s="23" t="s">
        <v>1282</v>
      </c>
      <c r="G931" s="18" t="s">
        <v>28</v>
      </c>
      <c r="H931" s="24">
        <v>75</v>
      </c>
      <c r="I931" s="25" t="s">
        <v>201</v>
      </c>
      <c r="J931" s="25" t="s">
        <v>3053</v>
      </c>
      <c r="K931" s="26" t="s">
        <v>3054</v>
      </c>
      <c r="L931" s="25" t="s">
        <v>32</v>
      </c>
      <c r="M931" t="str">
        <f>TEXT(A931,"dddd")</f>
        <v>Thursday</v>
      </c>
      <c r="N931" s="35">
        <f>DATE(Table4[[#This Row],[year]],Table4[[#This Row],[month2]],Table4[[#This Row],[day]])</f>
        <v>46072</v>
      </c>
    </row>
    <row r="932" spans="1:14" ht="16" x14ac:dyDescent="0.35">
      <c r="A932" t="str">
        <f t="shared" si="28"/>
        <v>19</v>
      </c>
      <c r="B932">
        <f>_xlfn.SWITCH(Table4[[#This Row],[month]],"jan",1,"feb",2,"mar",3,"apr",4,"may",5,"jun",6,"jul",7,"aug",8,"sep",9,"oct",10,"nov",11,"dec",12,"no month")</f>
        <v>2</v>
      </c>
      <c r="C932" s="12" t="str">
        <f>LEFT('All Transactions'!$E932,3)</f>
        <v>Feb</v>
      </c>
      <c r="D932" s="12" t="str">
        <f t="shared" si="29"/>
        <v>2026</v>
      </c>
      <c r="E932" s="16" t="s">
        <v>3026</v>
      </c>
      <c r="F932" s="17" t="s">
        <v>3055</v>
      </c>
      <c r="G932" s="27" t="s">
        <v>54</v>
      </c>
      <c r="H932" s="19">
        <v>75</v>
      </c>
      <c r="I932" s="20" t="s">
        <v>156</v>
      </c>
      <c r="J932" s="20" t="s">
        <v>3056</v>
      </c>
      <c r="K932" s="21" t="s">
        <v>3057</v>
      </c>
      <c r="L932" s="20" t="s">
        <v>58</v>
      </c>
      <c r="M932" t="str">
        <f>TEXT(A932,"dddd")</f>
        <v>Thursday</v>
      </c>
      <c r="N932" s="35">
        <f>DATE(Table4[[#This Row],[year]],Table4[[#This Row],[month2]],Table4[[#This Row],[day]])</f>
        <v>46072</v>
      </c>
    </row>
    <row r="933" spans="1:14" ht="16" x14ac:dyDescent="0.35">
      <c r="A933" t="str">
        <f t="shared" si="28"/>
        <v>19</v>
      </c>
      <c r="B933">
        <f>_xlfn.SWITCH(Table4[[#This Row],[month]],"jan",1,"feb",2,"mar",3,"apr",4,"may",5,"jun",6,"jul",7,"aug",8,"sep",9,"oct",10,"nov",11,"dec",12,"no month")</f>
        <v>2</v>
      </c>
      <c r="C933" s="12" t="str">
        <f>LEFT('All Transactions'!$E933,3)</f>
        <v>Feb</v>
      </c>
      <c r="D933" s="12" t="str">
        <f t="shared" si="29"/>
        <v>2026</v>
      </c>
      <c r="E933" s="22" t="s">
        <v>3026</v>
      </c>
      <c r="F933" s="23" t="s">
        <v>3003</v>
      </c>
      <c r="G933" s="18" t="s">
        <v>28</v>
      </c>
      <c r="H933" s="24">
        <v>89</v>
      </c>
      <c r="I933" s="25" t="s">
        <v>3058</v>
      </c>
      <c r="J933" s="25" t="s">
        <v>3059</v>
      </c>
      <c r="K933" s="26" t="s">
        <v>3060</v>
      </c>
      <c r="L933" s="25" t="s">
        <v>32</v>
      </c>
      <c r="M933" t="str">
        <f>TEXT(A933,"dddd")</f>
        <v>Thursday</v>
      </c>
      <c r="N933" s="35">
        <f>DATE(Table4[[#This Row],[year]],Table4[[#This Row],[month2]],Table4[[#This Row],[day]])</f>
        <v>46072</v>
      </c>
    </row>
    <row r="934" spans="1:14" ht="16" x14ac:dyDescent="0.35">
      <c r="A934" t="str">
        <f t="shared" si="28"/>
        <v>19</v>
      </c>
      <c r="B934">
        <f>_xlfn.SWITCH(Table4[[#This Row],[month]],"jan",1,"feb",2,"mar",3,"apr",4,"may",5,"jun",6,"jul",7,"aug",8,"sep",9,"oct",10,"nov",11,"dec",12,"no month")</f>
        <v>2</v>
      </c>
      <c r="C934" s="12" t="str">
        <f>LEFT('All Transactions'!$E934,3)</f>
        <v>Feb</v>
      </c>
      <c r="D934" s="12" t="str">
        <f t="shared" si="29"/>
        <v>2026</v>
      </c>
      <c r="E934" s="16" t="s">
        <v>3026</v>
      </c>
      <c r="F934" s="17" t="s">
        <v>3061</v>
      </c>
      <c r="G934" s="18" t="s">
        <v>28</v>
      </c>
      <c r="H934" s="19">
        <v>60</v>
      </c>
      <c r="I934" s="20" t="s">
        <v>3062</v>
      </c>
      <c r="J934" s="20" t="s">
        <v>3063</v>
      </c>
      <c r="K934" s="21" t="s">
        <v>3064</v>
      </c>
      <c r="L934" s="20" t="s">
        <v>32</v>
      </c>
      <c r="M934" t="str">
        <f>TEXT(A934,"dddd")</f>
        <v>Thursday</v>
      </c>
      <c r="N934" s="35">
        <f>DATE(Table4[[#This Row],[year]],Table4[[#This Row],[month2]],Table4[[#This Row],[day]])</f>
        <v>46072</v>
      </c>
    </row>
    <row r="935" spans="1:14" ht="16" x14ac:dyDescent="0.35">
      <c r="A935" t="str">
        <f t="shared" si="28"/>
        <v>18</v>
      </c>
      <c r="B935">
        <f>_xlfn.SWITCH(Table4[[#This Row],[month]],"jan",1,"feb",2,"mar",3,"apr",4,"may",5,"jun",6,"jul",7,"aug",8,"sep",9,"oct",10,"nov",11,"dec",12,"no month")</f>
        <v>2</v>
      </c>
      <c r="C935" s="12" t="str">
        <f>LEFT('All Transactions'!$E935,3)</f>
        <v>Feb</v>
      </c>
      <c r="D935" s="12" t="str">
        <f t="shared" si="29"/>
        <v>2026</v>
      </c>
      <c r="E935" s="22" t="s">
        <v>3065</v>
      </c>
      <c r="F935" s="23" t="s">
        <v>3066</v>
      </c>
      <c r="G935" s="27" t="s">
        <v>54</v>
      </c>
      <c r="H935" s="24">
        <v>55</v>
      </c>
      <c r="I935" s="25" t="s">
        <v>3067</v>
      </c>
      <c r="J935" s="25" t="s">
        <v>3068</v>
      </c>
      <c r="K935" s="26" t="s">
        <v>3069</v>
      </c>
      <c r="L935" s="25" t="s">
        <v>58</v>
      </c>
      <c r="M935" t="str">
        <f>TEXT(A935,"dddd")</f>
        <v>Wednesday</v>
      </c>
      <c r="N935" s="35">
        <f>DATE(Table4[[#This Row],[year]],Table4[[#This Row],[month2]],Table4[[#This Row],[day]])</f>
        <v>46071</v>
      </c>
    </row>
    <row r="936" spans="1:14" ht="16" x14ac:dyDescent="0.35">
      <c r="A936" t="str">
        <f t="shared" si="28"/>
        <v>18</v>
      </c>
      <c r="B936">
        <f>_xlfn.SWITCH(Table4[[#This Row],[month]],"jan",1,"feb",2,"mar",3,"apr",4,"may",5,"jun",6,"jul",7,"aug",8,"sep",9,"oct",10,"nov",11,"dec",12,"no month")</f>
        <v>2</v>
      </c>
      <c r="C936" s="12" t="str">
        <f>LEFT('All Transactions'!$E936,3)</f>
        <v>Feb</v>
      </c>
      <c r="D936" s="12" t="str">
        <f t="shared" si="29"/>
        <v>2026</v>
      </c>
      <c r="E936" s="16" t="s">
        <v>3065</v>
      </c>
      <c r="F936" s="17" t="s">
        <v>3070</v>
      </c>
      <c r="G936" s="18" t="s">
        <v>28</v>
      </c>
      <c r="H936" s="19">
        <v>10</v>
      </c>
      <c r="I936" s="20" t="s">
        <v>167</v>
      </c>
      <c r="J936" s="20" t="s">
        <v>3071</v>
      </c>
      <c r="K936" s="21" t="s">
        <v>3072</v>
      </c>
      <c r="L936" s="20" t="s">
        <v>32</v>
      </c>
      <c r="M936" t="str">
        <f>TEXT(A936,"dddd")</f>
        <v>Wednesday</v>
      </c>
      <c r="N936" s="35">
        <f>DATE(Table4[[#This Row],[year]],Table4[[#This Row],[month2]],Table4[[#This Row],[day]])</f>
        <v>46071</v>
      </c>
    </row>
    <row r="937" spans="1:14" ht="16" x14ac:dyDescent="0.35">
      <c r="A937" t="str">
        <f t="shared" si="28"/>
        <v>18</v>
      </c>
      <c r="B937">
        <f>_xlfn.SWITCH(Table4[[#This Row],[month]],"jan",1,"feb",2,"mar",3,"apr",4,"may",5,"jun",6,"jul",7,"aug",8,"sep",9,"oct",10,"nov",11,"dec",12,"no month")</f>
        <v>2</v>
      </c>
      <c r="C937" s="12" t="str">
        <f>LEFT('All Transactions'!$E937,3)</f>
        <v>Feb</v>
      </c>
      <c r="D937" s="12" t="str">
        <f t="shared" si="29"/>
        <v>2026</v>
      </c>
      <c r="E937" s="22" t="s">
        <v>3065</v>
      </c>
      <c r="F937" s="23" t="s">
        <v>3073</v>
      </c>
      <c r="G937" s="18" t="s">
        <v>28</v>
      </c>
      <c r="H937" s="24">
        <v>20</v>
      </c>
      <c r="I937" s="25" t="s">
        <v>201</v>
      </c>
      <c r="J937" s="25" t="s">
        <v>3074</v>
      </c>
      <c r="K937" s="26" t="s">
        <v>3075</v>
      </c>
      <c r="L937" s="25" t="s">
        <v>32</v>
      </c>
      <c r="M937" t="str">
        <f>TEXT(A937,"dddd")</f>
        <v>Wednesday</v>
      </c>
      <c r="N937" s="35">
        <f>DATE(Table4[[#This Row],[year]],Table4[[#This Row],[month2]],Table4[[#This Row],[day]])</f>
        <v>46071</v>
      </c>
    </row>
    <row r="938" spans="1:14" ht="16" x14ac:dyDescent="0.35">
      <c r="A938" t="str">
        <f t="shared" si="28"/>
        <v>17</v>
      </c>
      <c r="B938">
        <f>_xlfn.SWITCH(Table4[[#This Row],[month]],"jan",1,"feb",2,"mar",3,"apr",4,"may",5,"jun",6,"jul",7,"aug",8,"sep",9,"oct",10,"nov",11,"dec",12,"no month")</f>
        <v>2</v>
      </c>
      <c r="C938" s="12" t="str">
        <f>LEFT('All Transactions'!$E938,3)</f>
        <v>Feb</v>
      </c>
      <c r="D938" s="12" t="str">
        <f t="shared" si="29"/>
        <v>2026</v>
      </c>
      <c r="E938" s="16" t="s">
        <v>3076</v>
      </c>
      <c r="F938" s="17" t="s">
        <v>3077</v>
      </c>
      <c r="G938" s="18" t="s">
        <v>28</v>
      </c>
      <c r="H938" s="19">
        <v>90</v>
      </c>
      <c r="I938" s="20" t="s">
        <v>325</v>
      </c>
      <c r="J938" s="20" t="s">
        <v>3078</v>
      </c>
      <c r="K938" s="21" t="s">
        <v>3079</v>
      </c>
      <c r="L938" s="20" t="s">
        <v>32</v>
      </c>
      <c r="M938" t="str">
        <f>TEXT(A938,"dddd")</f>
        <v>Tuesday</v>
      </c>
      <c r="N938" s="35">
        <f>DATE(Table4[[#This Row],[year]],Table4[[#This Row],[month2]],Table4[[#This Row],[day]])</f>
        <v>46070</v>
      </c>
    </row>
    <row r="939" spans="1:14" ht="16" x14ac:dyDescent="0.35">
      <c r="A939" t="str">
        <f t="shared" si="28"/>
        <v>17</v>
      </c>
      <c r="B939">
        <f>_xlfn.SWITCH(Table4[[#This Row],[month]],"jan",1,"feb",2,"mar",3,"apr",4,"may",5,"jun",6,"jul",7,"aug",8,"sep",9,"oct",10,"nov",11,"dec",12,"no month")</f>
        <v>2</v>
      </c>
      <c r="C939" s="12" t="str">
        <f>LEFT('All Transactions'!$E939,3)</f>
        <v>Feb</v>
      </c>
      <c r="D939" s="12" t="str">
        <f t="shared" si="29"/>
        <v>2026</v>
      </c>
      <c r="E939" s="22" t="s">
        <v>3076</v>
      </c>
      <c r="F939" s="23" t="s">
        <v>2681</v>
      </c>
      <c r="G939" s="18" t="s">
        <v>28</v>
      </c>
      <c r="H939" s="24">
        <v>5000</v>
      </c>
      <c r="I939" s="25" t="s">
        <v>3080</v>
      </c>
      <c r="J939" s="25"/>
      <c r="K939" s="26" t="s">
        <v>3081</v>
      </c>
      <c r="L939" s="25" t="s">
        <v>32</v>
      </c>
      <c r="M939" t="str">
        <f>TEXT(A939,"dddd")</f>
        <v>Tuesday</v>
      </c>
      <c r="N939" s="35">
        <f>DATE(Table4[[#This Row],[year]],Table4[[#This Row],[month2]],Table4[[#This Row],[day]])</f>
        <v>46070</v>
      </c>
    </row>
    <row r="940" spans="1:14" ht="16" x14ac:dyDescent="0.35">
      <c r="A940" t="str">
        <f t="shared" si="28"/>
        <v>17</v>
      </c>
      <c r="B940">
        <f>_xlfn.SWITCH(Table4[[#This Row],[month]],"jan",1,"feb",2,"mar",3,"apr",4,"may",5,"jun",6,"jul",7,"aug",8,"sep",9,"oct",10,"nov",11,"dec",12,"no month")</f>
        <v>2</v>
      </c>
      <c r="C940" s="12" t="str">
        <f>LEFT('All Transactions'!$E940,3)</f>
        <v>Feb</v>
      </c>
      <c r="D940" s="12" t="str">
        <f t="shared" si="29"/>
        <v>2026</v>
      </c>
      <c r="E940" s="16" t="s">
        <v>3076</v>
      </c>
      <c r="F940" s="17" t="s">
        <v>2685</v>
      </c>
      <c r="G940" s="27" t="s">
        <v>54</v>
      </c>
      <c r="H940" s="19">
        <v>5000</v>
      </c>
      <c r="I940" s="20" t="s">
        <v>947</v>
      </c>
      <c r="J940" s="20" t="s">
        <v>3082</v>
      </c>
      <c r="K940" s="21" t="s">
        <v>3083</v>
      </c>
      <c r="L940" s="20" t="s">
        <v>58</v>
      </c>
      <c r="M940" t="str">
        <f>TEXT(A940,"dddd")</f>
        <v>Tuesday</v>
      </c>
      <c r="N940" s="35">
        <f>DATE(Table4[[#This Row],[year]],Table4[[#This Row],[month2]],Table4[[#This Row],[day]])</f>
        <v>46070</v>
      </c>
    </row>
    <row r="941" spans="1:14" ht="16" x14ac:dyDescent="0.35">
      <c r="A941" t="str">
        <f t="shared" si="28"/>
        <v>17</v>
      </c>
      <c r="B941">
        <f>_xlfn.SWITCH(Table4[[#This Row],[month]],"jan",1,"feb",2,"mar",3,"apr",4,"may",5,"jun",6,"jul",7,"aug",8,"sep",9,"oct",10,"nov",11,"dec",12,"no month")</f>
        <v>2</v>
      </c>
      <c r="C941" s="12" t="str">
        <f>LEFT('All Transactions'!$E941,3)</f>
        <v>Feb</v>
      </c>
      <c r="D941" s="12" t="str">
        <f t="shared" si="29"/>
        <v>2026</v>
      </c>
      <c r="E941" s="22" t="s">
        <v>3076</v>
      </c>
      <c r="F941" s="23" t="s">
        <v>2999</v>
      </c>
      <c r="G941" s="18" t="s">
        <v>28</v>
      </c>
      <c r="H941" s="24">
        <v>5000</v>
      </c>
      <c r="I941" s="25" t="s">
        <v>3084</v>
      </c>
      <c r="J941" s="25"/>
      <c r="K941" s="26" t="s">
        <v>3085</v>
      </c>
      <c r="L941" s="25" t="s">
        <v>32</v>
      </c>
      <c r="M941" t="str">
        <f>TEXT(A941,"dddd")</f>
        <v>Tuesday</v>
      </c>
      <c r="N941" s="35">
        <f>DATE(Table4[[#This Row],[year]],Table4[[#This Row],[month2]],Table4[[#This Row],[day]])</f>
        <v>46070</v>
      </c>
    </row>
    <row r="942" spans="1:14" ht="16" x14ac:dyDescent="0.35">
      <c r="A942" t="str">
        <f t="shared" si="28"/>
        <v>17</v>
      </c>
      <c r="B942">
        <f>_xlfn.SWITCH(Table4[[#This Row],[month]],"jan",1,"feb",2,"mar",3,"apr",4,"may",5,"jun",6,"jul",7,"aug",8,"sep",9,"oct",10,"nov",11,"dec",12,"no month")</f>
        <v>2</v>
      </c>
      <c r="C942" s="12" t="str">
        <f>LEFT('All Transactions'!$E942,3)</f>
        <v>Feb</v>
      </c>
      <c r="D942" s="12" t="str">
        <f t="shared" si="29"/>
        <v>2026</v>
      </c>
      <c r="E942" s="16" t="s">
        <v>3076</v>
      </c>
      <c r="F942" s="17" t="s">
        <v>3086</v>
      </c>
      <c r="G942" s="27" t="s">
        <v>54</v>
      </c>
      <c r="H942" s="19">
        <v>5000</v>
      </c>
      <c r="I942" s="20" t="s">
        <v>1090</v>
      </c>
      <c r="J942" s="20" t="s">
        <v>3087</v>
      </c>
      <c r="K942" s="21" t="s">
        <v>3088</v>
      </c>
      <c r="L942" s="20" t="s">
        <v>58</v>
      </c>
      <c r="M942" t="str">
        <f>TEXT(A942,"dddd")</f>
        <v>Tuesday</v>
      </c>
      <c r="N942" s="35">
        <f>DATE(Table4[[#This Row],[year]],Table4[[#This Row],[month2]],Table4[[#This Row],[day]])</f>
        <v>46070</v>
      </c>
    </row>
    <row r="943" spans="1:14" ht="16" x14ac:dyDescent="0.35">
      <c r="A943" t="str">
        <f t="shared" si="28"/>
        <v>17</v>
      </c>
      <c r="B943">
        <f>_xlfn.SWITCH(Table4[[#This Row],[month]],"jan",1,"feb",2,"mar",3,"apr",4,"may",5,"jun",6,"jul",7,"aug",8,"sep",9,"oct",10,"nov",11,"dec",12,"no month")</f>
        <v>2</v>
      </c>
      <c r="C943" s="12" t="str">
        <f>LEFT('All Transactions'!$E943,3)</f>
        <v>Feb</v>
      </c>
      <c r="D943" s="12" t="str">
        <f t="shared" si="29"/>
        <v>2026</v>
      </c>
      <c r="E943" s="22" t="s">
        <v>3076</v>
      </c>
      <c r="F943" s="23" t="s">
        <v>3089</v>
      </c>
      <c r="G943" s="18" t="s">
        <v>28</v>
      </c>
      <c r="H943" s="24">
        <v>70</v>
      </c>
      <c r="I943" s="25" t="s">
        <v>384</v>
      </c>
      <c r="J943" s="25" t="s">
        <v>3090</v>
      </c>
      <c r="K943" s="26" t="s">
        <v>3091</v>
      </c>
      <c r="L943" s="25" t="s">
        <v>32</v>
      </c>
      <c r="M943" t="str">
        <f>TEXT(A943,"dddd")</f>
        <v>Tuesday</v>
      </c>
      <c r="N943" s="35">
        <f>DATE(Table4[[#This Row],[year]],Table4[[#This Row],[month2]],Table4[[#This Row],[day]])</f>
        <v>46070</v>
      </c>
    </row>
    <row r="944" spans="1:14" ht="16" x14ac:dyDescent="0.35">
      <c r="A944" t="str">
        <f t="shared" si="28"/>
        <v>16</v>
      </c>
      <c r="B944">
        <f>_xlfn.SWITCH(Table4[[#This Row],[month]],"jan",1,"feb",2,"mar",3,"apr",4,"may",5,"jun",6,"jul",7,"aug",8,"sep",9,"oct",10,"nov",11,"dec",12,"no month")</f>
        <v>2</v>
      </c>
      <c r="C944" s="12" t="str">
        <f>LEFT('All Transactions'!$E944,3)</f>
        <v>Feb</v>
      </c>
      <c r="D944" s="12" t="str">
        <f t="shared" si="29"/>
        <v>2026</v>
      </c>
      <c r="E944" s="16" t="s">
        <v>3092</v>
      </c>
      <c r="F944" s="17" t="s">
        <v>3093</v>
      </c>
      <c r="G944" s="18" t="s">
        <v>28</v>
      </c>
      <c r="H944" s="19">
        <v>50</v>
      </c>
      <c r="I944" s="20" t="s">
        <v>3094</v>
      </c>
      <c r="J944" s="20" t="s">
        <v>3095</v>
      </c>
      <c r="K944" s="21" t="s">
        <v>3096</v>
      </c>
      <c r="L944" s="20" t="s">
        <v>32</v>
      </c>
      <c r="M944" t="str">
        <f>TEXT(A944,"dddd")</f>
        <v>Monday</v>
      </c>
      <c r="N944" s="35">
        <f>DATE(Table4[[#This Row],[year]],Table4[[#This Row],[month2]],Table4[[#This Row],[day]])</f>
        <v>46069</v>
      </c>
    </row>
    <row r="945" spans="1:14" ht="16" x14ac:dyDescent="0.35">
      <c r="A945" t="str">
        <f t="shared" si="28"/>
        <v>16</v>
      </c>
      <c r="B945">
        <f>_xlfn.SWITCH(Table4[[#This Row],[month]],"jan",1,"feb",2,"mar",3,"apr",4,"may",5,"jun",6,"jul",7,"aug",8,"sep",9,"oct",10,"nov",11,"dec",12,"no month")</f>
        <v>2</v>
      </c>
      <c r="C945" s="12" t="str">
        <f>LEFT('All Transactions'!$E945,3)</f>
        <v>Feb</v>
      </c>
      <c r="D945" s="12" t="str">
        <f t="shared" si="29"/>
        <v>2026</v>
      </c>
      <c r="E945" s="22" t="s">
        <v>3092</v>
      </c>
      <c r="F945" s="23" t="s">
        <v>3097</v>
      </c>
      <c r="G945" s="18" t="s">
        <v>28</v>
      </c>
      <c r="H945" s="24">
        <v>40</v>
      </c>
      <c r="I945" s="25" t="s">
        <v>3098</v>
      </c>
      <c r="J945" s="25" t="s">
        <v>3099</v>
      </c>
      <c r="K945" s="26" t="s">
        <v>3100</v>
      </c>
      <c r="L945" s="25" t="s">
        <v>32</v>
      </c>
      <c r="M945" t="str">
        <f>TEXT(A945,"dddd")</f>
        <v>Monday</v>
      </c>
      <c r="N945" s="35">
        <f>DATE(Table4[[#This Row],[year]],Table4[[#This Row],[month2]],Table4[[#This Row],[day]])</f>
        <v>46069</v>
      </c>
    </row>
    <row r="946" spans="1:14" ht="16" x14ac:dyDescent="0.35">
      <c r="A946" t="str">
        <f t="shared" si="28"/>
        <v>16</v>
      </c>
      <c r="B946">
        <f>_xlfn.SWITCH(Table4[[#This Row],[month]],"jan",1,"feb",2,"mar",3,"apr",4,"may",5,"jun",6,"jul",7,"aug",8,"sep",9,"oct",10,"nov",11,"dec",12,"no month")</f>
        <v>2</v>
      </c>
      <c r="C946" s="12" t="str">
        <f>LEFT('All Transactions'!$E946,3)</f>
        <v>Feb</v>
      </c>
      <c r="D946" s="12" t="str">
        <f t="shared" si="29"/>
        <v>2026</v>
      </c>
      <c r="E946" s="16" t="s">
        <v>3092</v>
      </c>
      <c r="F946" s="17" t="s">
        <v>3101</v>
      </c>
      <c r="G946" s="18" t="s">
        <v>28</v>
      </c>
      <c r="H946" s="19">
        <v>12</v>
      </c>
      <c r="I946" s="20" t="s">
        <v>3102</v>
      </c>
      <c r="J946" s="20" t="s">
        <v>3103</v>
      </c>
      <c r="K946" s="21" t="s">
        <v>3104</v>
      </c>
      <c r="L946" s="20" t="s">
        <v>32</v>
      </c>
      <c r="M946" t="str">
        <f>TEXT(A946,"dddd")</f>
        <v>Monday</v>
      </c>
      <c r="N946" s="35">
        <f>DATE(Table4[[#This Row],[year]],Table4[[#This Row],[month2]],Table4[[#This Row],[day]])</f>
        <v>46069</v>
      </c>
    </row>
    <row r="947" spans="1:14" ht="16" x14ac:dyDescent="0.35">
      <c r="A947" t="str">
        <f t="shared" si="28"/>
        <v>16</v>
      </c>
      <c r="B947">
        <f>_xlfn.SWITCH(Table4[[#This Row],[month]],"jan",1,"feb",2,"mar",3,"apr",4,"may",5,"jun",6,"jul",7,"aug",8,"sep",9,"oct",10,"nov",11,"dec",12,"no month")</f>
        <v>2</v>
      </c>
      <c r="C947" s="12" t="str">
        <f>LEFT('All Transactions'!$E947,3)</f>
        <v>Feb</v>
      </c>
      <c r="D947" s="12" t="str">
        <f t="shared" si="29"/>
        <v>2026</v>
      </c>
      <c r="E947" s="22" t="s">
        <v>3092</v>
      </c>
      <c r="F947" s="23" t="s">
        <v>3105</v>
      </c>
      <c r="G947" s="18" t="s">
        <v>28</v>
      </c>
      <c r="H947" s="24">
        <v>161</v>
      </c>
      <c r="I947" s="25" t="s">
        <v>336</v>
      </c>
      <c r="J947" s="25" t="s">
        <v>3106</v>
      </c>
      <c r="K947" s="26" t="s">
        <v>3107</v>
      </c>
      <c r="L947" s="25" t="s">
        <v>32</v>
      </c>
      <c r="M947" t="str">
        <f>TEXT(A947,"dddd")</f>
        <v>Monday</v>
      </c>
      <c r="N947" s="35">
        <f>DATE(Table4[[#This Row],[year]],Table4[[#This Row],[month2]],Table4[[#This Row],[day]])</f>
        <v>46069</v>
      </c>
    </row>
    <row r="948" spans="1:14" ht="16" x14ac:dyDescent="0.35">
      <c r="A948" t="str">
        <f t="shared" si="28"/>
        <v>16</v>
      </c>
      <c r="B948">
        <f>_xlfn.SWITCH(Table4[[#This Row],[month]],"jan",1,"feb",2,"mar",3,"apr",4,"may",5,"jun",6,"jul",7,"aug",8,"sep",9,"oct",10,"nov",11,"dec",12,"no month")</f>
        <v>2</v>
      </c>
      <c r="C948" s="12" t="str">
        <f>LEFT('All Transactions'!$E948,3)</f>
        <v>Feb</v>
      </c>
      <c r="D948" s="12" t="str">
        <f t="shared" si="29"/>
        <v>2026</v>
      </c>
      <c r="E948" s="16" t="s">
        <v>3092</v>
      </c>
      <c r="F948" s="17" t="s">
        <v>3070</v>
      </c>
      <c r="G948" s="27" t="s">
        <v>54</v>
      </c>
      <c r="H948" s="19">
        <v>200</v>
      </c>
      <c r="I948" s="20" t="s">
        <v>1775</v>
      </c>
      <c r="J948" s="20" t="s">
        <v>3108</v>
      </c>
      <c r="K948" s="21" t="s">
        <v>3109</v>
      </c>
      <c r="L948" s="20" t="s">
        <v>58</v>
      </c>
      <c r="M948" t="str">
        <f>TEXT(A948,"dddd")</f>
        <v>Monday</v>
      </c>
      <c r="N948" s="35">
        <f>DATE(Table4[[#This Row],[year]],Table4[[#This Row],[month2]],Table4[[#This Row],[day]])</f>
        <v>46069</v>
      </c>
    </row>
    <row r="949" spans="1:14" ht="16" x14ac:dyDescent="0.35">
      <c r="A949" t="str">
        <f t="shared" si="28"/>
        <v>16</v>
      </c>
      <c r="B949">
        <f>_xlfn.SWITCH(Table4[[#This Row],[month]],"jan",1,"feb",2,"mar",3,"apr",4,"may",5,"jun",6,"jul",7,"aug",8,"sep",9,"oct",10,"nov",11,"dec",12,"no month")</f>
        <v>2</v>
      </c>
      <c r="C949" s="12" t="str">
        <f>LEFT('All Transactions'!$E949,3)</f>
        <v>Feb</v>
      </c>
      <c r="D949" s="12" t="str">
        <f t="shared" si="29"/>
        <v>2026</v>
      </c>
      <c r="E949" s="22" t="s">
        <v>3092</v>
      </c>
      <c r="F949" s="23" t="s">
        <v>486</v>
      </c>
      <c r="G949" s="18" t="s">
        <v>28</v>
      </c>
      <c r="H949" s="24">
        <v>60</v>
      </c>
      <c r="I949" s="25" t="s">
        <v>3110</v>
      </c>
      <c r="J949" s="25" t="s">
        <v>3111</v>
      </c>
      <c r="K949" s="26" t="s">
        <v>3112</v>
      </c>
      <c r="L949" s="25" t="s">
        <v>32</v>
      </c>
      <c r="M949" t="str">
        <f>TEXT(A949,"dddd")</f>
        <v>Monday</v>
      </c>
      <c r="N949" s="35">
        <f>DATE(Table4[[#This Row],[year]],Table4[[#This Row],[month2]],Table4[[#This Row],[day]])</f>
        <v>46069</v>
      </c>
    </row>
    <row r="950" spans="1:14" ht="16" x14ac:dyDescent="0.35">
      <c r="A950" t="str">
        <f t="shared" si="28"/>
        <v>15</v>
      </c>
      <c r="B950">
        <f>_xlfn.SWITCH(Table4[[#This Row],[month]],"jan",1,"feb",2,"mar",3,"apr",4,"may",5,"jun",6,"jul",7,"aug",8,"sep",9,"oct",10,"nov",11,"dec",12,"no month")</f>
        <v>2</v>
      </c>
      <c r="C950" s="12" t="str">
        <f>LEFT('All Transactions'!$E950,3)</f>
        <v>Feb</v>
      </c>
      <c r="D950" s="12" t="str">
        <f t="shared" si="29"/>
        <v>2026</v>
      </c>
      <c r="E950" s="16" t="s">
        <v>3113</v>
      </c>
      <c r="F950" s="17" t="s">
        <v>3114</v>
      </c>
      <c r="G950" s="18" t="s">
        <v>28</v>
      </c>
      <c r="H950" s="19">
        <v>93</v>
      </c>
      <c r="I950" s="20" t="s">
        <v>1199</v>
      </c>
      <c r="J950" s="20" t="s">
        <v>3115</v>
      </c>
      <c r="K950" s="21" t="s">
        <v>3116</v>
      </c>
      <c r="L950" s="20" t="s">
        <v>32</v>
      </c>
      <c r="M950" t="str">
        <f>TEXT(A950,"dddd")</f>
        <v>Sunday</v>
      </c>
      <c r="N950" s="35">
        <f>DATE(Table4[[#This Row],[year]],Table4[[#This Row],[month2]],Table4[[#This Row],[day]])</f>
        <v>46068</v>
      </c>
    </row>
    <row r="951" spans="1:14" ht="16" x14ac:dyDescent="0.35">
      <c r="A951" t="str">
        <f t="shared" si="28"/>
        <v>15</v>
      </c>
      <c r="B951">
        <f>_xlfn.SWITCH(Table4[[#This Row],[month]],"jan",1,"feb",2,"mar",3,"apr",4,"may",5,"jun",6,"jul",7,"aug",8,"sep",9,"oct",10,"nov",11,"dec",12,"no month")</f>
        <v>2</v>
      </c>
      <c r="C951" s="12" t="str">
        <f>LEFT('All Transactions'!$E951,3)</f>
        <v>Feb</v>
      </c>
      <c r="D951" s="12" t="str">
        <f t="shared" si="29"/>
        <v>2026</v>
      </c>
      <c r="E951" s="22" t="s">
        <v>3113</v>
      </c>
      <c r="F951" s="23" t="s">
        <v>3117</v>
      </c>
      <c r="G951" s="18" t="s">
        <v>28</v>
      </c>
      <c r="H951" s="24">
        <v>1600</v>
      </c>
      <c r="I951" s="25" t="s">
        <v>3118</v>
      </c>
      <c r="J951" s="25" t="s">
        <v>3119</v>
      </c>
      <c r="K951" s="26" t="s">
        <v>3120</v>
      </c>
      <c r="L951" s="25" t="s">
        <v>32</v>
      </c>
      <c r="M951" t="str">
        <f>TEXT(A951,"dddd")</f>
        <v>Sunday</v>
      </c>
      <c r="N951" s="35">
        <f>DATE(Table4[[#This Row],[year]],Table4[[#This Row],[month2]],Table4[[#This Row],[day]])</f>
        <v>46068</v>
      </c>
    </row>
    <row r="952" spans="1:14" ht="16" x14ac:dyDescent="0.35">
      <c r="A952" t="str">
        <f t="shared" si="28"/>
        <v>15</v>
      </c>
      <c r="B952">
        <f>_xlfn.SWITCH(Table4[[#This Row],[month]],"jan",1,"feb",2,"mar",3,"apr",4,"may",5,"jun",6,"jul",7,"aug",8,"sep",9,"oct",10,"nov",11,"dec",12,"no month")</f>
        <v>2</v>
      </c>
      <c r="C952" s="12" t="str">
        <f>LEFT('All Transactions'!$E952,3)</f>
        <v>Feb</v>
      </c>
      <c r="D952" s="12" t="str">
        <f t="shared" si="29"/>
        <v>2026</v>
      </c>
      <c r="E952" s="16" t="s">
        <v>3113</v>
      </c>
      <c r="F952" s="17" t="s">
        <v>3121</v>
      </c>
      <c r="G952" s="27" t="s">
        <v>54</v>
      </c>
      <c r="H952" s="19">
        <v>1000</v>
      </c>
      <c r="I952" s="20" t="s">
        <v>1642</v>
      </c>
      <c r="J952" s="20" t="s">
        <v>3122</v>
      </c>
      <c r="K952" s="21" t="s">
        <v>3123</v>
      </c>
      <c r="L952" s="20" t="s">
        <v>58</v>
      </c>
      <c r="M952" t="str">
        <f>TEXT(A952,"dddd")</f>
        <v>Sunday</v>
      </c>
      <c r="N952" s="35">
        <f>DATE(Table4[[#This Row],[year]],Table4[[#This Row],[month2]],Table4[[#This Row],[day]])</f>
        <v>46068</v>
      </c>
    </row>
    <row r="953" spans="1:14" ht="16" x14ac:dyDescent="0.35">
      <c r="A953" t="str">
        <f t="shared" si="28"/>
        <v>14</v>
      </c>
      <c r="B953">
        <f>_xlfn.SWITCH(Table4[[#This Row],[month]],"jan",1,"feb",2,"mar",3,"apr",4,"may",5,"jun",6,"jul",7,"aug",8,"sep",9,"oct",10,"nov",11,"dec",12,"no month")</f>
        <v>2</v>
      </c>
      <c r="C953" s="12" t="str">
        <f>LEFT('All Transactions'!$E953,3)</f>
        <v>Feb</v>
      </c>
      <c r="D953" s="12" t="str">
        <f t="shared" si="29"/>
        <v>2026</v>
      </c>
      <c r="E953" s="22" t="s">
        <v>3124</v>
      </c>
      <c r="F953" s="23" t="s">
        <v>1629</v>
      </c>
      <c r="G953" s="18" t="s">
        <v>28</v>
      </c>
      <c r="H953" s="24">
        <v>710.43</v>
      </c>
      <c r="I953" s="25" t="s">
        <v>3125</v>
      </c>
      <c r="J953" s="25" t="s">
        <v>3126</v>
      </c>
      <c r="K953" s="26" t="s">
        <v>3127</v>
      </c>
      <c r="L953" s="25" t="s">
        <v>32</v>
      </c>
      <c r="M953" t="str">
        <f>TEXT(A953,"dddd")</f>
        <v>Saturday</v>
      </c>
      <c r="N953" s="35">
        <f>DATE(Table4[[#This Row],[year]],Table4[[#This Row],[month2]],Table4[[#This Row],[day]])</f>
        <v>46067</v>
      </c>
    </row>
    <row r="954" spans="1:14" ht="16" x14ac:dyDescent="0.35">
      <c r="A954" t="str">
        <f t="shared" si="28"/>
        <v>14</v>
      </c>
      <c r="B954">
        <f>_xlfn.SWITCH(Table4[[#This Row],[month]],"jan",1,"feb",2,"mar",3,"apr",4,"may",5,"jun",6,"jul",7,"aug",8,"sep",9,"oct",10,"nov",11,"dec",12,"no month")</f>
        <v>2</v>
      </c>
      <c r="C954" s="12" t="str">
        <f>LEFT('All Transactions'!$E954,3)</f>
        <v>Feb</v>
      </c>
      <c r="D954" s="12" t="str">
        <f t="shared" si="29"/>
        <v>2026</v>
      </c>
      <c r="E954" s="16" t="s">
        <v>3124</v>
      </c>
      <c r="F954" s="17" t="s">
        <v>3128</v>
      </c>
      <c r="G954" s="27" t="s">
        <v>54</v>
      </c>
      <c r="H954" s="19">
        <v>2000</v>
      </c>
      <c r="I954" s="20" t="s">
        <v>156</v>
      </c>
      <c r="J954" s="20" t="s">
        <v>3129</v>
      </c>
      <c r="K954" s="21" t="s">
        <v>3130</v>
      </c>
      <c r="L954" s="20" t="s">
        <v>58</v>
      </c>
      <c r="M954" t="str">
        <f>TEXT(A954,"dddd")</f>
        <v>Saturday</v>
      </c>
      <c r="N954" s="35">
        <f>DATE(Table4[[#This Row],[year]],Table4[[#This Row],[month2]],Table4[[#This Row],[day]])</f>
        <v>46067</v>
      </c>
    </row>
    <row r="955" spans="1:14" ht="16" x14ac:dyDescent="0.35">
      <c r="A955" t="str">
        <f t="shared" si="28"/>
        <v>14</v>
      </c>
      <c r="B955">
        <f>_xlfn.SWITCH(Table4[[#This Row],[month]],"jan",1,"feb",2,"mar",3,"apr",4,"may",5,"jun",6,"jul",7,"aug",8,"sep",9,"oct",10,"nov",11,"dec",12,"no month")</f>
        <v>2</v>
      </c>
      <c r="C955" s="12" t="str">
        <f>LEFT('All Transactions'!$E955,3)</f>
        <v>Feb</v>
      </c>
      <c r="D955" s="12" t="str">
        <f t="shared" si="29"/>
        <v>2026</v>
      </c>
      <c r="E955" s="22" t="s">
        <v>3124</v>
      </c>
      <c r="F955" s="23" t="s">
        <v>3131</v>
      </c>
      <c r="G955" s="18" t="s">
        <v>28</v>
      </c>
      <c r="H955" s="24">
        <v>56</v>
      </c>
      <c r="I955" s="25" t="s">
        <v>3132</v>
      </c>
      <c r="J955" s="25" t="s">
        <v>3133</v>
      </c>
      <c r="K955" s="26" t="s">
        <v>3134</v>
      </c>
      <c r="L955" s="25" t="s">
        <v>32</v>
      </c>
      <c r="M955" t="str">
        <f>TEXT(A955,"dddd")</f>
        <v>Saturday</v>
      </c>
      <c r="N955" s="35">
        <f>DATE(Table4[[#This Row],[year]],Table4[[#This Row],[month2]],Table4[[#This Row],[day]])</f>
        <v>46067</v>
      </c>
    </row>
    <row r="956" spans="1:14" ht="16" x14ac:dyDescent="0.35">
      <c r="A956" t="str">
        <f t="shared" si="28"/>
        <v>14</v>
      </c>
      <c r="B956">
        <f>_xlfn.SWITCH(Table4[[#This Row],[month]],"jan",1,"feb",2,"mar",3,"apr",4,"may",5,"jun",6,"jul",7,"aug",8,"sep",9,"oct",10,"nov",11,"dec",12,"no month")</f>
        <v>2</v>
      </c>
      <c r="C956" s="12" t="str">
        <f>LEFT('All Transactions'!$E956,3)</f>
        <v>Feb</v>
      </c>
      <c r="D956" s="12" t="str">
        <f t="shared" si="29"/>
        <v>2026</v>
      </c>
      <c r="E956" s="16" t="s">
        <v>3124</v>
      </c>
      <c r="F956" s="17" t="s">
        <v>3135</v>
      </c>
      <c r="G956" s="18" t="s">
        <v>28</v>
      </c>
      <c r="H956" s="19">
        <v>259</v>
      </c>
      <c r="I956" s="20" t="s">
        <v>3136</v>
      </c>
      <c r="J956" s="20" t="s">
        <v>3137</v>
      </c>
      <c r="K956" s="21" t="s">
        <v>3138</v>
      </c>
      <c r="L956" s="20" t="s">
        <v>32</v>
      </c>
      <c r="M956" t="str">
        <f>TEXT(A956,"dddd")</f>
        <v>Saturday</v>
      </c>
      <c r="N956" s="35">
        <f>DATE(Table4[[#This Row],[year]],Table4[[#This Row],[month2]],Table4[[#This Row],[day]])</f>
        <v>46067</v>
      </c>
    </row>
    <row r="957" spans="1:14" ht="16" x14ac:dyDescent="0.35">
      <c r="A957" t="str">
        <f t="shared" si="28"/>
        <v>14</v>
      </c>
      <c r="B957">
        <f>_xlfn.SWITCH(Table4[[#This Row],[month]],"jan",1,"feb",2,"mar",3,"apr",4,"may",5,"jun",6,"jul",7,"aug",8,"sep",9,"oct",10,"nov",11,"dec",12,"no month")</f>
        <v>2</v>
      </c>
      <c r="C957" s="12" t="str">
        <f>LEFT('All Transactions'!$E957,3)</f>
        <v>Feb</v>
      </c>
      <c r="D957" s="12" t="str">
        <f t="shared" si="29"/>
        <v>2026</v>
      </c>
      <c r="E957" s="22" t="s">
        <v>3124</v>
      </c>
      <c r="F957" s="23" t="s">
        <v>2270</v>
      </c>
      <c r="G957" s="18" t="s">
        <v>28</v>
      </c>
      <c r="H957" s="24">
        <v>258</v>
      </c>
      <c r="I957" s="25" t="s">
        <v>3136</v>
      </c>
      <c r="J957" s="25" t="s">
        <v>3139</v>
      </c>
      <c r="K957" s="26" t="s">
        <v>3140</v>
      </c>
      <c r="L957" s="25" t="s">
        <v>32</v>
      </c>
      <c r="M957" t="str">
        <f>TEXT(A957,"dddd")</f>
        <v>Saturday</v>
      </c>
      <c r="N957" s="35">
        <f>DATE(Table4[[#This Row],[year]],Table4[[#This Row],[month2]],Table4[[#This Row],[day]])</f>
        <v>46067</v>
      </c>
    </row>
    <row r="958" spans="1:14" ht="16" x14ac:dyDescent="0.35">
      <c r="A958" t="str">
        <f t="shared" si="28"/>
        <v>14</v>
      </c>
      <c r="B958">
        <f>_xlfn.SWITCH(Table4[[#This Row],[month]],"jan",1,"feb",2,"mar",3,"apr",4,"may",5,"jun",6,"jul",7,"aug",8,"sep",9,"oct",10,"nov",11,"dec",12,"no month")</f>
        <v>2</v>
      </c>
      <c r="C958" s="12" t="str">
        <f>LEFT('All Transactions'!$E958,3)</f>
        <v>Feb</v>
      </c>
      <c r="D958" s="12" t="str">
        <f t="shared" si="29"/>
        <v>2026</v>
      </c>
      <c r="E958" s="16" t="s">
        <v>3124</v>
      </c>
      <c r="F958" s="17" t="s">
        <v>3141</v>
      </c>
      <c r="G958" s="18" t="s">
        <v>28</v>
      </c>
      <c r="H958" s="19">
        <v>41</v>
      </c>
      <c r="I958" s="20" t="s">
        <v>3142</v>
      </c>
      <c r="J958" s="20" t="s">
        <v>3143</v>
      </c>
      <c r="K958" s="21" t="s">
        <v>3144</v>
      </c>
      <c r="L958" s="20" t="s">
        <v>32</v>
      </c>
      <c r="M958" t="str">
        <f>TEXT(A958,"dddd")</f>
        <v>Saturday</v>
      </c>
      <c r="N958" s="35">
        <f>DATE(Table4[[#This Row],[year]],Table4[[#This Row],[month2]],Table4[[#This Row],[day]])</f>
        <v>46067</v>
      </c>
    </row>
    <row r="959" spans="1:14" ht="16" x14ac:dyDescent="0.35">
      <c r="A959" t="str">
        <f t="shared" si="28"/>
        <v>13</v>
      </c>
      <c r="B959">
        <f>_xlfn.SWITCH(Table4[[#This Row],[month]],"jan",1,"feb",2,"mar",3,"apr",4,"may",5,"jun",6,"jul",7,"aug",8,"sep",9,"oct",10,"nov",11,"dec",12,"no month")</f>
        <v>2</v>
      </c>
      <c r="C959" s="12" t="str">
        <f>LEFT('All Transactions'!$E959,3)</f>
        <v>Feb</v>
      </c>
      <c r="D959" s="12" t="str">
        <f t="shared" si="29"/>
        <v>2026</v>
      </c>
      <c r="E959" s="22" t="s">
        <v>3145</v>
      </c>
      <c r="F959" s="23" t="s">
        <v>719</v>
      </c>
      <c r="G959" s="18" t="s">
        <v>28</v>
      </c>
      <c r="H959" s="24">
        <v>988.56</v>
      </c>
      <c r="I959" s="25" t="s">
        <v>1294</v>
      </c>
      <c r="J959" s="25" t="s">
        <v>3146</v>
      </c>
      <c r="K959" s="26" t="s">
        <v>3147</v>
      </c>
      <c r="L959" s="25" t="s">
        <v>32</v>
      </c>
      <c r="M959" t="str">
        <f>TEXT(A959,"dddd")</f>
        <v>Friday</v>
      </c>
      <c r="N959" s="35">
        <f>DATE(Table4[[#This Row],[year]],Table4[[#This Row],[month2]],Table4[[#This Row],[day]])</f>
        <v>46066</v>
      </c>
    </row>
    <row r="960" spans="1:14" ht="16" x14ac:dyDescent="0.35">
      <c r="A960" t="str">
        <f t="shared" si="28"/>
        <v>13</v>
      </c>
      <c r="B960">
        <f>_xlfn.SWITCH(Table4[[#This Row],[month]],"jan",1,"feb",2,"mar",3,"apr",4,"may",5,"jun",6,"jul",7,"aug",8,"sep",9,"oct",10,"nov",11,"dec",12,"no month")</f>
        <v>2</v>
      </c>
      <c r="C960" s="12" t="str">
        <f>LEFT('All Transactions'!$E960,3)</f>
        <v>Feb</v>
      </c>
      <c r="D960" s="12" t="str">
        <f t="shared" si="29"/>
        <v>2026</v>
      </c>
      <c r="E960" s="16" t="s">
        <v>3145</v>
      </c>
      <c r="F960" s="17" t="s">
        <v>415</v>
      </c>
      <c r="G960" s="18" t="s">
        <v>28</v>
      </c>
      <c r="H960" s="19">
        <v>60</v>
      </c>
      <c r="I960" s="20" t="s">
        <v>3148</v>
      </c>
      <c r="J960" s="20" t="s">
        <v>3149</v>
      </c>
      <c r="K960" s="21" t="s">
        <v>3150</v>
      </c>
      <c r="L960" s="20" t="s">
        <v>32</v>
      </c>
      <c r="M960" t="str">
        <f>TEXT(A960,"dddd")</f>
        <v>Friday</v>
      </c>
      <c r="N960" s="35">
        <f>DATE(Table4[[#This Row],[year]],Table4[[#This Row],[month2]],Table4[[#This Row],[day]])</f>
        <v>46066</v>
      </c>
    </row>
    <row r="961" spans="1:14" ht="16" x14ac:dyDescent="0.35">
      <c r="A961" t="str">
        <f t="shared" si="28"/>
        <v>13</v>
      </c>
      <c r="B961">
        <f>_xlfn.SWITCH(Table4[[#This Row],[month]],"jan",1,"feb",2,"mar",3,"apr",4,"may",5,"jun",6,"jul",7,"aug",8,"sep",9,"oct",10,"nov",11,"dec",12,"no month")</f>
        <v>2</v>
      </c>
      <c r="C961" s="12" t="str">
        <f>LEFT('All Transactions'!$E961,3)</f>
        <v>Feb</v>
      </c>
      <c r="D961" s="12" t="str">
        <f t="shared" si="29"/>
        <v>2026</v>
      </c>
      <c r="E961" s="22" t="s">
        <v>3145</v>
      </c>
      <c r="F961" s="23" t="s">
        <v>940</v>
      </c>
      <c r="G961" s="18" t="s">
        <v>28</v>
      </c>
      <c r="H961" s="24">
        <v>56</v>
      </c>
      <c r="I961" s="25" t="s">
        <v>3151</v>
      </c>
      <c r="J961" s="25" t="s">
        <v>3152</v>
      </c>
      <c r="K961" s="26" t="s">
        <v>3153</v>
      </c>
      <c r="L961" s="25" t="s">
        <v>32</v>
      </c>
      <c r="M961" t="str">
        <f>TEXT(A961,"dddd")</f>
        <v>Friday</v>
      </c>
      <c r="N961" s="35">
        <f>DATE(Table4[[#This Row],[year]],Table4[[#This Row],[month2]],Table4[[#This Row],[day]])</f>
        <v>46066</v>
      </c>
    </row>
    <row r="962" spans="1:14" ht="16" x14ac:dyDescent="0.35">
      <c r="A962" t="str">
        <f t="shared" si="28"/>
        <v>13</v>
      </c>
      <c r="B962">
        <f>_xlfn.SWITCH(Table4[[#This Row],[month]],"jan",1,"feb",2,"mar",3,"apr",4,"may",5,"jun",6,"jul",7,"aug",8,"sep",9,"oct",10,"nov",11,"dec",12,"no month")</f>
        <v>2</v>
      </c>
      <c r="C962" s="12" t="str">
        <f>LEFT('All Transactions'!$E962,3)</f>
        <v>Feb</v>
      </c>
      <c r="D962" s="12" t="str">
        <f t="shared" si="29"/>
        <v>2026</v>
      </c>
      <c r="E962" s="16" t="s">
        <v>3145</v>
      </c>
      <c r="F962" s="17" t="s">
        <v>3101</v>
      </c>
      <c r="G962" s="18" t="s">
        <v>28</v>
      </c>
      <c r="H962" s="19">
        <v>999</v>
      </c>
      <c r="I962" s="20" t="s">
        <v>1294</v>
      </c>
      <c r="J962" s="20" t="s">
        <v>3154</v>
      </c>
      <c r="K962" s="21" t="s">
        <v>3155</v>
      </c>
      <c r="L962" s="20" t="s">
        <v>32</v>
      </c>
      <c r="M962" t="str">
        <f>TEXT(A962,"dddd")</f>
        <v>Friday</v>
      </c>
      <c r="N962" s="35">
        <f>DATE(Table4[[#This Row],[year]],Table4[[#This Row],[month2]],Table4[[#This Row],[day]])</f>
        <v>46066</v>
      </c>
    </row>
    <row r="963" spans="1:14" ht="16" x14ac:dyDescent="0.35">
      <c r="A963" t="str">
        <f t="shared" ref="A963:A1026" si="30">MID(E963,5,2)</f>
        <v>13</v>
      </c>
      <c r="B963">
        <f>_xlfn.SWITCH(Table4[[#This Row],[month]],"jan",1,"feb",2,"mar",3,"apr",4,"may",5,"jun",6,"jul",7,"aug",8,"sep",9,"oct",10,"nov",11,"dec",12,"no month")</f>
        <v>2</v>
      </c>
      <c r="C963" s="12" t="str">
        <f>LEFT('All Transactions'!$E963,3)</f>
        <v>Feb</v>
      </c>
      <c r="D963" s="12" t="str">
        <f t="shared" ref="D963:D1026" si="31">RIGHT(E963,4)</f>
        <v>2026</v>
      </c>
      <c r="E963" s="22" t="s">
        <v>3145</v>
      </c>
      <c r="F963" s="23" t="s">
        <v>3101</v>
      </c>
      <c r="G963" s="27" t="s">
        <v>54</v>
      </c>
      <c r="H963" s="24">
        <v>3000</v>
      </c>
      <c r="I963" s="25" t="s">
        <v>156</v>
      </c>
      <c r="J963" s="25" t="s">
        <v>3156</v>
      </c>
      <c r="K963" s="26" t="s">
        <v>3157</v>
      </c>
      <c r="L963" s="25" t="s">
        <v>58</v>
      </c>
      <c r="M963" t="str">
        <f>TEXT(A963,"dddd")</f>
        <v>Friday</v>
      </c>
      <c r="N963" s="35">
        <f>DATE(Table4[[#This Row],[year]],Table4[[#This Row],[month2]],Table4[[#This Row],[day]])</f>
        <v>46066</v>
      </c>
    </row>
    <row r="964" spans="1:14" ht="16" x14ac:dyDescent="0.35">
      <c r="A964" t="str">
        <f t="shared" si="30"/>
        <v>12</v>
      </c>
      <c r="B964">
        <f>_xlfn.SWITCH(Table4[[#This Row],[month]],"jan",1,"feb",2,"mar",3,"apr",4,"may",5,"jun",6,"jul",7,"aug",8,"sep",9,"oct",10,"nov",11,"dec",12,"no month")</f>
        <v>2</v>
      </c>
      <c r="C964" s="12" t="str">
        <f>LEFT('All Transactions'!$E964,3)</f>
        <v>Feb</v>
      </c>
      <c r="D964" s="12" t="str">
        <f t="shared" si="31"/>
        <v>2026</v>
      </c>
      <c r="E964" s="16" t="s">
        <v>3158</v>
      </c>
      <c r="F964" s="17" t="s">
        <v>2309</v>
      </c>
      <c r="G964" s="18" t="s">
        <v>28</v>
      </c>
      <c r="H964" s="19">
        <v>18</v>
      </c>
      <c r="I964" s="20" t="s">
        <v>37</v>
      </c>
      <c r="J964" s="20" t="s">
        <v>3159</v>
      </c>
      <c r="K964" s="21" t="s">
        <v>3160</v>
      </c>
      <c r="L964" s="20" t="s">
        <v>32</v>
      </c>
      <c r="M964" t="str">
        <f>TEXT(A964,"dddd")</f>
        <v>Thursday</v>
      </c>
      <c r="N964" s="35">
        <f>DATE(Table4[[#This Row],[year]],Table4[[#This Row],[month2]],Table4[[#This Row],[day]])</f>
        <v>46065</v>
      </c>
    </row>
    <row r="965" spans="1:14" ht="16" x14ac:dyDescent="0.35">
      <c r="A965" t="str">
        <f t="shared" si="30"/>
        <v>12</v>
      </c>
      <c r="B965">
        <f>_xlfn.SWITCH(Table4[[#This Row],[month]],"jan",1,"feb",2,"mar",3,"apr",4,"may",5,"jun",6,"jul",7,"aug",8,"sep",9,"oct",10,"nov",11,"dec",12,"no month")</f>
        <v>2</v>
      </c>
      <c r="C965" s="12" t="str">
        <f>LEFT('All Transactions'!$E965,3)</f>
        <v>Feb</v>
      </c>
      <c r="D965" s="12" t="str">
        <f t="shared" si="31"/>
        <v>2026</v>
      </c>
      <c r="E965" s="22" t="s">
        <v>3158</v>
      </c>
      <c r="F965" s="23" t="s">
        <v>3161</v>
      </c>
      <c r="G965" s="27" t="s">
        <v>54</v>
      </c>
      <c r="H965" s="24">
        <v>30</v>
      </c>
      <c r="I965" s="25" t="s">
        <v>156</v>
      </c>
      <c r="J965" s="25" t="s">
        <v>3162</v>
      </c>
      <c r="K965" s="26" t="s">
        <v>3163</v>
      </c>
      <c r="L965" s="25" t="s">
        <v>58</v>
      </c>
      <c r="M965" t="str">
        <f>TEXT(A965,"dddd")</f>
        <v>Thursday</v>
      </c>
      <c r="N965" s="35">
        <f>DATE(Table4[[#This Row],[year]],Table4[[#This Row],[month2]],Table4[[#This Row],[day]])</f>
        <v>46065</v>
      </c>
    </row>
    <row r="966" spans="1:14" ht="16" x14ac:dyDescent="0.35">
      <c r="A966" t="str">
        <f t="shared" si="30"/>
        <v>12</v>
      </c>
      <c r="B966">
        <f>_xlfn.SWITCH(Table4[[#This Row],[month]],"jan",1,"feb",2,"mar",3,"apr",4,"may",5,"jun",6,"jul",7,"aug",8,"sep",9,"oct",10,"nov",11,"dec",12,"no month")</f>
        <v>2</v>
      </c>
      <c r="C966" s="12" t="str">
        <f>LEFT('All Transactions'!$E966,3)</f>
        <v>Feb</v>
      </c>
      <c r="D966" s="12" t="str">
        <f t="shared" si="31"/>
        <v>2026</v>
      </c>
      <c r="E966" s="16" t="s">
        <v>3158</v>
      </c>
      <c r="F966" s="17" t="s">
        <v>3164</v>
      </c>
      <c r="G966" s="18" t="s">
        <v>28</v>
      </c>
      <c r="H966" s="19">
        <v>30</v>
      </c>
      <c r="I966" s="20" t="s">
        <v>167</v>
      </c>
      <c r="J966" s="20" t="s">
        <v>3165</v>
      </c>
      <c r="K966" s="21" t="s">
        <v>3166</v>
      </c>
      <c r="L966" s="20" t="s">
        <v>32</v>
      </c>
      <c r="M966" t="str">
        <f>TEXT(A966,"dddd")</f>
        <v>Thursday</v>
      </c>
      <c r="N966" s="35">
        <f>DATE(Table4[[#This Row],[year]],Table4[[#This Row],[month2]],Table4[[#This Row],[day]])</f>
        <v>46065</v>
      </c>
    </row>
    <row r="967" spans="1:14" ht="16" x14ac:dyDescent="0.35">
      <c r="A967" t="str">
        <f t="shared" si="30"/>
        <v>11</v>
      </c>
      <c r="B967">
        <f>_xlfn.SWITCH(Table4[[#This Row],[month]],"jan",1,"feb",2,"mar",3,"apr",4,"may",5,"jun",6,"jul",7,"aug",8,"sep",9,"oct",10,"nov",11,"dec",12,"no month")</f>
        <v>2</v>
      </c>
      <c r="C967" s="12" t="str">
        <f>LEFT('All Transactions'!$E967,3)</f>
        <v>Feb</v>
      </c>
      <c r="D967" s="12" t="str">
        <f t="shared" si="31"/>
        <v>2026</v>
      </c>
      <c r="E967" s="22" t="s">
        <v>3167</v>
      </c>
      <c r="F967" s="23" t="s">
        <v>159</v>
      </c>
      <c r="G967" s="27" t="s">
        <v>54</v>
      </c>
      <c r="H967" s="24">
        <v>40</v>
      </c>
      <c r="I967" s="25" t="s">
        <v>947</v>
      </c>
      <c r="J967" s="25" t="s">
        <v>3168</v>
      </c>
      <c r="K967" s="26" t="s">
        <v>3169</v>
      </c>
      <c r="L967" s="25" t="s">
        <v>58</v>
      </c>
      <c r="M967" t="str">
        <f>TEXT(A967,"dddd")</f>
        <v>Wednesday</v>
      </c>
      <c r="N967" s="35">
        <f>DATE(Table4[[#This Row],[year]],Table4[[#This Row],[month2]],Table4[[#This Row],[day]])</f>
        <v>46064</v>
      </c>
    </row>
    <row r="968" spans="1:14" ht="16" x14ac:dyDescent="0.35">
      <c r="A968" t="str">
        <f t="shared" si="30"/>
        <v>11</v>
      </c>
      <c r="B968">
        <f>_xlfn.SWITCH(Table4[[#This Row],[month]],"jan",1,"feb",2,"mar",3,"apr",4,"may",5,"jun",6,"jul",7,"aug",8,"sep",9,"oct",10,"nov",11,"dec",12,"no month")</f>
        <v>2</v>
      </c>
      <c r="C968" s="12" t="str">
        <f>LEFT('All Transactions'!$E968,3)</f>
        <v>Feb</v>
      </c>
      <c r="D968" s="12" t="str">
        <f t="shared" si="31"/>
        <v>2026</v>
      </c>
      <c r="E968" s="16" t="s">
        <v>3167</v>
      </c>
      <c r="F968" s="17" t="s">
        <v>1035</v>
      </c>
      <c r="G968" s="18" t="s">
        <v>28</v>
      </c>
      <c r="H968" s="19">
        <v>37</v>
      </c>
      <c r="I968" s="20" t="s">
        <v>450</v>
      </c>
      <c r="J968" s="20" t="s">
        <v>3170</v>
      </c>
      <c r="K968" s="21" t="s">
        <v>3171</v>
      </c>
      <c r="L968" s="20" t="s">
        <v>32</v>
      </c>
      <c r="M968" t="str">
        <f>TEXT(A968,"dddd")</f>
        <v>Wednesday</v>
      </c>
      <c r="N968" s="35">
        <f>DATE(Table4[[#This Row],[year]],Table4[[#This Row],[month2]],Table4[[#This Row],[day]])</f>
        <v>46064</v>
      </c>
    </row>
    <row r="969" spans="1:14" ht="16" x14ac:dyDescent="0.35">
      <c r="A969" t="str">
        <f t="shared" si="30"/>
        <v>11</v>
      </c>
      <c r="B969">
        <f>_xlfn.SWITCH(Table4[[#This Row],[month]],"jan",1,"feb",2,"mar",3,"apr",4,"may",5,"jun",6,"jul",7,"aug",8,"sep",9,"oct",10,"nov",11,"dec",12,"no month")</f>
        <v>2</v>
      </c>
      <c r="C969" s="12" t="str">
        <f>LEFT('All Transactions'!$E969,3)</f>
        <v>Feb</v>
      </c>
      <c r="D969" s="12" t="str">
        <f t="shared" si="31"/>
        <v>2026</v>
      </c>
      <c r="E969" s="22" t="s">
        <v>3167</v>
      </c>
      <c r="F969" s="23" t="s">
        <v>134</v>
      </c>
      <c r="G969" s="18" t="s">
        <v>28</v>
      </c>
      <c r="H969" s="24">
        <v>420</v>
      </c>
      <c r="I969" s="25" t="s">
        <v>3172</v>
      </c>
      <c r="J969" s="25" t="s">
        <v>3173</v>
      </c>
      <c r="K969" s="26" t="s">
        <v>3174</v>
      </c>
      <c r="L969" s="25" t="s">
        <v>32</v>
      </c>
      <c r="M969" t="str">
        <f>TEXT(A969,"dddd")</f>
        <v>Wednesday</v>
      </c>
      <c r="N969" s="35">
        <f>DATE(Table4[[#This Row],[year]],Table4[[#This Row],[month2]],Table4[[#This Row],[day]])</f>
        <v>46064</v>
      </c>
    </row>
    <row r="970" spans="1:14" ht="16" x14ac:dyDescent="0.35">
      <c r="A970" t="str">
        <f t="shared" si="30"/>
        <v>11</v>
      </c>
      <c r="B970">
        <f>_xlfn.SWITCH(Table4[[#This Row],[month]],"jan",1,"feb",2,"mar",3,"apr",4,"may",5,"jun",6,"jul",7,"aug",8,"sep",9,"oct",10,"nov",11,"dec",12,"no month")</f>
        <v>2</v>
      </c>
      <c r="C970" s="12" t="str">
        <f>LEFT('All Transactions'!$E970,3)</f>
        <v>Feb</v>
      </c>
      <c r="D970" s="12" t="str">
        <f t="shared" si="31"/>
        <v>2026</v>
      </c>
      <c r="E970" s="16" t="s">
        <v>3167</v>
      </c>
      <c r="F970" s="17" t="s">
        <v>3175</v>
      </c>
      <c r="G970" s="18" t="s">
        <v>28</v>
      </c>
      <c r="H970" s="19">
        <v>32</v>
      </c>
      <c r="I970" s="20" t="s">
        <v>2653</v>
      </c>
      <c r="J970" s="20" t="s">
        <v>3176</v>
      </c>
      <c r="K970" s="21" t="s">
        <v>3177</v>
      </c>
      <c r="L970" s="20" t="s">
        <v>32</v>
      </c>
      <c r="M970" t="str">
        <f>TEXT(A970,"dddd")</f>
        <v>Wednesday</v>
      </c>
      <c r="N970" s="35">
        <f>DATE(Table4[[#This Row],[year]],Table4[[#This Row],[month2]],Table4[[#This Row],[day]])</f>
        <v>46064</v>
      </c>
    </row>
    <row r="971" spans="1:14" ht="16" x14ac:dyDescent="0.35">
      <c r="A971" t="str">
        <f t="shared" si="30"/>
        <v>11</v>
      </c>
      <c r="B971">
        <f>_xlfn.SWITCH(Table4[[#This Row],[month]],"jan",1,"feb",2,"mar",3,"apr",4,"may",5,"jun",6,"jul",7,"aug",8,"sep",9,"oct",10,"nov",11,"dec",12,"no month")</f>
        <v>2</v>
      </c>
      <c r="C971" s="12" t="str">
        <f>LEFT('All Transactions'!$E971,3)</f>
        <v>Feb</v>
      </c>
      <c r="D971" s="12" t="str">
        <f t="shared" si="31"/>
        <v>2026</v>
      </c>
      <c r="E971" s="22" t="s">
        <v>3167</v>
      </c>
      <c r="F971" s="23" t="s">
        <v>3178</v>
      </c>
      <c r="G971" s="27" t="s">
        <v>54</v>
      </c>
      <c r="H971" s="24">
        <v>200</v>
      </c>
      <c r="I971" s="25" t="s">
        <v>156</v>
      </c>
      <c r="J971" s="25" t="s">
        <v>3179</v>
      </c>
      <c r="K971" s="26" t="s">
        <v>3180</v>
      </c>
      <c r="L971" s="25" t="s">
        <v>58</v>
      </c>
      <c r="M971" t="str">
        <f>TEXT(A971,"dddd")</f>
        <v>Wednesday</v>
      </c>
      <c r="N971" s="35">
        <f>DATE(Table4[[#This Row],[year]],Table4[[#This Row],[month2]],Table4[[#This Row],[day]])</f>
        <v>46064</v>
      </c>
    </row>
    <row r="972" spans="1:14" ht="16" x14ac:dyDescent="0.35">
      <c r="A972" t="str">
        <f t="shared" si="30"/>
        <v>11</v>
      </c>
      <c r="B972">
        <f>_xlfn.SWITCH(Table4[[#This Row],[month]],"jan",1,"feb",2,"mar",3,"apr",4,"may",5,"jun",6,"jul",7,"aug",8,"sep",9,"oct",10,"nov",11,"dec",12,"no month")</f>
        <v>2</v>
      </c>
      <c r="C972" s="12" t="str">
        <f>LEFT('All Transactions'!$E972,3)</f>
        <v>Feb</v>
      </c>
      <c r="D972" s="12" t="str">
        <f t="shared" si="31"/>
        <v>2026</v>
      </c>
      <c r="E972" s="16" t="s">
        <v>3167</v>
      </c>
      <c r="F972" s="17" t="s">
        <v>1875</v>
      </c>
      <c r="G972" s="18" t="s">
        <v>28</v>
      </c>
      <c r="H972" s="19">
        <v>10</v>
      </c>
      <c r="I972" s="20" t="s">
        <v>3181</v>
      </c>
      <c r="J972" s="20" t="s">
        <v>3182</v>
      </c>
      <c r="K972" s="21" t="s">
        <v>3183</v>
      </c>
      <c r="L972" s="20" t="s">
        <v>32</v>
      </c>
      <c r="M972" t="str">
        <f>TEXT(A972,"dddd")</f>
        <v>Wednesday</v>
      </c>
      <c r="N972" s="35">
        <f>DATE(Table4[[#This Row],[year]],Table4[[#This Row],[month2]],Table4[[#This Row],[day]])</f>
        <v>46064</v>
      </c>
    </row>
    <row r="973" spans="1:14" ht="16" x14ac:dyDescent="0.35">
      <c r="A973" t="str">
        <f t="shared" si="30"/>
        <v>11</v>
      </c>
      <c r="B973">
        <f>_xlfn.SWITCH(Table4[[#This Row],[month]],"jan",1,"feb",2,"mar",3,"apr",4,"may",5,"jun",6,"jul",7,"aug",8,"sep",9,"oct",10,"nov",11,"dec",12,"no month")</f>
        <v>2</v>
      </c>
      <c r="C973" s="12" t="str">
        <f>LEFT('All Transactions'!$E973,3)</f>
        <v>Feb</v>
      </c>
      <c r="D973" s="12" t="str">
        <f t="shared" si="31"/>
        <v>2026</v>
      </c>
      <c r="E973" s="22" t="s">
        <v>3167</v>
      </c>
      <c r="F973" s="23" t="s">
        <v>3184</v>
      </c>
      <c r="G973" s="18" t="s">
        <v>28</v>
      </c>
      <c r="H973" s="24">
        <v>20</v>
      </c>
      <c r="I973" s="25" t="s">
        <v>37</v>
      </c>
      <c r="J973" s="25" t="s">
        <v>3185</v>
      </c>
      <c r="K973" s="26" t="s">
        <v>3186</v>
      </c>
      <c r="L973" s="25" t="s">
        <v>32</v>
      </c>
      <c r="M973" t="str">
        <f>TEXT(A973,"dddd")</f>
        <v>Wednesday</v>
      </c>
      <c r="N973" s="35">
        <f>DATE(Table4[[#This Row],[year]],Table4[[#This Row],[month2]],Table4[[#This Row],[day]])</f>
        <v>46064</v>
      </c>
    </row>
    <row r="974" spans="1:14" ht="16" x14ac:dyDescent="0.35">
      <c r="A974" t="str">
        <f t="shared" si="30"/>
        <v>11</v>
      </c>
      <c r="B974">
        <f>_xlfn.SWITCH(Table4[[#This Row],[month]],"jan",1,"feb",2,"mar",3,"apr",4,"may",5,"jun",6,"jul",7,"aug",8,"sep",9,"oct",10,"nov",11,"dec",12,"no month")</f>
        <v>2</v>
      </c>
      <c r="C974" s="12" t="str">
        <f>LEFT('All Transactions'!$E974,3)</f>
        <v>Feb</v>
      </c>
      <c r="D974" s="12" t="str">
        <f t="shared" si="31"/>
        <v>2026</v>
      </c>
      <c r="E974" s="16" t="s">
        <v>3167</v>
      </c>
      <c r="F974" s="17" t="s">
        <v>3187</v>
      </c>
      <c r="G974" s="18" t="s">
        <v>28</v>
      </c>
      <c r="H974" s="19">
        <v>40</v>
      </c>
      <c r="I974" s="20" t="s">
        <v>3188</v>
      </c>
      <c r="J974" s="20" t="s">
        <v>3189</v>
      </c>
      <c r="K974" s="21" t="s">
        <v>3190</v>
      </c>
      <c r="L974" s="20" t="s">
        <v>32</v>
      </c>
      <c r="M974" t="str">
        <f>TEXT(A974,"dddd")</f>
        <v>Wednesday</v>
      </c>
      <c r="N974" s="35">
        <f>DATE(Table4[[#This Row],[year]],Table4[[#This Row],[month2]],Table4[[#This Row],[day]])</f>
        <v>46064</v>
      </c>
    </row>
    <row r="975" spans="1:14" ht="16" x14ac:dyDescent="0.35">
      <c r="A975" t="str">
        <f t="shared" si="30"/>
        <v>11</v>
      </c>
      <c r="B975">
        <f>_xlfn.SWITCH(Table4[[#This Row],[month]],"jan",1,"feb",2,"mar",3,"apr",4,"may",5,"jun",6,"jul",7,"aug",8,"sep",9,"oct",10,"nov",11,"dec",12,"no month")</f>
        <v>2</v>
      </c>
      <c r="C975" s="12" t="str">
        <f>LEFT('All Transactions'!$E975,3)</f>
        <v>Feb</v>
      </c>
      <c r="D975" s="12" t="str">
        <f t="shared" si="31"/>
        <v>2026</v>
      </c>
      <c r="E975" s="22" t="s">
        <v>3167</v>
      </c>
      <c r="F975" s="23" t="s">
        <v>1961</v>
      </c>
      <c r="G975" s="18" t="s">
        <v>28</v>
      </c>
      <c r="H975" s="24">
        <v>30</v>
      </c>
      <c r="I975" s="25" t="s">
        <v>3191</v>
      </c>
      <c r="J975" s="25" t="s">
        <v>3192</v>
      </c>
      <c r="K975" s="26" t="s">
        <v>3193</v>
      </c>
      <c r="L975" s="25" t="s">
        <v>32</v>
      </c>
      <c r="M975" t="str">
        <f>TEXT(A975,"dddd")</f>
        <v>Wednesday</v>
      </c>
      <c r="N975" s="35">
        <f>DATE(Table4[[#This Row],[year]],Table4[[#This Row],[month2]],Table4[[#This Row],[day]])</f>
        <v>46064</v>
      </c>
    </row>
    <row r="976" spans="1:14" ht="16" x14ac:dyDescent="0.35">
      <c r="A976" t="str">
        <f t="shared" si="30"/>
        <v>10</v>
      </c>
      <c r="B976">
        <f>_xlfn.SWITCH(Table4[[#This Row],[month]],"jan",1,"feb",2,"mar",3,"apr",4,"may",5,"jun",6,"jul",7,"aug",8,"sep",9,"oct",10,"nov",11,"dec",12,"no month")</f>
        <v>2</v>
      </c>
      <c r="C976" s="12" t="str">
        <f>LEFT('All Transactions'!$E976,3)</f>
        <v>Feb</v>
      </c>
      <c r="D976" s="12" t="str">
        <f t="shared" si="31"/>
        <v>2026</v>
      </c>
      <c r="E976" s="16" t="s">
        <v>3194</v>
      </c>
      <c r="F976" s="17" t="s">
        <v>100</v>
      </c>
      <c r="G976" s="18" t="s">
        <v>28</v>
      </c>
      <c r="H976" s="19">
        <v>10</v>
      </c>
      <c r="I976" s="20" t="s">
        <v>662</v>
      </c>
      <c r="J976" s="20" t="s">
        <v>3195</v>
      </c>
      <c r="K976" s="21" t="s">
        <v>3196</v>
      </c>
      <c r="L976" s="20" t="s">
        <v>32</v>
      </c>
      <c r="M976" t="str">
        <f>TEXT(A976,"dddd")</f>
        <v>Tuesday</v>
      </c>
      <c r="N976" s="35">
        <f>DATE(Table4[[#This Row],[year]],Table4[[#This Row],[month2]],Table4[[#This Row],[day]])</f>
        <v>46063</v>
      </c>
    </row>
    <row r="977" spans="1:14" ht="16" x14ac:dyDescent="0.35">
      <c r="A977" t="str">
        <f t="shared" si="30"/>
        <v>10</v>
      </c>
      <c r="B977">
        <f>_xlfn.SWITCH(Table4[[#This Row],[month]],"jan",1,"feb",2,"mar",3,"apr",4,"may",5,"jun",6,"jul",7,"aug",8,"sep",9,"oct",10,"nov",11,"dec",12,"no month")</f>
        <v>2</v>
      </c>
      <c r="C977" s="12" t="str">
        <f>LEFT('All Transactions'!$E977,3)</f>
        <v>Feb</v>
      </c>
      <c r="D977" s="12" t="str">
        <f t="shared" si="31"/>
        <v>2026</v>
      </c>
      <c r="E977" s="22" t="s">
        <v>3194</v>
      </c>
      <c r="F977" s="23" t="s">
        <v>995</v>
      </c>
      <c r="G977" s="18" t="s">
        <v>28</v>
      </c>
      <c r="H977" s="24">
        <v>20</v>
      </c>
      <c r="I977" s="25" t="s">
        <v>384</v>
      </c>
      <c r="J977" s="25" t="s">
        <v>3197</v>
      </c>
      <c r="K977" s="26" t="s">
        <v>3198</v>
      </c>
      <c r="L977" s="25" t="s">
        <v>32</v>
      </c>
      <c r="M977" t="str">
        <f>TEXT(A977,"dddd")</f>
        <v>Tuesday</v>
      </c>
      <c r="N977" s="35">
        <f>DATE(Table4[[#This Row],[year]],Table4[[#This Row],[month2]],Table4[[#This Row],[day]])</f>
        <v>46063</v>
      </c>
    </row>
    <row r="978" spans="1:14" ht="16" x14ac:dyDescent="0.35">
      <c r="A978" t="str">
        <f t="shared" si="30"/>
        <v>10</v>
      </c>
      <c r="B978">
        <f>_xlfn.SWITCH(Table4[[#This Row],[month]],"jan",1,"feb",2,"mar",3,"apr",4,"may",5,"jun",6,"jul",7,"aug",8,"sep",9,"oct",10,"nov",11,"dec",12,"no month")</f>
        <v>2</v>
      </c>
      <c r="C978" s="12" t="str">
        <f>LEFT('All Transactions'!$E978,3)</f>
        <v>Feb</v>
      </c>
      <c r="D978" s="12" t="str">
        <f t="shared" si="31"/>
        <v>2026</v>
      </c>
      <c r="E978" s="16" t="s">
        <v>3194</v>
      </c>
      <c r="F978" s="17" t="s">
        <v>377</v>
      </c>
      <c r="G978" s="27" t="s">
        <v>54</v>
      </c>
      <c r="H978" s="19">
        <v>250</v>
      </c>
      <c r="I978" s="20" t="s">
        <v>1964</v>
      </c>
      <c r="J978" s="20" t="s">
        <v>3199</v>
      </c>
      <c r="K978" s="21" t="s">
        <v>3200</v>
      </c>
      <c r="L978" s="20" t="s">
        <v>58</v>
      </c>
      <c r="M978" t="str">
        <f>TEXT(A978,"dddd")</f>
        <v>Tuesday</v>
      </c>
      <c r="N978" s="35">
        <f>DATE(Table4[[#This Row],[year]],Table4[[#This Row],[month2]],Table4[[#This Row],[day]])</f>
        <v>46063</v>
      </c>
    </row>
    <row r="979" spans="1:14" ht="16" x14ac:dyDescent="0.35">
      <c r="A979" t="str">
        <f t="shared" si="30"/>
        <v>10</v>
      </c>
      <c r="B979">
        <f>_xlfn.SWITCH(Table4[[#This Row],[month]],"jan",1,"feb",2,"mar",3,"apr",4,"may",5,"jun",6,"jul",7,"aug",8,"sep",9,"oct",10,"nov",11,"dec",12,"no month")</f>
        <v>2</v>
      </c>
      <c r="C979" s="12" t="str">
        <f>LEFT('All Transactions'!$E979,3)</f>
        <v>Feb</v>
      </c>
      <c r="D979" s="12" t="str">
        <f t="shared" si="31"/>
        <v>2026</v>
      </c>
      <c r="E979" s="22" t="s">
        <v>3194</v>
      </c>
      <c r="F979" s="23" t="s">
        <v>1931</v>
      </c>
      <c r="G979" s="18" t="s">
        <v>28</v>
      </c>
      <c r="H979" s="24">
        <v>500</v>
      </c>
      <c r="I979" s="25" t="s">
        <v>3201</v>
      </c>
      <c r="J979" s="25" t="s">
        <v>3202</v>
      </c>
      <c r="K979" s="26" t="s">
        <v>3203</v>
      </c>
      <c r="L979" s="25" t="s">
        <v>32</v>
      </c>
      <c r="M979" t="str">
        <f>TEXT(A979,"dddd")</f>
        <v>Tuesday</v>
      </c>
      <c r="N979" s="35">
        <f>DATE(Table4[[#This Row],[year]],Table4[[#This Row],[month2]],Table4[[#This Row],[day]])</f>
        <v>46063</v>
      </c>
    </row>
    <row r="980" spans="1:14" ht="16" x14ac:dyDescent="0.35">
      <c r="A980" t="str">
        <f t="shared" si="30"/>
        <v>10</v>
      </c>
      <c r="B980">
        <f>_xlfn.SWITCH(Table4[[#This Row],[month]],"jan",1,"feb",2,"mar",3,"apr",4,"may",5,"jun",6,"jul",7,"aug",8,"sep",9,"oct",10,"nov",11,"dec",12,"no month")</f>
        <v>2</v>
      </c>
      <c r="C980" s="12" t="str">
        <f>LEFT('All Transactions'!$E980,3)</f>
        <v>Feb</v>
      </c>
      <c r="D980" s="12" t="str">
        <f t="shared" si="31"/>
        <v>2026</v>
      </c>
      <c r="E980" s="16" t="s">
        <v>3194</v>
      </c>
      <c r="F980" s="17" t="s">
        <v>3204</v>
      </c>
      <c r="G980" s="27" t="s">
        <v>54</v>
      </c>
      <c r="H980" s="19">
        <v>1000</v>
      </c>
      <c r="I980" s="20" t="s">
        <v>2352</v>
      </c>
      <c r="J980" s="20" t="s">
        <v>3205</v>
      </c>
      <c r="K980" s="21" t="s">
        <v>3206</v>
      </c>
      <c r="L980" s="20" t="s">
        <v>58</v>
      </c>
      <c r="M980" t="str">
        <f>TEXT(A980,"dddd")</f>
        <v>Tuesday</v>
      </c>
      <c r="N980" s="35">
        <f>DATE(Table4[[#This Row],[year]],Table4[[#This Row],[month2]],Table4[[#This Row],[day]])</f>
        <v>46063</v>
      </c>
    </row>
    <row r="981" spans="1:14" ht="16" x14ac:dyDescent="0.35">
      <c r="A981" t="str">
        <f t="shared" si="30"/>
        <v>10</v>
      </c>
      <c r="B981">
        <f>_xlfn.SWITCH(Table4[[#This Row],[month]],"jan",1,"feb",2,"mar",3,"apr",4,"may",5,"jun",6,"jul",7,"aug",8,"sep",9,"oct",10,"nov",11,"dec",12,"no month")</f>
        <v>2</v>
      </c>
      <c r="C981" s="12" t="str">
        <f>LEFT('All Transactions'!$E981,3)</f>
        <v>Feb</v>
      </c>
      <c r="D981" s="12" t="str">
        <f t="shared" si="31"/>
        <v>2026</v>
      </c>
      <c r="E981" s="22" t="s">
        <v>3194</v>
      </c>
      <c r="F981" s="23" t="s">
        <v>2745</v>
      </c>
      <c r="G981" s="18" t="s">
        <v>28</v>
      </c>
      <c r="H981" s="24">
        <v>106.2</v>
      </c>
      <c r="I981" s="25" t="s">
        <v>3207</v>
      </c>
      <c r="J981" s="25" t="s">
        <v>3208</v>
      </c>
      <c r="K981" s="26" t="s">
        <v>3209</v>
      </c>
      <c r="L981" s="25" t="s">
        <v>32</v>
      </c>
      <c r="M981" t="str">
        <f>TEXT(A981,"dddd")</f>
        <v>Tuesday</v>
      </c>
      <c r="N981" s="35">
        <f>DATE(Table4[[#This Row],[year]],Table4[[#This Row],[month2]],Table4[[#This Row],[day]])</f>
        <v>46063</v>
      </c>
    </row>
    <row r="982" spans="1:14" ht="16" x14ac:dyDescent="0.35">
      <c r="A982" t="str">
        <f t="shared" si="30"/>
        <v>10</v>
      </c>
      <c r="B982">
        <f>_xlfn.SWITCH(Table4[[#This Row],[month]],"jan",1,"feb",2,"mar",3,"apr",4,"may",5,"jun",6,"jul",7,"aug",8,"sep",9,"oct",10,"nov",11,"dec",12,"no month")</f>
        <v>2</v>
      </c>
      <c r="C982" s="12" t="str">
        <f>LEFT('All Transactions'!$E982,3)</f>
        <v>Feb</v>
      </c>
      <c r="D982" s="12" t="str">
        <f t="shared" si="31"/>
        <v>2026</v>
      </c>
      <c r="E982" s="16" t="s">
        <v>3194</v>
      </c>
      <c r="F982" s="17" t="s">
        <v>528</v>
      </c>
      <c r="G982" s="18" t="s">
        <v>28</v>
      </c>
      <c r="H982" s="19">
        <v>100</v>
      </c>
      <c r="I982" s="20" t="s">
        <v>3210</v>
      </c>
      <c r="J982" s="20" t="s">
        <v>3211</v>
      </c>
      <c r="K982" s="21" t="s">
        <v>3212</v>
      </c>
      <c r="L982" s="20" t="s">
        <v>32</v>
      </c>
      <c r="M982" t="str">
        <f>TEXT(A982,"dddd")</f>
        <v>Tuesday</v>
      </c>
      <c r="N982" s="35">
        <f>DATE(Table4[[#This Row],[year]],Table4[[#This Row],[month2]],Table4[[#This Row],[day]])</f>
        <v>46063</v>
      </c>
    </row>
    <row r="983" spans="1:14" ht="16" x14ac:dyDescent="0.35">
      <c r="A983" t="str">
        <f t="shared" si="30"/>
        <v>09</v>
      </c>
      <c r="B983">
        <f>_xlfn.SWITCH(Table4[[#This Row],[month]],"jan",1,"feb",2,"mar",3,"apr",4,"may",5,"jun",6,"jul",7,"aug",8,"sep",9,"oct",10,"nov",11,"dec",12,"no month")</f>
        <v>2</v>
      </c>
      <c r="C983" s="12" t="str">
        <f>LEFT('All Transactions'!$E983,3)</f>
        <v>Feb</v>
      </c>
      <c r="D983" s="12" t="str">
        <f t="shared" si="31"/>
        <v>2026</v>
      </c>
      <c r="E983" s="22" t="s">
        <v>3213</v>
      </c>
      <c r="F983" s="23" t="s">
        <v>3214</v>
      </c>
      <c r="G983" s="18" t="s">
        <v>28</v>
      </c>
      <c r="H983" s="24">
        <v>20</v>
      </c>
      <c r="I983" s="25" t="s">
        <v>3215</v>
      </c>
      <c r="J983" s="25" t="s">
        <v>3216</v>
      </c>
      <c r="K983" s="26" t="s">
        <v>3217</v>
      </c>
      <c r="L983" s="25" t="s">
        <v>32</v>
      </c>
      <c r="M983" t="str">
        <f>TEXT(A983,"dddd")</f>
        <v>Monday</v>
      </c>
      <c r="N983" s="35">
        <f>DATE(Table4[[#This Row],[year]],Table4[[#This Row],[month2]],Table4[[#This Row],[day]])</f>
        <v>46062</v>
      </c>
    </row>
    <row r="984" spans="1:14" ht="16" x14ac:dyDescent="0.35">
      <c r="A984" t="str">
        <f t="shared" si="30"/>
        <v>09</v>
      </c>
      <c r="B984">
        <f>_xlfn.SWITCH(Table4[[#This Row],[month]],"jan",1,"feb",2,"mar",3,"apr",4,"may",5,"jun",6,"jul",7,"aug",8,"sep",9,"oct",10,"nov",11,"dec",12,"no month")</f>
        <v>2</v>
      </c>
      <c r="C984" s="12" t="str">
        <f>LEFT('All Transactions'!$E984,3)</f>
        <v>Feb</v>
      </c>
      <c r="D984" s="12" t="str">
        <f t="shared" si="31"/>
        <v>2026</v>
      </c>
      <c r="E984" s="16" t="s">
        <v>3213</v>
      </c>
      <c r="F984" s="17" t="s">
        <v>1782</v>
      </c>
      <c r="G984" s="18" t="s">
        <v>28</v>
      </c>
      <c r="H984" s="19">
        <v>5</v>
      </c>
      <c r="I984" s="20" t="s">
        <v>384</v>
      </c>
      <c r="J984" s="20" t="s">
        <v>3218</v>
      </c>
      <c r="K984" s="21" t="s">
        <v>3219</v>
      </c>
      <c r="L984" s="20" t="s">
        <v>32</v>
      </c>
      <c r="M984" t="str">
        <f>TEXT(A984,"dddd")</f>
        <v>Monday</v>
      </c>
      <c r="N984" s="35">
        <f>DATE(Table4[[#This Row],[year]],Table4[[#This Row],[month2]],Table4[[#This Row],[day]])</f>
        <v>46062</v>
      </c>
    </row>
    <row r="985" spans="1:14" ht="16" x14ac:dyDescent="0.35">
      <c r="A985" t="str">
        <f t="shared" si="30"/>
        <v>09</v>
      </c>
      <c r="B985">
        <f>_xlfn.SWITCH(Table4[[#This Row],[month]],"jan",1,"feb",2,"mar",3,"apr",4,"may",5,"jun",6,"jul",7,"aug",8,"sep",9,"oct",10,"nov",11,"dec",12,"no month")</f>
        <v>2</v>
      </c>
      <c r="C985" s="12" t="str">
        <f>LEFT('All Transactions'!$E985,3)</f>
        <v>Feb</v>
      </c>
      <c r="D985" s="12" t="str">
        <f t="shared" si="31"/>
        <v>2026</v>
      </c>
      <c r="E985" s="22" t="s">
        <v>3213</v>
      </c>
      <c r="F985" s="23" t="s">
        <v>2500</v>
      </c>
      <c r="G985" s="27" t="s">
        <v>54</v>
      </c>
      <c r="H985" s="24">
        <v>32</v>
      </c>
      <c r="I985" s="25" t="s">
        <v>3220</v>
      </c>
      <c r="J985" s="25" t="s">
        <v>3221</v>
      </c>
      <c r="K985" s="26" t="s">
        <v>3222</v>
      </c>
      <c r="L985" s="25" t="s">
        <v>58</v>
      </c>
      <c r="M985" t="str">
        <f>TEXT(A985,"dddd")</f>
        <v>Monday</v>
      </c>
      <c r="N985" s="35">
        <f>DATE(Table4[[#This Row],[year]],Table4[[#This Row],[month2]],Table4[[#This Row],[day]])</f>
        <v>46062</v>
      </c>
    </row>
    <row r="986" spans="1:14" ht="16" x14ac:dyDescent="0.35">
      <c r="A986" t="str">
        <f t="shared" si="30"/>
        <v>09</v>
      </c>
      <c r="B986">
        <f>_xlfn.SWITCH(Table4[[#This Row],[month]],"jan",1,"feb",2,"mar",3,"apr",4,"may",5,"jun",6,"jul",7,"aug",8,"sep",9,"oct",10,"nov",11,"dec",12,"no month")</f>
        <v>2</v>
      </c>
      <c r="C986" s="12" t="str">
        <f>LEFT('All Transactions'!$E986,3)</f>
        <v>Feb</v>
      </c>
      <c r="D986" s="12" t="str">
        <f t="shared" si="31"/>
        <v>2026</v>
      </c>
      <c r="E986" s="16" t="s">
        <v>3213</v>
      </c>
      <c r="F986" s="17" t="s">
        <v>1189</v>
      </c>
      <c r="G986" s="27" t="s">
        <v>54</v>
      </c>
      <c r="H986" s="19">
        <v>40</v>
      </c>
      <c r="I986" s="20" t="s">
        <v>3223</v>
      </c>
      <c r="J986" s="20" t="s">
        <v>3224</v>
      </c>
      <c r="K986" s="21" t="s">
        <v>3225</v>
      </c>
      <c r="L986" s="20" t="s">
        <v>58</v>
      </c>
      <c r="M986" t="str">
        <f>TEXT(A986,"dddd")</f>
        <v>Monday</v>
      </c>
      <c r="N986" s="35">
        <f>DATE(Table4[[#This Row],[year]],Table4[[#This Row],[month2]],Table4[[#This Row],[day]])</f>
        <v>46062</v>
      </c>
    </row>
    <row r="987" spans="1:14" ht="16" x14ac:dyDescent="0.35">
      <c r="A987" t="str">
        <f t="shared" si="30"/>
        <v>09</v>
      </c>
      <c r="B987">
        <f>_xlfn.SWITCH(Table4[[#This Row],[month]],"jan",1,"feb",2,"mar",3,"apr",4,"may",5,"jun",6,"jul",7,"aug",8,"sep",9,"oct",10,"nov",11,"dec",12,"no month")</f>
        <v>2</v>
      </c>
      <c r="C987" s="12" t="str">
        <f>LEFT('All Transactions'!$E987,3)</f>
        <v>Feb</v>
      </c>
      <c r="D987" s="12" t="str">
        <f t="shared" si="31"/>
        <v>2026</v>
      </c>
      <c r="E987" s="22" t="s">
        <v>3213</v>
      </c>
      <c r="F987" s="23" t="s">
        <v>368</v>
      </c>
      <c r="G987" s="27" t="s">
        <v>54</v>
      </c>
      <c r="H987" s="24">
        <v>36</v>
      </c>
      <c r="I987" s="25" t="s">
        <v>3226</v>
      </c>
      <c r="J987" s="25" t="s">
        <v>3227</v>
      </c>
      <c r="K987" s="26" t="s">
        <v>3228</v>
      </c>
      <c r="L987" s="25" t="s">
        <v>58</v>
      </c>
      <c r="M987" t="str">
        <f>TEXT(A987,"dddd")</f>
        <v>Monday</v>
      </c>
      <c r="N987" s="35">
        <f>DATE(Table4[[#This Row],[year]],Table4[[#This Row],[month2]],Table4[[#This Row],[day]])</f>
        <v>46062</v>
      </c>
    </row>
    <row r="988" spans="1:14" ht="16" x14ac:dyDescent="0.35">
      <c r="A988" t="str">
        <f t="shared" si="30"/>
        <v>09</v>
      </c>
      <c r="B988">
        <f>_xlfn.SWITCH(Table4[[#This Row],[month]],"jan",1,"feb",2,"mar",3,"apr",4,"may",5,"jun",6,"jul",7,"aug",8,"sep",9,"oct",10,"nov",11,"dec",12,"no month")</f>
        <v>2</v>
      </c>
      <c r="C988" s="12" t="str">
        <f>LEFT('All Transactions'!$E988,3)</f>
        <v>Feb</v>
      </c>
      <c r="D988" s="12" t="str">
        <f t="shared" si="31"/>
        <v>2026</v>
      </c>
      <c r="E988" s="16" t="s">
        <v>3213</v>
      </c>
      <c r="F988" s="17" t="s">
        <v>1641</v>
      </c>
      <c r="G988" s="27" t="s">
        <v>54</v>
      </c>
      <c r="H988" s="19">
        <v>31</v>
      </c>
      <c r="I988" s="20" t="s">
        <v>3229</v>
      </c>
      <c r="J988" s="20" t="s">
        <v>3230</v>
      </c>
      <c r="K988" s="21" t="s">
        <v>3231</v>
      </c>
      <c r="L988" s="20" t="s">
        <v>58</v>
      </c>
      <c r="M988" t="str">
        <f>TEXT(A988,"dddd")</f>
        <v>Monday</v>
      </c>
      <c r="N988" s="35">
        <f>DATE(Table4[[#This Row],[year]],Table4[[#This Row],[month2]],Table4[[#This Row],[day]])</f>
        <v>46062</v>
      </c>
    </row>
    <row r="989" spans="1:14" ht="16" x14ac:dyDescent="0.35">
      <c r="A989" t="str">
        <f t="shared" si="30"/>
        <v>09</v>
      </c>
      <c r="B989">
        <f>_xlfn.SWITCH(Table4[[#This Row],[month]],"jan",1,"feb",2,"mar",3,"apr",4,"may",5,"jun",6,"jul",7,"aug",8,"sep",9,"oct",10,"nov",11,"dec",12,"no month")</f>
        <v>2</v>
      </c>
      <c r="C989" s="12" t="str">
        <f>LEFT('All Transactions'!$E989,3)</f>
        <v>Feb</v>
      </c>
      <c r="D989" s="12" t="str">
        <f t="shared" si="31"/>
        <v>2026</v>
      </c>
      <c r="E989" s="22" t="s">
        <v>3213</v>
      </c>
      <c r="F989" s="23" t="s">
        <v>2537</v>
      </c>
      <c r="G989" s="18" t="s">
        <v>28</v>
      </c>
      <c r="H989" s="24">
        <v>114.18</v>
      </c>
      <c r="I989" s="25" t="s">
        <v>566</v>
      </c>
      <c r="J989" s="25" t="s">
        <v>3232</v>
      </c>
      <c r="K989" s="26" t="s">
        <v>3233</v>
      </c>
      <c r="L989" s="25" t="s">
        <v>32</v>
      </c>
      <c r="M989" t="str">
        <f>TEXT(A989,"dddd")</f>
        <v>Monday</v>
      </c>
      <c r="N989" s="35">
        <f>DATE(Table4[[#This Row],[year]],Table4[[#This Row],[month2]],Table4[[#This Row],[day]])</f>
        <v>46062</v>
      </c>
    </row>
    <row r="990" spans="1:14" ht="16" x14ac:dyDescent="0.35">
      <c r="A990" t="str">
        <f t="shared" si="30"/>
        <v>09</v>
      </c>
      <c r="B990">
        <f>_xlfn.SWITCH(Table4[[#This Row],[month]],"jan",1,"feb",2,"mar",3,"apr",4,"may",5,"jun",6,"jul",7,"aug",8,"sep",9,"oct",10,"nov",11,"dec",12,"no month")</f>
        <v>2</v>
      </c>
      <c r="C990" s="12" t="str">
        <f>LEFT('All Transactions'!$E990,3)</f>
        <v>Feb</v>
      </c>
      <c r="D990" s="12" t="str">
        <f t="shared" si="31"/>
        <v>2026</v>
      </c>
      <c r="E990" s="16" t="s">
        <v>3213</v>
      </c>
      <c r="F990" s="17" t="s">
        <v>3234</v>
      </c>
      <c r="G990" s="27" t="s">
        <v>54</v>
      </c>
      <c r="H990" s="19">
        <v>150</v>
      </c>
      <c r="I990" s="20" t="s">
        <v>143</v>
      </c>
      <c r="J990" s="20" t="s">
        <v>3235</v>
      </c>
      <c r="K990" s="21" t="s">
        <v>3236</v>
      </c>
      <c r="L990" s="20" t="s">
        <v>58</v>
      </c>
      <c r="M990" t="str">
        <f>TEXT(A990,"dddd")</f>
        <v>Monday</v>
      </c>
      <c r="N990" s="35">
        <f>DATE(Table4[[#This Row],[year]],Table4[[#This Row],[month2]],Table4[[#This Row],[day]])</f>
        <v>46062</v>
      </c>
    </row>
    <row r="991" spans="1:14" ht="16" x14ac:dyDescent="0.35">
      <c r="A991" t="str">
        <f t="shared" si="30"/>
        <v>09</v>
      </c>
      <c r="B991">
        <f>_xlfn.SWITCH(Table4[[#This Row],[month]],"jan",1,"feb",2,"mar",3,"apr",4,"may",5,"jun",6,"jul",7,"aug",8,"sep",9,"oct",10,"nov",11,"dec",12,"no month")</f>
        <v>2</v>
      </c>
      <c r="C991" s="12" t="str">
        <f>LEFT('All Transactions'!$E991,3)</f>
        <v>Feb</v>
      </c>
      <c r="D991" s="12" t="str">
        <f t="shared" si="31"/>
        <v>2026</v>
      </c>
      <c r="E991" s="22" t="s">
        <v>3213</v>
      </c>
      <c r="F991" s="23" t="s">
        <v>2888</v>
      </c>
      <c r="G991" s="18" t="s">
        <v>28</v>
      </c>
      <c r="H991" s="24">
        <v>10</v>
      </c>
      <c r="I991" s="25" t="s">
        <v>1465</v>
      </c>
      <c r="J991" s="25" t="s">
        <v>3237</v>
      </c>
      <c r="K991" s="26" t="s">
        <v>3238</v>
      </c>
      <c r="L991" s="25" t="s">
        <v>32</v>
      </c>
      <c r="M991" t="str">
        <f>TEXT(A991,"dddd")</f>
        <v>Monday</v>
      </c>
      <c r="N991" s="35">
        <f>DATE(Table4[[#This Row],[year]],Table4[[#This Row],[month2]],Table4[[#This Row],[day]])</f>
        <v>46062</v>
      </c>
    </row>
    <row r="992" spans="1:14" ht="16" x14ac:dyDescent="0.35">
      <c r="A992" t="str">
        <f t="shared" si="30"/>
        <v>08</v>
      </c>
      <c r="B992">
        <f>_xlfn.SWITCH(Table4[[#This Row],[month]],"jan",1,"feb",2,"mar",3,"apr",4,"may",5,"jun",6,"jul",7,"aug",8,"sep",9,"oct",10,"nov",11,"dec",12,"no month")</f>
        <v>2</v>
      </c>
      <c r="C992" s="12" t="str">
        <f>LEFT('All Transactions'!$E992,3)</f>
        <v>Feb</v>
      </c>
      <c r="D992" s="12" t="str">
        <f t="shared" si="31"/>
        <v>2026</v>
      </c>
      <c r="E992" s="16" t="s">
        <v>11</v>
      </c>
      <c r="F992" s="17" t="s">
        <v>3239</v>
      </c>
      <c r="G992" s="18" t="s">
        <v>28</v>
      </c>
      <c r="H992" s="19">
        <v>3912.7</v>
      </c>
      <c r="I992" s="20" t="s">
        <v>1294</v>
      </c>
      <c r="J992" s="20" t="s">
        <v>3240</v>
      </c>
      <c r="K992" s="21" t="s">
        <v>3241</v>
      </c>
      <c r="L992" s="20" t="s">
        <v>32</v>
      </c>
      <c r="M992" t="str">
        <f>TEXT(A992,"dddd")</f>
        <v>Sunday</v>
      </c>
      <c r="N992" s="35">
        <f>DATE(Table4[[#This Row],[year]],Table4[[#This Row],[month2]],Table4[[#This Row],[day]])</f>
        <v>46061</v>
      </c>
    </row>
    <row r="993" spans="1:14" ht="16" x14ac:dyDescent="0.35">
      <c r="A993" t="str">
        <f t="shared" si="30"/>
        <v>08</v>
      </c>
      <c r="B993">
        <f>_xlfn.SWITCH(Table4[[#This Row],[month]],"jan",1,"feb",2,"mar",3,"apr",4,"may",5,"jun",6,"jul",7,"aug",8,"sep",9,"oct",10,"nov",11,"dec",12,"no month")</f>
        <v>2</v>
      </c>
      <c r="C993" s="12" t="str">
        <f>LEFT('All Transactions'!$E993,3)</f>
        <v>Feb</v>
      </c>
      <c r="D993" s="12" t="str">
        <f t="shared" si="31"/>
        <v>2026</v>
      </c>
      <c r="E993" s="22" t="s">
        <v>11</v>
      </c>
      <c r="F993" s="23" t="s">
        <v>2417</v>
      </c>
      <c r="G993" s="27" t="s">
        <v>54</v>
      </c>
      <c r="H993" s="24">
        <v>3962</v>
      </c>
      <c r="I993" s="25" t="s">
        <v>1586</v>
      </c>
      <c r="J993" s="25" t="s">
        <v>3242</v>
      </c>
      <c r="K993" s="26" t="s">
        <v>3243</v>
      </c>
      <c r="L993" s="25" t="s">
        <v>58</v>
      </c>
      <c r="M993" t="str">
        <f>TEXT(A993,"dddd")</f>
        <v>Sunday</v>
      </c>
      <c r="N993" s="35">
        <f>DATE(Table4[[#This Row],[year]],Table4[[#This Row],[month2]],Table4[[#This Row],[day]])</f>
        <v>46061</v>
      </c>
    </row>
    <row r="994" spans="1:14" ht="16" x14ac:dyDescent="0.35">
      <c r="A994" t="str">
        <f t="shared" si="30"/>
        <v>08</v>
      </c>
      <c r="B994">
        <f>_xlfn.SWITCH(Table4[[#This Row],[month]],"jan",1,"feb",2,"mar",3,"apr",4,"may",5,"jun",6,"jul",7,"aug",8,"sep",9,"oct",10,"nov",11,"dec",12,"no month")</f>
        <v>2</v>
      </c>
      <c r="C994" s="12" t="str">
        <f>LEFT('All Transactions'!$E994,3)</f>
        <v>Feb</v>
      </c>
      <c r="D994" s="12" t="str">
        <f t="shared" si="31"/>
        <v>2026</v>
      </c>
      <c r="E994" s="16" t="s">
        <v>11</v>
      </c>
      <c r="F994" s="17" t="s">
        <v>3244</v>
      </c>
      <c r="G994" s="18" t="s">
        <v>28</v>
      </c>
      <c r="H994" s="19">
        <v>30000</v>
      </c>
      <c r="I994" s="20" t="s">
        <v>12</v>
      </c>
      <c r="J994" s="20" t="s">
        <v>3245</v>
      </c>
      <c r="K994" s="21" t="s">
        <v>3246</v>
      </c>
      <c r="L994" s="20" t="s">
        <v>32</v>
      </c>
      <c r="M994" t="str">
        <f>TEXT(A994,"dddd")</f>
        <v>Sunday</v>
      </c>
      <c r="N994" s="35">
        <f>DATE(Table4[[#This Row],[year]],Table4[[#This Row],[month2]],Table4[[#This Row],[day]])</f>
        <v>46061</v>
      </c>
    </row>
    <row r="995" spans="1:14" ht="16" x14ac:dyDescent="0.35">
      <c r="A995" t="str">
        <f t="shared" si="30"/>
        <v>08</v>
      </c>
      <c r="B995">
        <f>_xlfn.SWITCH(Table4[[#This Row],[month]],"jan",1,"feb",2,"mar",3,"apr",4,"may",5,"jun",6,"jul",7,"aug",8,"sep",9,"oct",10,"nov",11,"dec",12,"no month")</f>
        <v>2</v>
      </c>
      <c r="C995" s="12" t="str">
        <f>LEFT('All Transactions'!$E995,3)</f>
        <v>Feb</v>
      </c>
      <c r="D995" s="12" t="str">
        <f t="shared" si="31"/>
        <v>2026</v>
      </c>
      <c r="E995" s="22" t="s">
        <v>11</v>
      </c>
      <c r="F995" s="23" t="s">
        <v>3247</v>
      </c>
      <c r="G995" s="27" t="s">
        <v>54</v>
      </c>
      <c r="H995" s="24">
        <v>30000</v>
      </c>
      <c r="I995" s="25" t="s">
        <v>3248</v>
      </c>
      <c r="J995" s="25" t="s">
        <v>3249</v>
      </c>
      <c r="K995" s="26" t="s">
        <v>3250</v>
      </c>
      <c r="L995" s="25" t="s">
        <v>58</v>
      </c>
      <c r="M995" t="str">
        <f>TEXT(A995,"dddd")</f>
        <v>Sunday</v>
      </c>
      <c r="N995" s="35">
        <f>DATE(Table4[[#This Row],[year]],Table4[[#This Row],[month2]],Table4[[#This Row],[day]])</f>
        <v>46061</v>
      </c>
    </row>
    <row r="996" spans="1:14" ht="16" x14ac:dyDescent="0.35">
      <c r="A996" t="str">
        <f t="shared" si="30"/>
        <v>08</v>
      </c>
      <c r="B996">
        <f>_xlfn.SWITCH(Table4[[#This Row],[month]],"jan",1,"feb",2,"mar",3,"apr",4,"may",5,"jun",6,"jul",7,"aug",8,"sep",9,"oct",10,"nov",11,"dec",12,"no month")</f>
        <v>2</v>
      </c>
      <c r="C996" s="12" t="str">
        <f>LEFT('All Transactions'!$E996,3)</f>
        <v>Feb</v>
      </c>
      <c r="D996" s="12" t="str">
        <f t="shared" si="31"/>
        <v>2026</v>
      </c>
      <c r="E996" s="16" t="s">
        <v>11</v>
      </c>
      <c r="F996" s="17" t="s">
        <v>1124</v>
      </c>
      <c r="G996" s="18" t="s">
        <v>28</v>
      </c>
      <c r="H996" s="19">
        <v>157</v>
      </c>
      <c r="I996" s="20" t="s">
        <v>3251</v>
      </c>
      <c r="J996" s="20" t="s">
        <v>3252</v>
      </c>
      <c r="K996" s="21" t="s">
        <v>3253</v>
      </c>
      <c r="L996" s="20" t="s">
        <v>32</v>
      </c>
      <c r="M996" t="str">
        <f>TEXT(A996,"dddd")</f>
        <v>Sunday</v>
      </c>
      <c r="N996" s="35">
        <f>DATE(Table4[[#This Row],[year]],Table4[[#This Row],[month2]],Table4[[#This Row],[day]])</f>
        <v>46061</v>
      </c>
    </row>
    <row r="997" spans="1:14" ht="16" x14ac:dyDescent="0.35">
      <c r="A997" t="str">
        <f t="shared" si="30"/>
        <v>08</v>
      </c>
      <c r="B997">
        <f>_xlfn.SWITCH(Table4[[#This Row],[month]],"jan",1,"feb",2,"mar",3,"apr",4,"may",5,"jun",6,"jul",7,"aug",8,"sep",9,"oct",10,"nov",11,"dec",12,"no month")</f>
        <v>2</v>
      </c>
      <c r="C997" s="12" t="str">
        <f>LEFT('All Transactions'!$E997,3)</f>
        <v>Feb</v>
      </c>
      <c r="D997" s="12" t="str">
        <f t="shared" si="31"/>
        <v>2026</v>
      </c>
      <c r="E997" s="22" t="s">
        <v>11</v>
      </c>
      <c r="F997" s="23" t="s">
        <v>1124</v>
      </c>
      <c r="G997" s="27" t="s">
        <v>54</v>
      </c>
      <c r="H997" s="24">
        <v>150</v>
      </c>
      <c r="I997" s="25" t="s">
        <v>3254</v>
      </c>
      <c r="J997" s="25" t="s">
        <v>3255</v>
      </c>
      <c r="K997" s="26" t="s">
        <v>3256</v>
      </c>
      <c r="L997" s="25" t="s">
        <v>58</v>
      </c>
      <c r="M997" t="str">
        <f>TEXT(A997,"dddd")</f>
        <v>Sunday</v>
      </c>
      <c r="N997" s="35">
        <f>DATE(Table4[[#This Row],[year]],Table4[[#This Row],[month2]],Table4[[#This Row],[day]])</f>
        <v>46061</v>
      </c>
    </row>
    <row r="998" spans="1:14" ht="16" x14ac:dyDescent="0.35">
      <c r="A998" t="str">
        <f t="shared" si="30"/>
        <v>07</v>
      </c>
      <c r="B998">
        <f>_xlfn.SWITCH(Table4[[#This Row],[month]],"jan",1,"feb",2,"mar",3,"apr",4,"may",5,"jun",6,"jul",7,"aug",8,"sep",9,"oct",10,"nov",11,"dec",12,"no month")</f>
        <v>2</v>
      </c>
      <c r="C998" s="12" t="str">
        <f>LEFT('All Transactions'!$E998,3)</f>
        <v>Feb</v>
      </c>
      <c r="D998" s="12" t="str">
        <f t="shared" si="31"/>
        <v>2026</v>
      </c>
      <c r="E998" s="16" t="s">
        <v>3257</v>
      </c>
      <c r="F998" s="17" t="s">
        <v>1445</v>
      </c>
      <c r="G998" s="18" t="s">
        <v>28</v>
      </c>
      <c r="H998" s="19">
        <v>85</v>
      </c>
      <c r="I998" s="20" t="s">
        <v>384</v>
      </c>
      <c r="J998" s="20" t="s">
        <v>3258</v>
      </c>
      <c r="K998" s="21" t="s">
        <v>3259</v>
      </c>
      <c r="L998" s="20" t="s">
        <v>32</v>
      </c>
      <c r="M998" t="str">
        <f>TEXT(A998,"dddd")</f>
        <v>Saturday</v>
      </c>
      <c r="N998" s="35">
        <f>DATE(Table4[[#This Row],[year]],Table4[[#This Row],[month2]],Table4[[#This Row],[day]])</f>
        <v>46060</v>
      </c>
    </row>
    <row r="999" spans="1:14" ht="16" x14ac:dyDescent="0.35">
      <c r="A999" t="str">
        <f t="shared" si="30"/>
        <v>07</v>
      </c>
      <c r="B999">
        <f>_xlfn.SWITCH(Table4[[#This Row],[month]],"jan",1,"feb",2,"mar",3,"apr",4,"may",5,"jun",6,"jul",7,"aug",8,"sep",9,"oct",10,"nov",11,"dec",12,"no month")</f>
        <v>2</v>
      </c>
      <c r="C999" s="12" t="str">
        <f>LEFT('All Transactions'!$E999,3)</f>
        <v>Feb</v>
      </c>
      <c r="D999" s="12" t="str">
        <f t="shared" si="31"/>
        <v>2026</v>
      </c>
      <c r="E999" s="22" t="s">
        <v>3257</v>
      </c>
      <c r="F999" s="23" t="s">
        <v>1445</v>
      </c>
      <c r="G999" s="27" t="s">
        <v>54</v>
      </c>
      <c r="H999" s="24">
        <v>30</v>
      </c>
      <c r="I999" s="25" t="s">
        <v>1586</v>
      </c>
      <c r="J999" s="25" t="s">
        <v>3260</v>
      </c>
      <c r="K999" s="26" t="s">
        <v>3261</v>
      </c>
      <c r="L999" s="25" t="s">
        <v>58</v>
      </c>
      <c r="M999" t="str">
        <f>TEXT(A999,"dddd")</f>
        <v>Saturday</v>
      </c>
      <c r="N999" s="35">
        <f>DATE(Table4[[#This Row],[year]],Table4[[#This Row],[month2]],Table4[[#This Row],[day]])</f>
        <v>46060</v>
      </c>
    </row>
    <row r="1000" spans="1:14" ht="16" x14ac:dyDescent="0.35">
      <c r="A1000" t="str">
        <f t="shared" si="30"/>
        <v>07</v>
      </c>
      <c r="B1000">
        <f>_xlfn.SWITCH(Table4[[#This Row],[month]],"jan",1,"feb",2,"mar",3,"apr",4,"may",5,"jun",6,"jul",7,"aug",8,"sep",9,"oct",10,"nov",11,"dec",12,"no month")</f>
        <v>2</v>
      </c>
      <c r="C1000" s="12" t="str">
        <f>LEFT('All Transactions'!$E1000,3)</f>
        <v>Feb</v>
      </c>
      <c r="D1000" s="12" t="str">
        <f t="shared" si="31"/>
        <v>2026</v>
      </c>
      <c r="E1000" s="16" t="s">
        <v>3257</v>
      </c>
      <c r="F1000" s="17" t="s">
        <v>1998</v>
      </c>
      <c r="G1000" s="18" t="s">
        <v>28</v>
      </c>
      <c r="H1000" s="19">
        <v>10</v>
      </c>
      <c r="I1000" s="20" t="s">
        <v>1026</v>
      </c>
      <c r="J1000" s="20" t="s">
        <v>3262</v>
      </c>
      <c r="K1000" s="21" t="s">
        <v>3263</v>
      </c>
      <c r="L1000" s="20" t="s">
        <v>32</v>
      </c>
      <c r="M1000" t="str">
        <f>TEXT(A1000,"dddd")</f>
        <v>Saturday</v>
      </c>
      <c r="N1000" s="35">
        <f>DATE(Table4[[#This Row],[year]],Table4[[#This Row],[month2]],Table4[[#This Row],[day]])</f>
        <v>46060</v>
      </c>
    </row>
    <row r="1001" spans="1:14" ht="16" x14ac:dyDescent="0.35">
      <c r="A1001" t="str">
        <f t="shared" si="30"/>
        <v>06</v>
      </c>
      <c r="B1001">
        <f>_xlfn.SWITCH(Table4[[#This Row],[month]],"jan",1,"feb",2,"mar",3,"apr",4,"may",5,"jun",6,"jul",7,"aug",8,"sep",9,"oct",10,"nov",11,"dec",12,"no month")</f>
        <v>2</v>
      </c>
      <c r="C1001" s="12" t="str">
        <f>LEFT('All Transactions'!$E1001,3)</f>
        <v>Feb</v>
      </c>
      <c r="D1001" s="12" t="str">
        <f t="shared" si="31"/>
        <v>2026</v>
      </c>
      <c r="E1001" s="22" t="s">
        <v>3264</v>
      </c>
      <c r="F1001" s="23" t="s">
        <v>2208</v>
      </c>
      <c r="G1001" s="18" t="s">
        <v>28</v>
      </c>
      <c r="H1001" s="24">
        <v>200</v>
      </c>
      <c r="I1001" s="25" t="s">
        <v>1582</v>
      </c>
      <c r="J1001" s="25" t="s">
        <v>3265</v>
      </c>
      <c r="K1001" s="26" t="s">
        <v>3266</v>
      </c>
      <c r="L1001" s="25" t="s">
        <v>32</v>
      </c>
      <c r="M1001" t="str">
        <f>TEXT(A1001,"dddd")</f>
        <v>Friday</v>
      </c>
      <c r="N1001" s="35">
        <f>DATE(Table4[[#This Row],[year]],Table4[[#This Row],[month2]],Table4[[#This Row],[day]])</f>
        <v>46059</v>
      </c>
    </row>
    <row r="1002" spans="1:14" ht="16" x14ac:dyDescent="0.35">
      <c r="A1002" t="str">
        <f t="shared" si="30"/>
        <v>06</v>
      </c>
      <c r="B1002">
        <f>_xlfn.SWITCH(Table4[[#This Row],[month]],"jan",1,"feb",2,"mar",3,"apr",4,"may",5,"jun",6,"jul",7,"aug",8,"sep",9,"oct",10,"nov",11,"dec",12,"no month")</f>
        <v>2</v>
      </c>
      <c r="C1002" s="12" t="str">
        <f>LEFT('All Transactions'!$E1002,3)</f>
        <v>Feb</v>
      </c>
      <c r="D1002" s="12" t="str">
        <f t="shared" si="31"/>
        <v>2026</v>
      </c>
      <c r="E1002" s="16" t="s">
        <v>3264</v>
      </c>
      <c r="F1002" s="17" t="s">
        <v>1689</v>
      </c>
      <c r="G1002" s="27" t="s">
        <v>54</v>
      </c>
      <c r="H1002" s="19">
        <v>70</v>
      </c>
      <c r="I1002" s="20" t="s">
        <v>1586</v>
      </c>
      <c r="J1002" s="20" t="s">
        <v>3267</v>
      </c>
      <c r="K1002" s="21" t="s">
        <v>3268</v>
      </c>
      <c r="L1002" s="20" t="s">
        <v>58</v>
      </c>
      <c r="M1002" t="str">
        <f>TEXT(A1002,"dddd")</f>
        <v>Friday</v>
      </c>
      <c r="N1002" s="35">
        <f>DATE(Table4[[#This Row],[year]],Table4[[#This Row],[month2]],Table4[[#This Row],[day]])</f>
        <v>46059</v>
      </c>
    </row>
    <row r="1003" spans="1:14" ht="16" x14ac:dyDescent="0.35">
      <c r="A1003" t="str">
        <f t="shared" si="30"/>
        <v>06</v>
      </c>
      <c r="B1003">
        <f>_xlfn.SWITCH(Table4[[#This Row],[month]],"jan",1,"feb",2,"mar",3,"apr",4,"may",5,"jun",6,"jul",7,"aug",8,"sep",9,"oct",10,"nov",11,"dec",12,"no month")</f>
        <v>2</v>
      </c>
      <c r="C1003" s="12" t="str">
        <f>LEFT('All Transactions'!$E1003,3)</f>
        <v>Feb</v>
      </c>
      <c r="D1003" s="12" t="str">
        <f t="shared" si="31"/>
        <v>2026</v>
      </c>
      <c r="E1003" s="22" t="s">
        <v>3264</v>
      </c>
      <c r="F1003" s="23" t="s">
        <v>3269</v>
      </c>
      <c r="G1003" s="27" t="s">
        <v>54</v>
      </c>
      <c r="H1003" s="24">
        <v>100</v>
      </c>
      <c r="I1003" s="25" t="s">
        <v>156</v>
      </c>
      <c r="J1003" s="25" t="s">
        <v>3270</v>
      </c>
      <c r="K1003" s="26" t="s">
        <v>3271</v>
      </c>
      <c r="L1003" s="25" t="s">
        <v>58</v>
      </c>
      <c r="M1003" t="str">
        <f>TEXT(A1003,"dddd")</f>
        <v>Friday</v>
      </c>
      <c r="N1003" s="35">
        <f>DATE(Table4[[#This Row],[year]],Table4[[#This Row],[month2]],Table4[[#This Row],[day]])</f>
        <v>46059</v>
      </c>
    </row>
    <row r="1004" spans="1:14" ht="16" x14ac:dyDescent="0.35">
      <c r="A1004" t="str">
        <f t="shared" si="30"/>
        <v>06</v>
      </c>
      <c r="B1004">
        <f>_xlfn.SWITCH(Table4[[#This Row],[month]],"jan",1,"feb",2,"mar",3,"apr",4,"may",5,"jun",6,"jul",7,"aug",8,"sep",9,"oct",10,"nov",11,"dec",12,"no month")</f>
        <v>2</v>
      </c>
      <c r="C1004" s="12" t="str">
        <f>LEFT('All Transactions'!$E1004,3)</f>
        <v>Feb</v>
      </c>
      <c r="D1004" s="12" t="str">
        <f t="shared" si="31"/>
        <v>2026</v>
      </c>
      <c r="E1004" s="16" t="s">
        <v>3264</v>
      </c>
      <c r="F1004" s="17" t="s">
        <v>3272</v>
      </c>
      <c r="G1004" s="18" t="s">
        <v>28</v>
      </c>
      <c r="H1004" s="19">
        <v>1</v>
      </c>
      <c r="I1004" s="20" t="s">
        <v>2746</v>
      </c>
      <c r="J1004" s="20" t="s">
        <v>3273</v>
      </c>
      <c r="K1004" s="21" t="s">
        <v>3274</v>
      </c>
      <c r="L1004" s="20" t="s">
        <v>32</v>
      </c>
      <c r="M1004" t="str">
        <f>TEXT(A1004,"dddd")</f>
        <v>Friday</v>
      </c>
      <c r="N1004" s="35">
        <f>DATE(Table4[[#This Row],[year]],Table4[[#This Row],[month2]],Table4[[#This Row],[day]])</f>
        <v>46059</v>
      </c>
    </row>
    <row r="1005" spans="1:14" ht="16" x14ac:dyDescent="0.35">
      <c r="A1005" t="str">
        <f t="shared" si="30"/>
        <v>06</v>
      </c>
      <c r="B1005">
        <f>_xlfn.SWITCH(Table4[[#This Row],[month]],"jan",1,"feb",2,"mar",3,"apr",4,"may",5,"jun",6,"jul",7,"aug",8,"sep",9,"oct",10,"nov",11,"dec",12,"no month")</f>
        <v>2</v>
      </c>
      <c r="C1005" s="12" t="str">
        <f>LEFT('All Transactions'!$E1005,3)</f>
        <v>Feb</v>
      </c>
      <c r="D1005" s="12" t="str">
        <f t="shared" si="31"/>
        <v>2026</v>
      </c>
      <c r="E1005" s="22" t="s">
        <v>3264</v>
      </c>
      <c r="F1005" s="23" t="s">
        <v>3275</v>
      </c>
      <c r="G1005" s="18" t="s">
        <v>28</v>
      </c>
      <c r="H1005" s="24">
        <v>30</v>
      </c>
      <c r="I1005" s="25" t="s">
        <v>3276</v>
      </c>
      <c r="J1005" s="25" t="s">
        <v>3277</v>
      </c>
      <c r="K1005" s="26" t="s">
        <v>3278</v>
      </c>
      <c r="L1005" s="25" t="s">
        <v>32</v>
      </c>
      <c r="M1005" t="str">
        <f>TEXT(A1005,"dddd")</f>
        <v>Friday</v>
      </c>
      <c r="N1005" s="35">
        <f>DATE(Table4[[#This Row],[year]],Table4[[#This Row],[month2]],Table4[[#This Row],[day]])</f>
        <v>46059</v>
      </c>
    </row>
    <row r="1006" spans="1:14" ht="16" x14ac:dyDescent="0.35">
      <c r="A1006" t="str">
        <f t="shared" si="30"/>
        <v>06</v>
      </c>
      <c r="B1006">
        <f>_xlfn.SWITCH(Table4[[#This Row],[month]],"jan",1,"feb",2,"mar",3,"apr",4,"may",5,"jun",6,"jul",7,"aug",8,"sep",9,"oct",10,"nov",11,"dec",12,"no month")</f>
        <v>2</v>
      </c>
      <c r="C1006" s="12" t="str">
        <f>LEFT('All Transactions'!$E1006,3)</f>
        <v>Feb</v>
      </c>
      <c r="D1006" s="12" t="str">
        <f t="shared" si="31"/>
        <v>2026</v>
      </c>
      <c r="E1006" s="16" t="s">
        <v>3264</v>
      </c>
      <c r="F1006" s="17" t="s">
        <v>3279</v>
      </c>
      <c r="G1006" s="18" t="s">
        <v>28</v>
      </c>
      <c r="H1006" s="19">
        <v>200</v>
      </c>
      <c r="I1006" s="20" t="s">
        <v>2503</v>
      </c>
      <c r="J1006" s="20" t="s">
        <v>3280</v>
      </c>
      <c r="K1006" s="21" t="s">
        <v>3281</v>
      </c>
      <c r="L1006" s="20" t="s">
        <v>32</v>
      </c>
      <c r="M1006" t="str">
        <f>TEXT(A1006,"dddd")</f>
        <v>Friday</v>
      </c>
      <c r="N1006" s="35">
        <f>DATE(Table4[[#This Row],[year]],Table4[[#This Row],[month2]],Table4[[#This Row],[day]])</f>
        <v>46059</v>
      </c>
    </row>
    <row r="1007" spans="1:14" ht="16" x14ac:dyDescent="0.35">
      <c r="A1007" t="str">
        <f t="shared" si="30"/>
        <v>06</v>
      </c>
      <c r="B1007">
        <f>_xlfn.SWITCH(Table4[[#This Row],[month]],"jan",1,"feb",2,"mar",3,"apr",4,"may",5,"jun",6,"jul",7,"aug",8,"sep",9,"oct",10,"nov",11,"dec",12,"no month")</f>
        <v>2</v>
      </c>
      <c r="C1007" s="12" t="str">
        <f>LEFT('All Transactions'!$E1007,3)</f>
        <v>Feb</v>
      </c>
      <c r="D1007" s="12" t="str">
        <f t="shared" si="31"/>
        <v>2026</v>
      </c>
      <c r="E1007" s="22" t="s">
        <v>3264</v>
      </c>
      <c r="F1007" s="23" t="s">
        <v>3282</v>
      </c>
      <c r="G1007" s="18" t="s">
        <v>28</v>
      </c>
      <c r="H1007" s="24">
        <v>370</v>
      </c>
      <c r="I1007" s="25" t="s">
        <v>3283</v>
      </c>
      <c r="J1007" s="25" t="s">
        <v>3284</v>
      </c>
      <c r="K1007" s="26" t="s">
        <v>3285</v>
      </c>
      <c r="L1007" s="25" t="s">
        <v>32</v>
      </c>
      <c r="M1007" t="str">
        <f>TEXT(A1007,"dddd")</f>
        <v>Friday</v>
      </c>
      <c r="N1007" s="35">
        <f>DATE(Table4[[#This Row],[year]],Table4[[#This Row],[month2]],Table4[[#This Row],[day]])</f>
        <v>46059</v>
      </c>
    </row>
    <row r="1008" spans="1:14" ht="16" x14ac:dyDescent="0.35">
      <c r="A1008" t="str">
        <f t="shared" si="30"/>
        <v>05</v>
      </c>
      <c r="B1008">
        <f>_xlfn.SWITCH(Table4[[#This Row],[month]],"jan",1,"feb",2,"mar",3,"apr",4,"may",5,"jun",6,"jul",7,"aug",8,"sep",9,"oct",10,"nov",11,"dec",12,"no month")</f>
        <v>2</v>
      </c>
      <c r="C1008" s="12" t="str">
        <f>LEFT('All Transactions'!$E1008,3)</f>
        <v>Feb</v>
      </c>
      <c r="D1008" s="12" t="str">
        <f t="shared" si="31"/>
        <v>2026</v>
      </c>
      <c r="E1008" s="16" t="s">
        <v>3286</v>
      </c>
      <c r="F1008" s="17" t="s">
        <v>1838</v>
      </c>
      <c r="G1008" s="18" t="s">
        <v>28</v>
      </c>
      <c r="H1008" s="19">
        <v>10</v>
      </c>
      <c r="I1008" s="20" t="s">
        <v>167</v>
      </c>
      <c r="J1008" s="20" t="s">
        <v>3287</v>
      </c>
      <c r="K1008" s="21" t="s">
        <v>3288</v>
      </c>
      <c r="L1008" s="20" t="s">
        <v>32</v>
      </c>
      <c r="M1008" t="str">
        <f>TEXT(A1008,"dddd")</f>
        <v>Thursday</v>
      </c>
      <c r="N1008" s="35">
        <f>DATE(Table4[[#This Row],[year]],Table4[[#This Row],[month2]],Table4[[#This Row],[day]])</f>
        <v>46058</v>
      </c>
    </row>
    <row r="1009" spans="1:14" ht="16" x14ac:dyDescent="0.35">
      <c r="A1009" t="str">
        <f t="shared" si="30"/>
        <v>05</v>
      </c>
      <c r="B1009">
        <f>_xlfn.SWITCH(Table4[[#This Row],[month]],"jan",1,"feb",2,"mar",3,"apr",4,"may",5,"jun",6,"jul",7,"aug",8,"sep",9,"oct",10,"nov",11,"dec",12,"no month")</f>
        <v>2</v>
      </c>
      <c r="C1009" s="12" t="str">
        <f>LEFT('All Transactions'!$E1009,3)</f>
        <v>Feb</v>
      </c>
      <c r="D1009" s="12" t="str">
        <f t="shared" si="31"/>
        <v>2026</v>
      </c>
      <c r="E1009" s="22" t="s">
        <v>3286</v>
      </c>
      <c r="F1009" s="23" t="s">
        <v>2908</v>
      </c>
      <c r="G1009" s="18" t="s">
        <v>28</v>
      </c>
      <c r="H1009" s="24">
        <v>50</v>
      </c>
      <c r="I1009" s="25" t="s">
        <v>1465</v>
      </c>
      <c r="J1009" s="25" t="s">
        <v>3289</v>
      </c>
      <c r="K1009" s="26" t="s">
        <v>3290</v>
      </c>
      <c r="L1009" s="25" t="s">
        <v>32</v>
      </c>
      <c r="M1009" t="str">
        <f>TEXT(A1009,"dddd")</f>
        <v>Thursday</v>
      </c>
      <c r="N1009" s="35">
        <f>DATE(Table4[[#This Row],[year]],Table4[[#This Row],[month2]],Table4[[#This Row],[day]])</f>
        <v>46058</v>
      </c>
    </row>
    <row r="1010" spans="1:14" ht="16" x14ac:dyDescent="0.35">
      <c r="A1010" t="str">
        <f t="shared" si="30"/>
        <v>04</v>
      </c>
      <c r="B1010">
        <f>_xlfn.SWITCH(Table4[[#This Row],[month]],"jan",1,"feb",2,"mar",3,"apr",4,"may",5,"jun",6,"jul",7,"aug",8,"sep",9,"oct",10,"nov",11,"dec",12,"no month")</f>
        <v>2</v>
      </c>
      <c r="C1010" s="12" t="str">
        <f>LEFT('All Transactions'!$E1010,3)</f>
        <v>Feb</v>
      </c>
      <c r="D1010" s="12" t="str">
        <f t="shared" si="31"/>
        <v>2026</v>
      </c>
      <c r="E1010" s="16" t="s">
        <v>3291</v>
      </c>
      <c r="F1010" s="17" t="s">
        <v>3292</v>
      </c>
      <c r="G1010" s="27" t="s">
        <v>54</v>
      </c>
      <c r="H1010" s="19">
        <v>50</v>
      </c>
      <c r="I1010" s="20" t="s">
        <v>947</v>
      </c>
      <c r="J1010" s="20" t="s">
        <v>3293</v>
      </c>
      <c r="K1010" s="21" t="s">
        <v>3294</v>
      </c>
      <c r="L1010" s="20" t="s">
        <v>58</v>
      </c>
      <c r="M1010" t="str">
        <f>TEXT(A1010,"dddd")</f>
        <v>Wednesday</v>
      </c>
      <c r="N1010" s="35">
        <f>DATE(Table4[[#This Row],[year]],Table4[[#This Row],[month2]],Table4[[#This Row],[day]])</f>
        <v>46057</v>
      </c>
    </row>
    <row r="1011" spans="1:14" ht="16" x14ac:dyDescent="0.35">
      <c r="A1011" t="str">
        <f t="shared" si="30"/>
        <v>04</v>
      </c>
      <c r="B1011">
        <f>_xlfn.SWITCH(Table4[[#This Row],[month]],"jan",1,"feb",2,"mar",3,"apr",4,"may",5,"jun",6,"jul",7,"aug",8,"sep",9,"oct",10,"nov",11,"dec",12,"no month")</f>
        <v>2</v>
      </c>
      <c r="C1011" s="12" t="str">
        <f>LEFT('All Transactions'!$E1011,3)</f>
        <v>Feb</v>
      </c>
      <c r="D1011" s="12" t="str">
        <f t="shared" si="31"/>
        <v>2026</v>
      </c>
      <c r="E1011" s="22" t="s">
        <v>3291</v>
      </c>
      <c r="F1011" s="23" t="s">
        <v>3292</v>
      </c>
      <c r="G1011" s="27" t="s">
        <v>54</v>
      </c>
      <c r="H1011" s="24">
        <v>200</v>
      </c>
      <c r="I1011" s="25" t="s">
        <v>947</v>
      </c>
      <c r="J1011" s="25" t="s">
        <v>3295</v>
      </c>
      <c r="K1011" s="26" t="s">
        <v>3296</v>
      </c>
      <c r="L1011" s="25" t="s">
        <v>58</v>
      </c>
      <c r="M1011" t="str">
        <f>TEXT(A1011,"dddd")</f>
        <v>Wednesday</v>
      </c>
      <c r="N1011" s="35">
        <f>DATE(Table4[[#This Row],[year]],Table4[[#This Row],[month2]],Table4[[#This Row],[day]])</f>
        <v>46057</v>
      </c>
    </row>
    <row r="1012" spans="1:14" ht="16" x14ac:dyDescent="0.35">
      <c r="A1012" t="str">
        <f t="shared" si="30"/>
        <v>04</v>
      </c>
      <c r="B1012">
        <f>_xlfn.SWITCH(Table4[[#This Row],[month]],"jan",1,"feb",2,"mar",3,"apr",4,"may",5,"jun",6,"jul",7,"aug",8,"sep",9,"oct",10,"nov",11,"dec",12,"no month")</f>
        <v>2</v>
      </c>
      <c r="C1012" s="12" t="str">
        <f>LEFT('All Transactions'!$E1012,3)</f>
        <v>Feb</v>
      </c>
      <c r="D1012" s="12" t="str">
        <f t="shared" si="31"/>
        <v>2026</v>
      </c>
      <c r="E1012" s="16" t="s">
        <v>3291</v>
      </c>
      <c r="F1012" s="17" t="s">
        <v>2208</v>
      </c>
      <c r="G1012" s="18" t="s">
        <v>28</v>
      </c>
      <c r="H1012" s="19">
        <v>20</v>
      </c>
      <c r="I1012" s="20" t="s">
        <v>3297</v>
      </c>
      <c r="J1012" s="20" t="s">
        <v>3298</v>
      </c>
      <c r="K1012" s="21" t="s">
        <v>3299</v>
      </c>
      <c r="L1012" s="20" t="s">
        <v>32</v>
      </c>
      <c r="M1012" t="str">
        <f>TEXT(A1012,"dddd")</f>
        <v>Wednesday</v>
      </c>
      <c r="N1012" s="35">
        <f>DATE(Table4[[#This Row],[year]],Table4[[#This Row],[month2]],Table4[[#This Row],[day]])</f>
        <v>46057</v>
      </c>
    </row>
    <row r="1013" spans="1:14" ht="16" x14ac:dyDescent="0.35">
      <c r="A1013" t="str">
        <f t="shared" si="30"/>
        <v>04</v>
      </c>
      <c r="B1013">
        <f>_xlfn.SWITCH(Table4[[#This Row],[month]],"jan",1,"feb",2,"mar",3,"apr",4,"may",5,"jun",6,"jul",7,"aug",8,"sep",9,"oct",10,"nov",11,"dec",12,"no month")</f>
        <v>2</v>
      </c>
      <c r="C1013" s="12" t="str">
        <f>LEFT('All Transactions'!$E1013,3)</f>
        <v>Feb</v>
      </c>
      <c r="D1013" s="12" t="str">
        <f t="shared" si="31"/>
        <v>2026</v>
      </c>
      <c r="E1013" s="22" t="s">
        <v>3291</v>
      </c>
      <c r="F1013" s="23" t="s">
        <v>180</v>
      </c>
      <c r="G1013" s="18" t="s">
        <v>28</v>
      </c>
      <c r="H1013" s="24">
        <v>519</v>
      </c>
      <c r="I1013" s="25" t="s">
        <v>3300</v>
      </c>
      <c r="J1013" s="25" t="s">
        <v>3301</v>
      </c>
      <c r="K1013" s="26" t="s">
        <v>3302</v>
      </c>
      <c r="L1013" s="25" t="s">
        <v>32</v>
      </c>
      <c r="M1013" t="str">
        <f>TEXT(A1013,"dddd")</f>
        <v>Wednesday</v>
      </c>
      <c r="N1013" s="35">
        <f>DATE(Table4[[#This Row],[year]],Table4[[#This Row],[month2]],Table4[[#This Row],[day]])</f>
        <v>46057</v>
      </c>
    </row>
    <row r="1014" spans="1:14" ht="16" x14ac:dyDescent="0.35">
      <c r="A1014" t="str">
        <f t="shared" si="30"/>
        <v>04</v>
      </c>
      <c r="B1014">
        <f>_xlfn.SWITCH(Table4[[#This Row],[month]],"jan",1,"feb",2,"mar",3,"apr",4,"may",5,"jun",6,"jul",7,"aug",8,"sep",9,"oct",10,"nov",11,"dec",12,"no month")</f>
        <v>2</v>
      </c>
      <c r="C1014" s="12" t="str">
        <f>LEFT('All Transactions'!$E1014,3)</f>
        <v>Feb</v>
      </c>
      <c r="D1014" s="12" t="str">
        <f t="shared" si="31"/>
        <v>2026</v>
      </c>
      <c r="E1014" s="16" t="s">
        <v>3291</v>
      </c>
      <c r="F1014" s="17" t="s">
        <v>1994</v>
      </c>
      <c r="G1014" s="27" t="s">
        <v>54</v>
      </c>
      <c r="H1014" s="19">
        <v>500</v>
      </c>
      <c r="I1014" s="20" t="s">
        <v>3303</v>
      </c>
      <c r="J1014" s="20" t="s">
        <v>3304</v>
      </c>
      <c r="K1014" s="21" t="s">
        <v>3305</v>
      </c>
      <c r="L1014" s="20" t="s">
        <v>58</v>
      </c>
      <c r="M1014" t="str">
        <f>TEXT(A1014,"dddd")</f>
        <v>Wednesday</v>
      </c>
      <c r="N1014" s="35">
        <f>DATE(Table4[[#This Row],[year]],Table4[[#This Row],[month2]],Table4[[#This Row],[day]])</f>
        <v>46057</v>
      </c>
    </row>
    <row r="1015" spans="1:14" ht="16" x14ac:dyDescent="0.35">
      <c r="A1015" t="str">
        <f t="shared" si="30"/>
        <v>04</v>
      </c>
      <c r="B1015">
        <f>_xlfn.SWITCH(Table4[[#This Row],[month]],"jan",1,"feb",2,"mar",3,"apr",4,"may",5,"jun",6,"jul",7,"aug",8,"sep",9,"oct",10,"nov",11,"dec",12,"no month")</f>
        <v>2</v>
      </c>
      <c r="C1015" s="12" t="str">
        <f>LEFT('All Transactions'!$E1015,3)</f>
        <v>Feb</v>
      </c>
      <c r="D1015" s="12" t="str">
        <f t="shared" si="31"/>
        <v>2026</v>
      </c>
      <c r="E1015" s="22" t="s">
        <v>3291</v>
      </c>
      <c r="F1015" s="23" t="s">
        <v>3306</v>
      </c>
      <c r="G1015" s="27" t="s">
        <v>54</v>
      </c>
      <c r="H1015" s="24">
        <v>250</v>
      </c>
      <c r="I1015" s="25" t="s">
        <v>156</v>
      </c>
      <c r="J1015" s="25" t="s">
        <v>3307</v>
      </c>
      <c r="K1015" s="26" t="s">
        <v>3308</v>
      </c>
      <c r="L1015" s="25" t="s">
        <v>58</v>
      </c>
      <c r="M1015" t="str">
        <f>TEXT(A1015,"dddd")</f>
        <v>Wednesday</v>
      </c>
      <c r="N1015" s="35">
        <f>DATE(Table4[[#This Row],[year]],Table4[[#This Row],[month2]],Table4[[#This Row],[day]])</f>
        <v>46057</v>
      </c>
    </row>
    <row r="1016" spans="1:14" ht="16" x14ac:dyDescent="0.35">
      <c r="A1016" t="str">
        <f t="shared" si="30"/>
        <v>04</v>
      </c>
      <c r="B1016">
        <f>_xlfn.SWITCH(Table4[[#This Row],[month]],"jan",1,"feb",2,"mar",3,"apr",4,"may",5,"jun",6,"jul",7,"aug",8,"sep",9,"oct",10,"nov",11,"dec",12,"no month")</f>
        <v>2</v>
      </c>
      <c r="C1016" s="12" t="str">
        <f>LEFT('All Transactions'!$E1016,3)</f>
        <v>Feb</v>
      </c>
      <c r="D1016" s="12" t="str">
        <f t="shared" si="31"/>
        <v>2026</v>
      </c>
      <c r="E1016" s="16" t="s">
        <v>3291</v>
      </c>
      <c r="F1016" s="17" t="s">
        <v>305</v>
      </c>
      <c r="G1016" s="18" t="s">
        <v>28</v>
      </c>
      <c r="H1016" s="19">
        <v>10</v>
      </c>
      <c r="I1016" s="20" t="s">
        <v>3309</v>
      </c>
      <c r="J1016" s="20" t="s">
        <v>3310</v>
      </c>
      <c r="K1016" s="21" t="s">
        <v>3311</v>
      </c>
      <c r="L1016" s="20" t="s">
        <v>32</v>
      </c>
      <c r="M1016" t="str">
        <f>TEXT(A1016,"dddd")</f>
        <v>Wednesday</v>
      </c>
      <c r="N1016" s="35">
        <f>DATE(Table4[[#This Row],[year]],Table4[[#This Row],[month2]],Table4[[#This Row],[day]])</f>
        <v>46057</v>
      </c>
    </row>
    <row r="1017" spans="1:14" ht="16" x14ac:dyDescent="0.35">
      <c r="A1017" t="str">
        <f t="shared" si="30"/>
        <v>04</v>
      </c>
      <c r="B1017">
        <f>_xlfn.SWITCH(Table4[[#This Row],[month]],"jan",1,"feb",2,"mar",3,"apr",4,"may",5,"jun",6,"jul",7,"aug",8,"sep",9,"oct",10,"nov",11,"dec",12,"no month")</f>
        <v>2</v>
      </c>
      <c r="C1017" s="12" t="str">
        <f>LEFT('All Transactions'!$E1017,3)</f>
        <v>Feb</v>
      </c>
      <c r="D1017" s="12" t="str">
        <f t="shared" si="31"/>
        <v>2026</v>
      </c>
      <c r="E1017" s="22" t="s">
        <v>3291</v>
      </c>
      <c r="F1017" s="23" t="s">
        <v>886</v>
      </c>
      <c r="G1017" s="18" t="s">
        <v>28</v>
      </c>
      <c r="H1017" s="24">
        <v>30</v>
      </c>
      <c r="I1017" s="25" t="s">
        <v>3309</v>
      </c>
      <c r="J1017" s="25" t="s">
        <v>3312</v>
      </c>
      <c r="K1017" s="26" t="s">
        <v>3313</v>
      </c>
      <c r="L1017" s="25" t="s">
        <v>32</v>
      </c>
      <c r="M1017" t="str">
        <f>TEXT(A1017,"dddd")</f>
        <v>Wednesday</v>
      </c>
      <c r="N1017" s="35">
        <f>DATE(Table4[[#This Row],[year]],Table4[[#This Row],[month2]],Table4[[#This Row],[day]])</f>
        <v>46057</v>
      </c>
    </row>
    <row r="1018" spans="1:14" ht="16" x14ac:dyDescent="0.35">
      <c r="A1018" t="str">
        <f t="shared" si="30"/>
        <v>04</v>
      </c>
      <c r="B1018">
        <f>_xlfn.SWITCH(Table4[[#This Row],[month]],"jan",1,"feb",2,"mar",3,"apr",4,"may",5,"jun",6,"jul",7,"aug",8,"sep",9,"oct",10,"nov",11,"dec",12,"no month")</f>
        <v>2</v>
      </c>
      <c r="C1018" s="12" t="str">
        <f>LEFT('All Transactions'!$E1018,3)</f>
        <v>Feb</v>
      </c>
      <c r="D1018" s="12" t="str">
        <f t="shared" si="31"/>
        <v>2026</v>
      </c>
      <c r="E1018" s="16" t="s">
        <v>3291</v>
      </c>
      <c r="F1018" s="17" t="s">
        <v>3314</v>
      </c>
      <c r="G1018" s="18" t="s">
        <v>28</v>
      </c>
      <c r="H1018" s="19">
        <v>30</v>
      </c>
      <c r="I1018" s="20" t="s">
        <v>3315</v>
      </c>
      <c r="J1018" s="20" t="s">
        <v>3316</v>
      </c>
      <c r="K1018" s="21" t="s">
        <v>3317</v>
      </c>
      <c r="L1018" s="20" t="s">
        <v>32</v>
      </c>
      <c r="M1018" t="str">
        <f>TEXT(A1018,"dddd")</f>
        <v>Wednesday</v>
      </c>
      <c r="N1018" s="35">
        <f>DATE(Table4[[#This Row],[year]],Table4[[#This Row],[month2]],Table4[[#This Row],[day]])</f>
        <v>46057</v>
      </c>
    </row>
    <row r="1019" spans="1:14" ht="16" x14ac:dyDescent="0.35">
      <c r="A1019" t="str">
        <f t="shared" si="30"/>
        <v>04</v>
      </c>
      <c r="B1019">
        <f>_xlfn.SWITCH(Table4[[#This Row],[month]],"jan",1,"feb",2,"mar",3,"apr",4,"may",5,"jun",6,"jul",7,"aug",8,"sep",9,"oct",10,"nov",11,"dec",12,"no month")</f>
        <v>2</v>
      </c>
      <c r="C1019" s="12" t="str">
        <f>LEFT('All Transactions'!$E1019,3)</f>
        <v>Feb</v>
      </c>
      <c r="D1019" s="12" t="str">
        <f t="shared" si="31"/>
        <v>2026</v>
      </c>
      <c r="E1019" s="22" t="s">
        <v>3291</v>
      </c>
      <c r="F1019" s="23" t="s">
        <v>1070</v>
      </c>
      <c r="G1019" s="18" t="s">
        <v>28</v>
      </c>
      <c r="H1019" s="24">
        <v>260</v>
      </c>
      <c r="I1019" s="25" t="s">
        <v>3283</v>
      </c>
      <c r="J1019" s="25" t="s">
        <v>3318</v>
      </c>
      <c r="K1019" s="26" t="s">
        <v>3319</v>
      </c>
      <c r="L1019" s="25" t="s">
        <v>32</v>
      </c>
      <c r="M1019" t="str">
        <f>TEXT(A1019,"dddd")</f>
        <v>Wednesday</v>
      </c>
      <c r="N1019" s="35">
        <f>DATE(Table4[[#This Row],[year]],Table4[[#This Row],[month2]],Table4[[#This Row],[day]])</f>
        <v>46057</v>
      </c>
    </row>
    <row r="1020" spans="1:14" ht="16" x14ac:dyDescent="0.35">
      <c r="A1020" t="str">
        <f t="shared" si="30"/>
        <v>03</v>
      </c>
      <c r="B1020">
        <f>_xlfn.SWITCH(Table4[[#This Row],[month]],"jan",1,"feb",2,"mar",3,"apr",4,"may",5,"jun",6,"jul",7,"aug",8,"sep",9,"oct",10,"nov",11,"dec",12,"no month")</f>
        <v>2</v>
      </c>
      <c r="C1020" s="12" t="str">
        <f>LEFT('All Transactions'!$E1020,3)</f>
        <v>Feb</v>
      </c>
      <c r="D1020" s="12" t="str">
        <f t="shared" si="31"/>
        <v>2026</v>
      </c>
      <c r="E1020" s="16" t="s">
        <v>3320</v>
      </c>
      <c r="F1020" s="17" t="s">
        <v>573</v>
      </c>
      <c r="G1020" s="18" t="s">
        <v>28</v>
      </c>
      <c r="H1020" s="19">
        <v>35</v>
      </c>
      <c r="I1020" s="20" t="s">
        <v>3321</v>
      </c>
      <c r="J1020" s="20" t="s">
        <v>3322</v>
      </c>
      <c r="K1020" s="21" t="s">
        <v>3323</v>
      </c>
      <c r="L1020" s="20" t="s">
        <v>32</v>
      </c>
      <c r="M1020" t="str">
        <f>TEXT(A1020,"dddd")</f>
        <v>Tuesday</v>
      </c>
      <c r="N1020" s="35">
        <f>DATE(Table4[[#This Row],[year]],Table4[[#This Row],[month2]],Table4[[#This Row],[day]])</f>
        <v>46056</v>
      </c>
    </row>
    <row r="1021" spans="1:14" ht="16" x14ac:dyDescent="0.35">
      <c r="A1021" t="str">
        <f t="shared" si="30"/>
        <v>03</v>
      </c>
      <c r="B1021">
        <f>_xlfn.SWITCH(Table4[[#This Row],[month]],"jan",1,"feb",2,"mar",3,"apr",4,"may",5,"jun",6,"jul",7,"aug",8,"sep",9,"oct",10,"nov",11,"dec",12,"no month")</f>
        <v>2</v>
      </c>
      <c r="C1021" s="12" t="str">
        <f>LEFT('All Transactions'!$E1021,3)</f>
        <v>Feb</v>
      </c>
      <c r="D1021" s="12" t="str">
        <f t="shared" si="31"/>
        <v>2026</v>
      </c>
      <c r="E1021" s="22" t="s">
        <v>3320</v>
      </c>
      <c r="F1021" s="23" t="s">
        <v>1254</v>
      </c>
      <c r="G1021" s="18" t="s">
        <v>28</v>
      </c>
      <c r="H1021" s="24">
        <v>30</v>
      </c>
      <c r="I1021" s="25" t="s">
        <v>662</v>
      </c>
      <c r="J1021" s="25" t="s">
        <v>3324</v>
      </c>
      <c r="K1021" s="26" t="s">
        <v>3325</v>
      </c>
      <c r="L1021" s="25" t="s">
        <v>32</v>
      </c>
      <c r="M1021" t="str">
        <f>TEXT(A1021,"dddd")</f>
        <v>Tuesday</v>
      </c>
      <c r="N1021" s="35">
        <f>DATE(Table4[[#This Row],[year]],Table4[[#This Row],[month2]],Table4[[#This Row],[day]])</f>
        <v>46056</v>
      </c>
    </row>
    <row r="1022" spans="1:14" ht="16" x14ac:dyDescent="0.35">
      <c r="A1022" t="str">
        <f t="shared" si="30"/>
        <v>03</v>
      </c>
      <c r="B1022">
        <f>_xlfn.SWITCH(Table4[[#This Row],[month]],"jan",1,"feb",2,"mar",3,"apr",4,"may",5,"jun",6,"jul",7,"aug",8,"sep",9,"oct",10,"nov",11,"dec",12,"no month")</f>
        <v>2</v>
      </c>
      <c r="C1022" s="12" t="str">
        <f>LEFT('All Transactions'!$E1022,3)</f>
        <v>Feb</v>
      </c>
      <c r="D1022" s="12" t="str">
        <f t="shared" si="31"/>
        <v>2026</v>
      </c>
      <c r="E1022" s="16" t="s">
        <v>3320</v>
      </c>
      <c r="F1022" s="17" t="s">
        <v>3326</v>
      </c>
      <c r="G1022" s="18" t="s">
        <v>28</v>
      </c>
      <c r="H1022" s="19">
        <v>4597</v>
      </c>
      <c r="I1022" s="20" t="s">
        <v>84</v>
      </c>
      <c r="J1022" s="20" t="s">
        <v>3327</v>
      </c>
      <c r="K1022" s="21" t="s">
        <v>3328</v>
      </c>
      <c r="L1022" s="20" t="s">
        <v>32</v>
      </c>
      <c r="M1022" t="str">
        <f>TEXT(A1022,"dddd")</f>
        <v>Tuesday</v>
      </c>
      <c r="N1022" s="35">
        <f>DATE(Table4[[#This Row],[year]],Table4[[#This Row],[month2]],Table4[[#This Row],[day]])</f>
        <v>46056</v>
      </c>
    </row>
    <row r="1023" spans="1:14" ht="16" x14ac:dyDescent="0.35">
      <c r="A1023" t="str">
        <f t="shared" si="30"/>
        <v>02</v>
      </c>
      <c r="B1023">
        <f>_xlfn.SWITCH(Table4[[#This Row],[month]],"jan",1,"feb",2,"mar",3,"apr",4,"may",5,"jun",6,"jul",7,"aug",8,"sep",9,"oct",10,"nov",11,"dec",12,"no month")</f>
        <v>2</v>
      </c>
      <c r="C1023" s="12" t="str">
        <f>LEFT('All Transactions'!$E1023,3)</f>
        <v>Feb</v>
      </c>
      <c r="D1023" s="12" t="str">
        <f t="shared" si="31"/>
        <v>2026</v>
      </c>
      <c r="E1023" s="22" t="s">
        <v>3329</v>
      </c>
      <c r="F1023" s="23" t="s">
        <v>2201</v>
      </c>
      <c r="G1023" s="27" t="s">
        <v>54</v>
      </c>
      <c r="H1023" s="24">
        <v>1000</v>
      </c>
      <c r="I1023" s="25" t="s">
        <v>143</v>
      </c>
      <c r="J1023" s="25" t="s">
        <v>3330</v>
      </c>
      <c r="K1023" s="26" t="s">
        <v>3331</v>
      </c>
      <c r="L1023" s="25" t="s">
        <v>58</v>
      </c>
      <c r="M1023" t="str">
        <f>TEXT(A1023,"dddd")</f>
        <v>Monday</v>
      </c>
      <c r="N1023" s="35">
        <f>DATE(Table4[[#This Row],[year]],Table4[[#This Row],[month2]],Table4[[#This Row],[day]])</f>
        <v>46055</v>
      </c>
    </row>
    <row r="1024" spans="1:14" ht="16" x14ac:dyDescent="0.35">
      <c r="A1024" t="str">
        <f t="shared" si="30"/>
        <v>02</v>
      </c>
      <c r="B1024">
        <f>_xlfn.SWITCH(Table4[[#This Row],[month]],"jan",1,"feb",2,"mar",3,"apr",4,"may",5,"jun",6,"jul",7,"aug",8,"sep",9,"oct",10,"nov",11,"dec",12,"no month")</f>
        <v>2</v>
      </c>
      <c r="C1024" s="12" t="str">
        <f>LEFT('All Transactions'!$E1024,3)</f>
        <v>Feb</v>
      </c>
      <c r="D1024" s="12" t="str">
        <f t="shared" si="31"/>
        <v>2026</v>
      </c>
      <c r="E1024" s="16" t="s">
        <v>3329</v>
      </c>
      <c r="F1024" s="17" t="s">
        <v>1321</v>
      </c>
      <c r="G1024" s="18" t="s">
        <v>28</v>
      </c>
      <c r="H1024" s="19">
        <v>45</v>
      </c>
      <c r="I1024" s="20" t="s">
        <v>3297</v>
      </c>
      <c r="J1024" s="20" t="s">
        <v>3332</v>
      </c>
      <c r="K1024" s="21" t="s">
        <v>3333</v>
      </c>
      <c r="L1024" s="20" t="s">
        <v>32</v>
      </c>
      <c r="M1024" t="str">
        <f>TEXT(A1024,"dddd")</f>
        <v>Monday</v>
      </c>
      <c r="N1024" s="35">
        <f>DATE(Table4[[#This Row],[year]],Table4[[#This Row],[month2]],Table4[[#This Row],[day]])</f>
        <v>46055</v>
      </c>
    </row>
    <row r="1025" spans="1:14" ht="16" x14ac:dyDescent="0.35">
      <c r="A1025" t="str">
        <f t="shared" si="30"/>
        <v>02</v>
      </c>
      <c r="B1025">
        <f>_xlfn.SWITCH(Table4[[#This Row],[month]],"jan",1,"feb",2,"mar",3,"apr",4,"may",5,"jun",6,"jul",7,"aug",8,"sep",9,"oct",10,"nov",11,"dec",12,"no month")</f>
        <v>2</v>
      </c>
      <c r="C1025" s="12" t="str">
        <f>LEFT('All Transactions'!$E1025,3)</f>
        <v>Feb</v>
      </c>
      <c r="D1025" s="12" t="str">
        <f t="shared" si="31"/>
        <v>2026</v>
      </c>
      <c r="E1025" s="22" t="s">
        <v>3329</v>
      </c>
      <c r="F1025" s="23" t="s">
        <v>3334</v>
      </c>
      <c r="G1025" s="27" t="s">
        <v>54</v>
      </c>
      <c r="H1025" s="24">
        <v>550</v>
      </c>
      <c r="I1025" s="25" t="s">
        <v>156</v>
      </c>
      <c r="J1025" s="25" t="s">
        <v>3335</v>
      </c>
      <c r="K1025" s="26" t="s">
        <v>3336</v>
      </c>
      <c r="L1025" s="25" t="s">
        <v>58</v>
      </c>
      <c r="M1025" t="str">
        <f>TEXT(A1025,"dddd")</f>
        <v>Monday</v>
      </c>
      <c r="N1025" s="35">
        <f>DATE(Table4[[#This Row],[year]],Table4[[#This Row],[month2]],Table4[[#This Row],[day]])</f>
        <v>46055</v>
      </c>
    </row>
    <row r="1026" spans="1:14" ht="16" x14ac:dyDescent="0.35">
      <c r="A1026" t="str">
        <f t="shared" si="30"/>
        <v>02</v>
      </c>
      <c r="B1026">
        <f>_xlfn.SWITCH(Table4[[#This Row],[month]],"jan",1,"feb",2,"mar",3,"apr",4,"may",5,"jun",6,"jul",7,"aug",8,"sep",9,"oct",10,"nov",11,"dec",12,"no month")</f>
        <v>2</v>
      </c>
      <c r="C1026" s="12" t="str">
        <f>LEFT('All Transactions'!$E1026,3)</f>
        <v>Feb</v>
      </c>
      <c r="D1026" s="12" t="str">
        <f t="shared" si="31"/>
        <v>2026</v>
      </c>
      <c r="E1026" s="16" t="s">
        <v>3329</v>
      </c>
      <c r="F1026" s="17" t="s">
        <v>1641</v>
      </c>
      <c r="G1026" s="18" t="s">
        <v>28</v>
      </c>
      <c r="H1026" s="19">
        <v>510</v>
      </c>
      <c r="I1026" s="20" t="s">
        <v>1582</v>
      </c>
      <c r="J1026" s="20" t="s">
        <v>3337</v>
      </c>
      <c r="K1026" s="21" t="s">
        <v>3338</v>
      </c>
      <c r="L1026" s="20" t="s">
        <v>32</v>
      </c>
      <c r="M1026" t="str">
        <f>TEXT(A1026,"dddd")</f>
        <v>Monday</v>
      </c>
      <c r="N1026" s="35">
        <f>DATE(Table4[[#This Row],[year]],Table4[[#This Row],[month2]],Table4[[#This Row],[day]])</f>
        <v>46055</v>
      </c>
    </row>
    <row r="1027" spans="1:14" ht="16" x14ac:dyDescent="0.35">
      <c r="A1027" t="str">
        <f t="shared" ref="A1027:A1090" si="32">MID(E1027,5,2)</f>
        <v>02</v>
      </c>
      <c r="B1027">
        <f>_xlfn.SWITCH(Table4[[#This Row],[month]],"jan",1,"feb",2,"mar",3,"apr",4,"may",5,"jun",6,"jul",7,"aug",8,"sep",9,"oct",10,"nov",11,"dec",12,"no month")</f>
        <v>2</v>
      </c>
      <c r="C1027" s="12" t="str">
        <f>LEFT('All Transactions'!$E1027,3)</f>
        <v>Feb</v>
      </c>
      <c r="D1027" s="12" t="str">
        <f t="shared" ref="D1027:D1090" si="33">RIGHT(E1027,4)</f>
        <v>2026</v>
      </c>
      <c r="E1027" s="22" t="s">
        <v>3329</v>
      </c>
      <c r="F1027" s="23" t="s">
        <v>1468</v>
      </c>
      <c r="G1027" s="27" t="s">
        <v>54</v>
      </c>
      <c r="H1027" s="24">
        <v>200</v>
      </c>
      <c r="I1027" s="25" t="s">
        <v>947</v>
      </c>
      <c r="J1027" s="25" t="s">
        <v>3339</v>
      </c>
      <c r="K1027" s="26" t="s">
        <v>3340</v>
      </c>
      <c r="L1027" s="25" t="s">
        <v>58</v>
      </c>
      <c r="M1027" t="str">
        <f>TEXT(A1027,"dddd")</f>
        <v>Monday</v>
      </c>
      <c r="N1027" s="35">
        <f>DATE(Table4[[#This Row],[year]],Table4[[#This Row],[month2]],Table4[[#This Row],[day]])</f>
        <v>46055</v>
      </c>
    </row>
    <row r="1028" spans="1:14" ht="16" x14ac:dyDescent="0.35">
      <c r="A1028" t="str">
        <f t="shared" si="32"/>
        <v>02</v>
      </c>
      <c r="B1028">
        <f>_xlfn.SWITCH(Table4[[#This Row],[month]],"jan",1,"feb",2,"mar",3,"apr",4,"may",5,"jun",6,"jul",7,"aug",8,"sep",9,"oct",10,"nov",11,"dec",12,"no month")</f>
        <v>2</v>
      </c>
      <c r="C1028" s="12" t="str">
        <f>LEFT('All Transactions'!$E1028,3)</f>
        <v>Feb</v>
      </c>
      <c r="D1028" s="12" t="str">
        <f t="shared" si="33"/>
        <v>2026</v>
      </c>
      <c r="E1028" s="16" t="s">
        <v>3329</v>
      </c>
      <c r="F1028" s="17" t="s">
        <v>3184</v>
      </c>
      <c r="G1028" s="27" t="s">
        <v>54</v>
      </c>
      <c r="H1028" s="19">
        <v>1000</v>
      </c>
      <c r="I1028" s="20" t="s">
        <v>2352</v>
      </c>
      <c r="J1028" s="20" t="s">
        <v>3341</v>
      </c>
      <c r="K1028" s="21" t="s">
        <v>3342</v>
      </c>
      <c r="L1028" s="20" t="s">
        <v>58</v>
      </c>
      <c r="M1028" t="str">
        <f>TEXT(A1028,"dddd")</f>
        <v>Monday</v>
      </c>
      <c r="N1028" s="35">
        <f>DATE(Table4[[#This Row],[year]],Table4[[#This Row],[month2]],Table4[[#This Row],[day]])</f>
        <v>46055</v>
      </c>
    </row>
    <row r="1029" spans="1:14" ht="16" x14ac:dyDescent="0.35">
      <c r="A1029" t="str">
        <f t="shared" si="32"/>
        <v>02</v>
      </c>
      <c r="B1029">
        <f>_xlfn.SWITCH(Table4[[#This Row],[month]],"jan",1,"feb",2,"mar",3,"apr",4,"may",5,"jun",6,"jul",7,"aug",8,"sep",9,"oct",10,"nov",11,"dec",12,"no month")</f>
        <v>2</v>
      </c>
      <c r="C1029" s="12" t="str">
        <f>LEFT('All Transactions'!$E1029,3)</f>
        <v>Feb</v>
      </c>
      <c r="D1029" s="12" t="str">
        <f t="shared" si="33"/>
        <v>2026</v>
      </c>
      <c r="E1029" s="22" t="s">
        <v>3329</v>
      </c>
      <c r="F1029" s="23" t="s">
        <v>2888</v>
      </c>
      <c r="G1029" s="18" t="s">
        <v>28</v>
      </c>
      <c r="H1029" s="24">
        <v>60</v>
      </c>
      <c r="I1029" s="25" t="s">
        <v>3343</v>
      </c>
      <c r="J1029" s="25" t="s">
        <v>3344</v>
      </c>
      <c r="K1029" s="26" t="s">
        <v>3345</v>
      </c>
      <c r="L1029" s="25" t="s">
        <v>32</v>
      </c>
      <c r="M1029" t="str">
        <f>TEXT(A1029,"dddd")</f>
        <v>Monday</v>
      </c>
      <c r="N1029" s="35">
        <f>DATE(Table4[[#This Row],[year]],Table4[[#This Row],[month2]],Table4[[#This Row],[day]])</f>
        <v>46055</v>
      </c>
    </row>
    <row r="1030" spans="1:14" ht="16" x14ac:dyDescent="0.35">
      <c r="A1030" t="str">
        <f t="shared" si="32"/>
        <v>01</v>
      </c>
      <c r="B1030">
        <f>_xlfn.SWITCH(Table4[[#This Row],[month]],"jan",1,"feb",2,"mar",3,"apr",4,"may",5,"jun",6,"jul",7,"aug",8,"sep",9,"oct",10,"nov",11,"dec",12,"no month")</f>
        <v>2</v>
      </c>
      <c r="C1030" s="12" t="str">
        <f>LEFT('All Transactions'!$E1030,3)</f>
        <v>Feb</v>
      </c>
      <c r="D1030" s="12" t="str">
        <f t="shared" si="33"/>
        <v>2026</v>
      </c>
      <c r="E1030" s="16" t="s">
        <v>3346</v>
      </c>
      <c r="F1030" s="17" t="s">
        <v>2393</v>
      </c>
      <c r="G1030" s="18" t="s">
        <v>28</v>
      </c>
      <c r="H1030" s="19">
        <v>15000</v>
      </c>
      <c r="I1030" s="20" t="s">
        <v>1045</v>
      </c>
      <c r="J1030" s="20" t="s">
        <v>3347</v>
      </c>
      <c r="K1030" s="21" t="s">
        <v>3348</v>
      </c>
      <c r="L1030" s="20" t="s">
        <v>32</v>
      </c>
      <c r="M1030" t="str">
        <f>TEXT(A1030,"dddd")</f>
        <v>Sunday</v>
      </c>
      <c r="N1030" s="35">
        <f>DATE(Table4[[#This Row],[year]],Table4[[#This Row],[month2]],Table4[[#This Row],[day]])</f>
        <v>46054</v>
      </c>
    </row>
    <row r="1031" spans="1:14" ht="16" x14ac:dyDescent="0.35">
      <c r="A1031" t="str">
        <f t="shared" si="32"/>
        <v>01</v>
      </c>
      <c r="B1031">
        <f>_xlfn.SWITCH(Table4[[#This Row],[month]],"jan",1,"feb",2,"mar",3,"apr",4,"may",5,"jun",6,"jul",7,"aug",8,"sep",9,"oct",10,"nov",11,"dec",12,"no month")</f>
        <v>2</v>
      </c>
      <c r="C1031" s="12" t="str">
        <f>LEFT('All Transactions'!$E1031,3)</f>
        <v>Feb</v>
      </c>
      <c r="D1031" s="12" t="str">
        <f t="shared" si="33"/>
        <v>2026</v>
      </c>
      <c r="E1031" s="22" t="s">
        <v>3346</v>
      </c>
      <c r="F1031" s="23" t="s">
        <v>561</v>
      </c>
      <c r="G1031" s="27" t="s">
        <v>54</v>
      </c>
      <c r="H1031" s="24">
        <v>8000</v>
      </c>
      <c r="I1031" s="25" t="s">
        <v>947</v>
      </c>
      <c r="J1031" s="25" t="s">
        <v>3349</v>
      </c>
      <c r="K1031" s="26" t="s">
        <v>3350</v>
      </c>
      <c r="L1031" s="25" t="s">
        <v>58</v>
      </c>
      <c r="M1031" t="str">
        <f>TEXT(A1031,"dddd")</f>
        <v>Sunday</v>
      </c>
      <c r="N1031" s="35">
        <f>DATE(Table4[[#This Row],[year]],Table4[[#This Row],[month2]],Table4[[#This Row],[day]])</f>
        <v>46054</v>
      </c>
    </row>
    <row r="1032" spans="1:14" ht="16" x14ac:dyDescent="0.35">
      <c r="A1032" t="str">
        <f t="shared" si="32"/>
        <v>01</v>
      </c>
      <c r="B1032">
        <f>_xlfn.SWITCH(Table4[[#This Row],[month]],"jan",1,"feb",2,"mar",3,"apr",4,"may",5,"jun",6,"jul",7,"aug",8,"sep",9,"oct",10,"nov",11,"dec",12,"no month")</f>
        <v>2</v>
      </c>
      <c r="C1032" s="12" t="str">
        <f>LEFT('All Transactions'!$E1032,3)</f>
        <v>Feb</v>
      </c>
      <c r="D1032" s="12" t="str">
        <f t="shared" si="33"/>
        <v>2026</v>
      </c>
      <c r="E1032" s="16" t="s">
        <v>3346</v>
      </c>
      <c r="F1032" s="17" t="s">
        <v>561</v>
      </c>
      <c r="G1032" s="27" t="s">
        <v>54</v>
      </c>
      <c r="H1032" s="19">
        <v>6000</v>
      </c>
      <c r="I1032" s="20" t="s">
        <v>156</v>
      </c>
      <c r="J1032" s="20" t="s">
        <v>3351</v>
      </c>
      <c r="K1032" s="21" t="s">
        <v>3352</v>
      </c>
      <c r="L1032" s="20" t="s">
        <v>58</v>
      </c>
      <c r="M1032" t="str">
        <f>TEXT(A1032,"dddd")</f>
        <v>Sunday</v>
      </c>
      <c r="N1032" s="35">
        <f>DATE(Table4[[#This Row],[year]],Table4[[#This Row],[month2]],Table4[[#This Row],[day]])</f>
        <v>46054</v>
      </c>
    </row>
    <row r="1033" spans="1:14" ht="16" x14ac:dyDescent="0.35">
      <c r="A1033" t="str">
        <f t="shared" si="32"/>
        <v>01</v>
      </c>
      <c r="B1033">
        <f>_xlfn.SWITCH(Table4[[#This Row],[month]],"jan",1,"feb",2,"mar",3,"apr",4,"may",5,"jun",6,"jul",7,"aug",8,"sep",9,"oct",10,"nov",11,"dec",12,"no month")</f>
        <v>2</v>
      </c>
      <c r="C1033" s="12" t="str">
        <f>LEFT('All Transactions'!$E1033,3)</f>
        <v>Feb</v>
      </c>
      <c r="D1033" s="12" t="str">
        <f t="shared" si="33"/>
        <v>2026</v>
      </c>
      <c r="E1033" s="22" t="s">
        <v>3346</v>
      </c>
      <c r="F1033" s="23" t="s">
        <v>3353</v>
      </c>
      <c r="G1033" s="27" t="s">
        <v>54</v>
      </c>
      <c r="H1033" s="24">
        <v>1000</v>
      </c>
      <c r="I1033" s="25" t="s">
        <v>947</v>
      </c>
      <c r="J1033" s="25" t="s">
        <v>3354</v>
      </c>
      <c r="K1033" s="26" t="s">
        <v>3355</v>
      </c>
      <c r="L1033" s="25" t="s">
        <v>58</v>
      </c>
      <c r="M1033" t="str">
        <f>TEXT(A1033,"dddd")</f>
        <v>Sunday</v>
      </c>
      <c r="N1033" s="35">
        <f>DATE(Table4[[#This Row],[year]],Table4[[#This Row],[month2]],Table4[[#This Row],[day]])</f>
        <v>46054</v>
      </c>
    </row>
    <row r="1034" spans="1:14" ht="16" x14ac:dyDescent="0.35">
      <c r="A1034" t="str">
        <f t="shared" si="32"/>
        <v>01</v>
      </c>
      <c r="B1034">
        <f>_xlfn.SWITCH(Table4[[#This Row],[month]],"jan",1,"feb",2,"mar",3,"apr",4,"may",5,"jun",6,"jul",7,"aug",8,"sep",9,"oct",10,"nov",11,"dec",12,"no month")</f>
        <v>2</v>
      </c>
      <c r="C1034" s="12" t="str">
        <f>LEFT('All Transactions'!$E1034,3)</f>
        <v>Feb</v>
      </c>
      <c r="D1034" s="12" t="str">
        <f t="shared" si="33"/>
        <v>2026</v>
      </c>
      <c r="E1034" s="16" t="s">
        <v>3346</v>
      </c>
      <c r="F1034" s="17" t="s">
        <v>764</v>
      </c>
      <c r="G1034" s="18" t="s">
        <v>28</v>
      </c>
      <c r="H1034" s="19">
        <v>30</v>
      </c>
      <c r="I1034" s="20" t="s">
        <v>201</v>
      </c>
      <c r="J1034" s="20" t="s">
        <v>3356</v>
      </c>
      <c r="K1034" s="21" t="s">
        <v>3357</v>
      </c>
      <c r="L1034" s="20" t="s">
        <v>32</v>
      </c>
      <c r="M1034" t="str">
        <f>TEXT(A1034,"dddd")</f>
        <v>Sunday</v>
      </c>
      <c r="N1034" s="35">
        <f>DATE(Table4[[#This Row],[year]],Table4[[#This Row],[month2]],Table4[[#This Row],[day]])</f>
        <v>46054</v>
      </c>
    </row>
    <row r="1035" spans="1:14" ht="16" x14ac:dyDescent="0.35">
      <c r="A1035" t="str">
        <f t="shared" si="32"/>
        <v>01</v>
      </c>
      <c r="B1035">
        <f>_xlfn.SWITCH(Table4[[#This Row],[month]],"jan",1,"feb",2,"mar",3,"apr",4,"may",5,"jun",6,"jul",7,"aug",8,"sep",9,"oct",10,"nov",11,"dec",12,"no month")</f>
        <v>2</v>
      </c>
      <c r="C1035" s="12" t="str">
        <f>LEFT('All Transactions'!$E1035,3)</f>
        <v>Feb</v>
      </c>
      <c r="D1035" s="12" t="str">
        <f t="shared" si="33"/>
        <v>2026</v>
      </c>
      <c r="E1035" s="22" t="s">
        <v>3346</v>
      </c>
      <c r="F1035" s="23" t="s">
        <v>2036</v>
      </c>
      <c r="G1035" s="18" t="s">
        <v>28</v>
      </c>
      <c r="H1035" s="24">
        <v>240</v>
      </c>
      <c r="I1035" s="25" t="s">
        <v>662</v>
      </c>
      <c r="J1035" s="25" t="s">
        <v>3358</v>
      </c>
      <c r="K1035" s="26" t="s">
        <v>3359</v>
      </c>
      <c r="L1035" s="25" t="s">
        <v>32</v>
      </c>
      <c r="M1035" t="str">
        <f>TEXT(A1035,"dddd")</f>
        <v>Sunday</v>
      </c>
      <c r="N1035" s="35">
        <f>DATE(Table4[[#This Row],[year]],Table4[[#This Row],[month2]],Table4[[#This Row],[day]])</f>
        <v>46054</v>
      </c>
    </row>
    <row r="1036" spans="1:14" ht="16" x14ac:dyDescent="0.35">
      <c r="A1036" t="str">
        <f t="shared" si="32"/>
        <v>01</v>
      </c>
      <c r="B1036">
        <f>_xlfn.SWITCH(Table4[[#This Row],[month]],"jan",1,"feb",2,"mar",3,"apr",4,"may",5,"jun",6,"jul",7,"aug",8,"sep",9,"oct",10,"nov",11,"dec",12,"no month")</f>
        <v>2</v>
      </c>
      <c r="C1036" s="12" t="str">
        <f>LEFT('All Transactions'!$E1036,3)</f>
        <v>Feb</v>
      </c>
      <c r="D1036" s="12" t="str">
        <f t="shared" si="33"/>
        <v>2026</v>
      </c>
      <c r="E1036" s="16" t="s">
        <v>3346</v>
      </c>
      <c r="F1036" s="17" t="s">
        <v>518</v>
      </c>
      <c r="G1036" s="18" t="s">
        <v>28</v>
      </c>
      <c r="H1036" s="19">
        <v>75</v>
      </c>
      <c r="I1036" s="20" t="s">
        <v>201</v>
      </c>
      <c r="J1036" s="20" t="s">
        <v>3360</v>
      </c>
      <c r="K1036" s="21" t="s">
        <v>3361</v>
      </c>
      <c r="L1036" s="20" t="s">
        <v>32</v>
      </c>
      <c r="M1036" t="str">
        <f>TEXT(A1036,"dddd")</f>
        <v>Sunday</v>
      </c>
      <c r="N1036" s="35">
        <f>DATE(Table4[[#This Row],[year]],Table4[[#This Row],[month2]],Table4[[#This Row],[day]])</f>
        <v>46054</v>
      </c>
    </row>
    <row r="1037" spans="1:14" ht="16" x14ac:dyDescent="0.35">
      <c r="A1037" t="str">
        <f t="shared" si="32"/>
        <v>01</v>
      </c>
      <c r="B1037">
        <f>_xlfn.SWITCH(Table4[[#This Row],[month]],"jan",1,"feb",2,"mar",3,"apr",4,"may",5,"jun",6,"jul",7,"aug",8,"sep",9,"oct",10,"nov",11,"dec",12,"no month")</f>
        <v>2</v>
      </c>
      <c r="C1037" s="12" t="str">
        <f>LEFT('All Transactions'!$E1037,3)</f>
        <v>Feb</v>
      </c>
      <c r="D1037" s="12" t="str">
        <f t="shared" si="33"/>
        <v>2026</v>
      </c>
      <c r="E1037" s="22" t="s">
        <v>3346</v>
      </c>
      <c r="F1037" s="23" t="s">
        <v>362</v>
      </c>
      <c r="G1037" s="18" t="s">
        <v>28</v>
      </c>
      <c r="H1037" s="24">
        <v>1029</v>
      </c>
      <c r="I1037" s="25" t="s">
        <v>3362</v>
      </c>
      <c r="J1037" s="25" t="s">
        <v>3363</v>
      </c>
      <c r="K1037" s="26" t="s">
        <v>3364</v>
      </c>
      <c r="L1037" s="25" t="s">
        <v>32</v>
      </c>
      <c r="M1037" t="str">
        <f>TEXT(A1037,"dddd")</f>
        <v>Sunday</v>
      </c>
      <c r="N1037" s="35">
        <f>DATE(Table4[[#This Row],[year]],Table4[[#This Row],[month2]],Table4[[#This Row],[day]])</f>
        <v>46054</v>
      </c>
    </row>
    <row r="1038" spans="1:14" ht="16" x14ac:dyDescent="0.35">
      <c r="A1038" t="str">
        <f t="shared" si="32"/>
        <v>01</v>
      </c>
      <c r="B1038">
        <f>_xlfn.SWITCH(Table4[[#This Row],[month]],"jan",1,"feb",2,"mar",3,"apr",4,"may",5,"jun",6,"jul",7,"aug",8,"sep",9,"oct",10,"nov",11,"dec",12,"no month")</f>
        <v>2</v>
      </c>
      <c r="C1038" s="12" t="str">
        <f>LEFT('All Transactions'!$E1038,3)</f>
        <v>Feb</v>
      </c>
      <c r="D1038" s="12" t="str">
        <f t="shared" si="33"/>
        <v>2026</v>
      </c>
      <c r="E1038" s="16" t="s">
        <v>3346</v>
      </c>
      <c r="F1038" s="17" t="s">
        <v>1449</v>
      </c>
      <c r="G1038" s="18" t="s">
        <v>28</v>
      </c>
      <c r="H1038" s="19">
        <v>50</v>
      </c>
      <c r="I1038" s="20" t="s">
        <v>167</v>
      </c>
      <c r="J1038" s="20" t="s">
        <v>3365</v>
      </c>
      <c r="K1038" s="21" t="s">
        <v>3366</v>
      </c>
      <c r="L1038" s="20" t="s">
        <v>32</v>
      </c>
      <c r="M1038" t="str">
        <f>TEXT(A1038,"dddd")</f>
        <v>Sunday</v>
      </c>
      <c r="N1038" s="35">
        <f>DATE(Table4[[#This Row],[year]],Table4[[#This Row],[month2]],Table4[[#This Row],[day]])</f>
        <v>46054</v>
      </c>
    </row>
    <row r="1039" spans="1:14" ht="16" x14ac:dyDescent="0.35">
      <c r="A1039" t="str">
        <f t="shared" si="32"/>
        <v>01</v>
      </c>
      <c r="B1039">
        <f>_xlfn.SWITCH(Table4[[#This Row],[month]],"jan",1,"feb",2,"mar",3,"apr",4,"may",5,"jun",6,"jul",7,"aug",8,"sep",9,"oct",10,"nov",11,"dec",12,"no month")</f>
        <v>2</v>
      </c>
      <c r="C1039" s="12" t="str">
        <f>LEFT('All Transactions'!$E1039,3)</f>
        <v>Feb</v>
      </c>
      <c r="D1039" s="12" t="str">
        <f t="shared" si="33"/>
        <v>2026</v>
      </c>
      <c r="E1039" s="22" t="s">
        <v>3346</v>
      </c>
      <c r="F1039" s="23" t="s">
        <v>467</v>
      </c>
      <c r="G1039" s="27" t="s">
        <v>54</v>
      </c>
      <c r="H1039" s="24">
        <v>400</v>
      </c>
      <c r="I1039" s="25" t="s">
        <v>156</v>
      </c>
      <c r="J1039" s="25" t="s">
        <v>3367</v>
      </c>
      <c r="K1039" s="26" t="s">
        <v>3368</v>
      </c>
      <c r="L1039" s="25" t="s">
        <v>58</v>
      </c>
      <c r="M1039" t="str">
        <f>TEXT(A1039,"dddd")</f>
        <v>Sunday</v>
      </c>
      <c r="N1039" s="35">
        <f>DATE(Table4[[#This Row],[year]],Table4[[#This Row],[month2]],Table4[[#This Row],[day]])</f>
        <v>46054</v>
      </c>
    </row>
    <row r="1040" spans="1:14" ht="16" x14ac:dyDescent="0.35">
      <c r="A1040" t="str">
        <f t="shared" si="32"/>
        <v>01</v>
      </c>
      <c r="B1040">
        <f>_xlfn.SWITCH(Table4[[#This Row],[month]],"jan",1,"feb",2,"mar",3,"apr",4,"may",5,"jun",6,"jul",7,"aug",8,"sep",9,"oct",10,"nov",11,"dec",12,"no month")</f>
        <v>2</v>
      </c>
      <c r="C1040" s="12" t="str">
        <f>LEFT('All Transactions'!$E1040,3)</f>
        <v>Feb</v>
      </c>
      <c r="D1040" s="12" t="str">
        <f t="shared" si="33"/>
        <v>2026</v>
      </c>
      <c r="E1040" s="16" t="s">
        <v>3346</v>
      </c>
      <c r="F1040" s="17" t="s">
        <v>3369</v>
      </c>
      <c r="G1040" s="18" t="s">
        <v>28</v>
      </c>
      <c r="H1040" s="19">
        <v>1900</v>
      </c>
      <c r="I1040" s="20" t="s">
        <v>3370</v>
      </c>
      <c r="J1040" s="20" t="s">
        <v>3371</v>
      </c>
      <c r="K1040" s="21" t="s">
        <v>3372</v>
      </c>
      <c r="L1040" s="20" t="s">
        <v>32</v>
      </c>
      <c r="M1040" t="str">
        <f>TEXT(A1040,"dddd")</f>
        <v>Sunday</v>
      </c>
      <c r="N1040" s="35">
        <f>DATE(Table4[[#This Row],[year]],Table4[[#This Row],[month2]],Table4[[#This Row],[day]])</f>
        <v>46054</v>
      </c>
    </row>
    <row r="1041" spans="1:14" ht="16" x14ac:dyDescent="0.35">
      <c r="A1041" t="str">
        <f t="shared" si="32"/>
        <v>01</v>
      </c>
      <c r="B1041">
        <f>_xlfn.SWITCH(Table4[[#This Row],[month]],"jan",1,"feb",2,"mar",3,"apr",4,"may",5,"jun",6,"jul",7,"aug",8,"sep",9,"oct",10,"nov",11,"dec",12,"no month")</f>
        <v>2</v>
      </c>
      <c r="C1041" s="12" t="str">
        <f>LEFT('All Transactions'!$E1041,3)</f>
        <v>Feb</v>
      </c>
      <c r="D1041" s="12" t="str">
        <f t="shared" si="33"/>
        <v>2026</v>
      </c>
      <c r="E1041" s="22" t="s">
        <v>3346</v>
      </c>
      <c r="F1041" s="23" t="s">
        <v>3373</v>
      </c>
      <c r="G1041" s="18" t="s">
        <v>28</v>
      </c>
      <c r="H1041" s="24">
        <v>2100</v>
      </c>
      <c r="I1041" s="25" t="s">
        <v>3374</v>
      </c>
      <c r="J1041" s="25" t="s">
        <v>3375</v>
      </c>
      <c r="K1041" s="26" t="s">
        <v>3376</v>
      </c>
      <c r="L1041" s="25" t="s">
        <v>32</v>
      </c>
      <c r="M1041" t="str">
        <f>TEXT(A1041,"dddd")</f>
        <v>Sunday</v>
      </c>
      <c r="N1041" s="35">
        <f>DATE(Table4[[#This Row],[year]],Table4[[#This Row],[month2]],Table4[[#This Row],[day]])</f>
        <v>46054</v>
      </c>
    </row>
    <row r="1042" spans="1:14" ht="16" x14ac:dyDescent="0.35">
      <c r="A1042" t="str">
        <f t="shared" si="32"/>
        <v>01</v>
      </c>
      <c r="B1042">
        <f>_xlfn.SWITCH(Table4[[#This Row],[month]],"jan",1,"feb",2,"mar",3,"apr",4,"may",5,"jun",6,"jul",7,"aug",8,"sep",9,"oct",10,"nov",11,"dec",12,"no month")</f>
        <v>2</v>
      </c>
      <c r="C1042" s="12" t="str">
        <f>LEFT('All Transactions'!$E1042,3)</f>
        <v>Feb</v>
      </c>
      <c r="D1042" s="12" t="str">
        <f t="shared" si="33"/>
        <v>2026</v>
      </c>
      <c r="E1042" s="16" t="s">
        <v>3346</v>
      </c>
      <c r="F1042" s="17" t="s">
        <v>1578</v>
      </c>
      <c r="G1042" s="18" t="s">
        <v>28</v>
      </c>
      <c r="H1042" s="19">
        <v>20</v>
      </c>
      <c r="I1042" s="20" t="s">
        <v>3377</v>
      </c>
      <c r="J1042" s="20" t="s">
        <v>3378</v>
      </c>
      <c r="K1042" s="21" t="s">
        <v>3379</v>
      </c>
      <c r="L1042" s="20" t="s">
        <v>32</v>
      </c>
      <c r="M1042" t="str">
        <f>TEXT(A1042,"dddd")</f>
        <v>Sunday</v>
      </c>
      <c r="N1042" s="35">
        <f>DATE(Table4[[#This Row],[year]],Table4[[#This Row],[month2]],Table4[[#This Row],[day]])</f>
        <v>46054</v>
      </c>
    </row>
    <row r="1043" spans="1:14" ht="16" x14ac:dyDescent="0.35">
      <c r="A1043" t="str">
        <f t="shared" si="32"/>
        <v>31</v>
      </c>
      <c r="B1043">
        <f>_xlfn.SWITCH(Table4[[#This Row],[month]],"jan",1,"feb",2,"mar",3,"apr",4,"may",5,"jun",6,"jul",7,"aug",8,"sep",9,"oct",10,"nov",11,"dec",12,"no month")</f>
        <v>1</v>
      </c>
      <c r="C1043" s="12" t="str">
        <f>LEFT('All Transactions'!$E1043,3)</f>
        <v>Jan</v>
      </c>
      <c r="D1043" s="12" t="str">
        <f t="shared" si="33"/>
        <v>2026</v>
      </c>
      <c r="E1043" s="22" t="s">
        <v>3380</v>
      </c>
      <c r="F1043" s="23" t="s">
        <v>612</v>
      </c>
      <c r="G1043" s="18" t="s">
        <v>28</v>
      </c>
      <c r="H1043" s="24">
        <v>300</v>
      </c>
      <c r="I1043" s="25" t="s">
        <v>3381</v>
      </c>
      <c r="J1043" s="25" t="s">
        <v>3382</v>
      </c>
      <c r="K1043" s="26" t="s">
        <v>3383</v>
      </c>
      <c r="L1043" s="25" t="s">
        <v>32</v>
      </c>
      <c r="M1043" t="str">
        <f>TEXT(A1043,"dddd")</f>
        <v>Tuesday</v>
      </c>
      <c r="N1043" s="35">
        <f>DATE(Table4[[#This Row],[year]],Table4[[#This Row],[month2]],Table4[[#This Row],[day]])</f>
        <v>46053</v>
      </c>
    </row>
    <row r="1044" spans="1:14" ht="16" x14ac:dyDescent="0.35">
      <c r="A1044" t="str">
        <f t="shared" si="32"/>
        <v>31</v>
      </c>
      <c r="B1044">
        <f>_xlfn.SWITCH(Table4[[#This Row],[month]],"jan",1,"feb",2,"mar",3,"apr",4,"may",5,"jun",6,"jul",7,"aug",8,"sep",9,"oct",10,"nov",11,"dec",12,"no month")</f>
        <v>1</v>
      </c>
      <c r="C1044" s="12" t="str">
        <f>LEFT('All Transactions'!$E1044,3)</f>
        <v>Jan</v>
      </c>
      <c r="D1044" s="12" t="str">
        <f t="shared" si="33"/>
        <v>2026</v>
      </c>
      <c r="E1044" s="16" t="s">
        <v>3380</v>
      </c>
      <c r="F1044" s="17" t="s">
        <v>2242</v>
      </c>
      <c r="G1044" s="18" t="s">
        <v>28</v>
      </c>
      <c r="H1044" s="19">
        <v>105</v>
      </c>
      <c r="I1044" s="20" t="s">
        <v>3384</v>
      </c>
      <c r="J1044" s="20" t="s">
        <v>3385</v>
      </c>
      <c r="K1044" s="21" t="s">
        <v>3386</v>
      </c>
      <c r="L1044" s="20" t="s">
        <v>32</v>
      </c>
      <c r="M1044" t="str">
        <f>TEXT(A1044,"dddd")</f>
        <v>Tuesday</v>
      </c>
      <c r="N1044" s="35">
        <f>DATE(Table4[[#This Row],[year]],Table4[[#This Row],[month2]],Table4[[#This Row],[day]])</f>
        <v>46053</v>
      </c>
    </row>
    <row r="1045" spans="1:14" ht="16" x14ac:dyDescent="0.35">
      <c r="A1045" t="str">
        <f t="shared" si="32"/>
        <v>31</v>
      </c>
      <c r="B1045">
        <f>_xlfn.SWITCH(Table4[[#This Row],[month]],"jan",1,"feb",2,"mar",3,"apr",4,"may",5,"jun",6,"jul",7,"aug",8,"sep",9,"oct",10,"nov",11,"dec",12,"no month")</f>
        <v>1</v>
      </c>
      <c r="C1045" s="12" t="str">
        <f>LEFT('All Transactions'!$E1045,3)</f>
        <v>Jan</v>
      </c>
      <c r="D1045" s="12" t="str">
        <f t="shared" si="33"/>
        <v>2026</v>
      </c>
      <c r="E1045" s="22" t="s">
        <v>3380</v>
      </c>
      <c r="F1045" s="23" t="s">
        <v>1637</v>
      </c>
      <c r="G1045" s="18" t="s">
        <v>28</v>
      </c>
      <c r="H1045" s="24">
        <v>1350</v>
      </c>
      <c r="I1045" s="25" t="s">
        <v>3387</v>
      </c>
      <c r="J1045" s="25" t="s">
        <v>3388</v>
      </c>
      <c r="K1045" s="26" t="s">
        <v>3389</v>
      </c>
      <c r="L1045" s="25" t="s">
        <v>32</v>
      </c>
      <c r="M1045" t="str">
        <f>TEXT(A1045,"dddd")</f>
        <v>Tuesday</v>
      </c>
      <c r="N1045" s="35">
        <f>DATE(Table4[[#This Row],[year]],Table4[[#This Row],[month2]],Table4[[#This Row],[day]])</f>
        <v>46053</v>
      </c>
    </row>
    <row r="1046" spans="1:14" ht="16" x14ac:dyDescent="0.35">
      <c r="A1046" t="str">
        <f t="shared" si="32"/>
        <v>31</v>
      </c>
      <c r="B1046">
        <f>_xlfn.SWITCH(Table4[[#This Row],[month]],"jan",1,"feb",2,"mar",3,"apr",4,"may",5,"jun",6,"jul",7,"aug",8,"sep",9,"oct",10,"nov",11,"dec",12,"no month")</f>
        <v>1</v>
      </c>
      <c r="C1046" s="12" t="str">
        <f>LEFT('All Transactions'!$E1046,3)</f>
        <v>Jan</v>
      </c>
      <c r="D1046" s="12" t="str">
        <f t="shared" si="33"/>
        <v>2026</v>
      </c>
      <c r="E1046" s="16" t="s">
        <v>3380</v>
      </c>
      <c r="F1046" s="17" t="s">
        <v>869</v>
      </c>
      <c r="G1046" s="18" t="s">
        <v>28</v>
      </c>
      <c r="H1046" s="19">
        <v>618</v>
      </c>
      <c r="I1046" s="20" t="s">
        <v>3362</v>
      </c>
      <c r="J1046" s="20" t="s">
        <v>3390</v>
      </c>
      <c r="K1046" s="21" t="s">
        <v>3391</v>
      </c>
      <c r="L1046" s="20" t="s">
        <v>32</v>
      </c>
      <c r="M1046" t="str">
        <f>TEXT(A1046,"dddd")</f>
        <v>Tuesday</v>
      </c>
      <c r="N1046" s="35">
        <f>DATE(Table4[[#This Row],[year]],Table4[[#This Row],[month2]],Table4[[#This Row],[day]])</f>
        <v>46053</v>
      </c>
    </row>
    <row r="1047" spans="1:14" ht="16" x14ac:dyDescent="0.35">
      <c r="A1047" t="str">
        <f t="shared" si="32"/>
        <v>31</v>
      </c>
      <c r="B1047">
        <f>_xlfn.SWITCH(Table4[[#This Row],[month]],"jan",1,"feb",2,"mar",3,"apr",4,"may",5,"jun",6,"jul",7,"aug",8,"sep",9,"oct",10,"nov",11,"dec",12,"no month")</f>
        <v>1</v>
      </c>
      <c r="C1047" s="12" t="str">
        <f>LEFT('All Transactions'!$E1047,3)</f>
        <v>Jan</v>
      </c>
      <c r="D1047" s="12" t="str">
        <f t="shared" si="33"/>
        <v>2026</v>
      </c>
      <c r="E1047" s="22" t="s">
        <v>3380</v>
      </c>
      <c r="F1047" s="23" t="s">
        <v>3392</v>
      </c>
      <c r="G1047" s="18" t="s">
        <v>28</v>
      </c>
      <c r="H1047" s="24">
        <v>30</v>
      </c>
      <c r="I1047" s="25" t="s">
        <v>915</v>
      </c>
      <c r="J1047" s="25" t="s">
        <v>3393</v>
      </c>
      <c r="K1047" s="26" t="s">
        <v>3394</v>
      </c>
      <c r="L1047" s="25" t="s">
        <v>32</v>
      </c>
      <c r="M1047" t="str">
        <f>TEXT(A1047,"dddd")</f>
        <v>Tuesday</v>
      </c>
      <c r="N1047" s="35">
        <f>DATE(Table4[[#This Row],[year]],Table4[[#This Row],[month2]],Table4[[#This Row],[day]])</f>
        <v>46053</v>
      </c>
    </row>
    <row r="1048" spans="1:14" ht="16" x14ac:dyDescent="0.35">
      <c r="A1048" t="str">
        <f t="shared" si="32"/>
        <v>31</v>
      </c>
      <c r="B1048">
        <f>_xlfn.SWITCH(Table4[[#This Row],[month]],"jan",1,"feb",2,"mar",3,"apr",4,"may",5,"jun",6,"jul",7,"aug",8,"sep",9,"oct",10,"nov",11,"dec",12,"no month")</f>
        <v>1</v>
      </c>
      <c r="C1048" s="12" t="str">
        <f>LEFT('All Transactions'!$E1048,3)</f>
        <v>Jan</v>
      </c>
      <c r="D1048" s="12" t="str">
        <f t="shared" si="33"/>
        <v>2026</v>
      </c>
      <c r="E1048" s="16" t="s">
        <v>3380</v>
      </c>
      <c r="F1048" s="17" t="s">
        <v>2548</v>
      </c>
      <c r="G1048" s="18" t="s">
        <v>28</v>
      </c>
      <c r="H1048" s="19">
        <v>1000</v>
      </c>
      <c r="I1048" s="20" t="s">
        <v>167</v>
      </c>
      <c r="J1048" s="20" t="s">
        <v>3395</v>
      </c>
      <c r="K1048" s="21" t="s">
        <v>3396</v>
      </c>
      <c r="L1048" s="20" t="s">
        <v>32</v>
      </c>
      <c r="M1048" t="str">
        <f>TEXT(A1048,"dddd")</f>
        <v>Tuesday</v>
      </c>
      <c r="N1048" s="35">
        <f>DATE(Table4[[#This Row],[year]],Table4[[#This Row],[month2]],Table4[[#This Row],[day]])</f>
        <v>46053</v>
      </c>
    </row>
    <row r="1049" spans="1:14" ht="16" x14ac:dyDescent="0.35">
      <c r="A1049" t="str">
        <f t="shared" si="32"/>
        <v>31</v>
      </c>
      <c r="B1049">
        <f>_xlfn.SWITCH(Table4[[#This Row],[month]],"jan",1,"feb",2,"mar",3,"apr",4,"may",5,"jun",6,"jul",7,"aug",8,"sep",9,"oct",10,"nov",11,"dec",12,"no month")</f>
        <v>1</v>
      </c>
      <c r="C1049" s="12" t="str">
        <f>LEFT('All Transactions'!$E1049,3)</f>
        <v>Jan</v>
      </c>
      <c r="D1049" s="12" t="str">
        <f t="shared" si="33"/>
        <v>2026</v>
      </c>
      <c r="E1049" s="22" t="s">
        <v>3380</v>
      </c>
      <c r="F1049" s="23" t="s">
        <v>3247</v>
      </c>
      <c r="G1049" s="18" t="s">
        <v>28</v>
      </c>
      <c r="H1049" s="24">
        <v>40</v>
      </c>
      <c r="I1049" s="25" t="s">
        <v>3343</v>
      </c>
      <c r="J1049" s="25" t="s">
        <v>3397</v>
      </c>
      <c r="K1049" s="26" t="s">
        <v>3398</v>
      </c>
      <c r="L1049" s="25" t="s">
        <v>32</v>
      </c>
      <c r="M1049" t="str">
        <f>TEXT(A1049,"dddd")</f>
        <v>Tuesday</v>
      </c>
      <c r="N1049" s="35">
        <f>DATE(Table4[[#This Row],[year]],Table4[[#This Row],[month2]],Table4[[#This Row],[day]])</f>
        <v>46053</v>
      </c>
    </row>
    <row r="1050" spans="1:14" ht="16" x14ac:dyDescent="0.35">
      <c r="A1050" t="str">
        <f t="shared" si="32"/>
        <v>31</v>
      </c>
      <c r="B1050">
        <f>_xlfn.SWITCH(Table4[[#This Row],[month]],"jan",1,"feb",2,"mar",3,"apr",4,"may",5,"jun",6,"jul",7,"aug",8,"sep",9,"oct",10,"nov",11,"dec",12,"no month")</f>
        <v>1</v>
      </c>
      <c r="C1050" s="12" t="str">
        <f>LEFT('All Transactions'!$E1050,3)</f>
        <v>Jan</v>
      </c>
      <c r="D1050" s="12" t="str">
        <f t="shared" si="33"/>
        <v>2026</v>
      </c>
      <c r="E1050" s="16" t="s">
        <v>3380</v>
      </c>
      <c r="F1050" s="17" t="s">
        <v>1804</v>
      </c>
      <c r="G1050" s="27" t="s">
        <v>54</v>
      </c>
      <c r="H1050" s="19">
        <v>8000</v>
      </c>
      <c r="I1050" s="20" t="s">
        <v>1642</v>
      </c>
      <c r="J1050" s="20" t="s">
        <v>3399</v>
      </c>
      <c r="K1050" s="21" t="s">
        <v>3400</v>
      </c>
      <c r="L1050" s="20" t="s">
        <v>58</v>
      </c>
      <c r="M1050" t="str">
        <f>TEXT(A1050,"dddd")</f>
        <v>Tuesday</v>
      </c>
      <c r="N1050" s="35">
        <f>DATE(Table4[[#This Row],[year]],Table4[[#This Row],[month2]],Table4[[#This Row],[day]])</f>
        <v>46053</v>
      </c>
    </row>
    <row r="1051" spans="1:14" ht="16" x14ac:dyDescent="0.35">
      <c r="A1051" t="str">
        <f t="shared" si="32"/>
        <v>31</v>
      </c>
      <c r="B1051">
        <f>_xlfn.SWITCH(Table4[[#This Row],[month]],"jan",1,"feb",2,"mar",3,"apr",4,"may",5,"jun",6,"jul",7,"aug",8,"sep",9,"oct",10,"nov",11,"dec",12,"no month")</f>
        <v>1</v>
      </c>
      <c r="C1051" s="12" t="str">
        <f>LEFT('All Transactions'!$E1051,3)</f>
        <v>Jan</v>
      </c>
      <c r="D1051" s="12" t="str">
        <f t="shared" si="33"/>
        <v>2026</v>
      </c>
      <c r="E1051" s="22" t="s">
        <v>3380</v>
      </c>
      <c r="F1051" s="23" t="s">
        <v>470</v>
      </c>
      <c r="G1051" s="18" t="s">
        <v>28</v>
      </c>
      <c r="H1051" s="24">
        <v>40</v>
      </c>
      <c r="I1051" s="25" t="s">
        <v>3401</v>
      </c>
      <c r="J1051" s="25" t="s">
        <v>3402</v>
      </c>
      <c r="K1051" s="26" t="s">
        <v>3403</v>
      </c>
      <c r="L1051" s="25" t="s">
        <v>32</v>
      </c>
      <c r="M1051" t="str">
        <f>TEXT(A1051,"dddd")</f>
        <v>Tuesday</v>
      </c>
      <c r="N1051" s="35">
        <f>DATE(Table4[[#This Row],[year]],Table4[[#This Row],[month2]],Table4[[#This Row],[day]])</f>
        <v>46053</v>
      </c>
    </row>
    <row r="1052" spans="1:14" ht="16" x14ac:dyDescent="0.35">
      <c r="A1052" t="str">
        <f t="shared" si="32"/>
        <v>30</v>
      </c>
      <c r="B1052">
        <f>_xlfn.SWITCH(Table4[[#This Row],[month]],"jan",1,"feb",2,"mar",3,"apr",4,"may",5,"jun",6,"jul",7,"aug",8,"sep",9,"oct",10,"nov",11,"dec",12,"no month")</f>
        <v>1</v>
      </c>
      <c r="C1052" s="12" t="str">
        <f>LEFT('All Transactions'!$E1052,3)</f>
        <v>Jan</v>
      </c>
      <c r="D1052" s="12" t="str">
        <f t="shared" si="33"/>
        <v>2026</v>
      </c>
      <c r="E1052" s="16" t="s">
        <v>3404</v>
      </c>
      <c r="F1052" s="17" t="s">
        <v>1601</v>
      </c>
      <c r="G1052" s="18" t="s">
        <v>28</v>
      </c>
      <c r="H1052" s="19">
        <v>52</v>
      </c>
      <c r="I1052" s="20" t="s">
        <v>3405</v>
      </c>
      <c r="J1052" s="20" t="s">
        <v>3406</v>
      </c>
      <c r="K1052" s="21" t="s">
        <v>3407</v>
      </c>
      <c r="L1052" s="20" t="s">
        <v>32</v>
      </c>
      <c r="M1052" t="str">
        <f>TEXT(A1052,"dddd")</f>
        <v>Monday</v>
      </c>
      <c r="N1052" s="35">
        <f>DATE(Table4[[#This Row],[year]],Table4[[#This Row],[month2]],Table4[[#This Row],[day]])</f>
        <v>46052</v>
      </c>
    </row>
    <row r="1053" spans="1:14" ht="16" x14ac:dyDescent="0.35">
      <c r="A1053" t="str">
        <f t="shared" si="32"/>
        <v>30</v>
      </c>
      <c r="B1053">
        <f>_xlfn.SWITCH(Table4[[#This Row],[month]],"jan",1,"feb",2,"mar",3,"apr",4,"may",5,"jun",6,"jul",7,"aug",8,"sep",9,"oct",10,"nov",11,"dec",12,"no month")</f>
        <v>1</v>
      </c>
      <c r="C1053" s="12" t="str">
        <f>LEFT('All Transactions'!$E1053,3)</f>
        <v>Jan</v>
      </c>
      <c r="D1053" s="12" t="str">
        <f t="shared" si="33"/>
        <v>2026</v>
      </c>
      <c r="E1053" s="22" t="s">
        <v>3404</v>
      </c>
      <c r="F1053" s="23" t="s">
        <v>96</v>
      </c>
      <c r="G1053" s="18" t="s">
        <v>28</v>
      </c>
      <c r="H1053" s="24">
        <v>1500</v>
      </c>
      <c r="I1053" s="25" t="s">
        <v>12</v>
      </c>
      <c r="J1053" s="25" t="s">
        <v>3408</v>
      </c>
      <c r="K1053" s="26" t="s">
        <v>3409</v>
      </c>
      <c r="L1053" s="25" t="s">
        <v>32</v>
      </c>
      <c r="M1053" t="str">
        <f>TEXT(A1053,"dddd")</f>
        <v>Monday</v>
      </c>
      <c r="N1053" s="35">
        <f>DATE(Table4[[#This Row],[year]],Table4[[#This Row],[month2]],Table4[[#This Row],[day]])</f>
        <v>46052</v>
      </c>
    </row>
    <row r="1054" spans="1:14" ht="16" x14ac:dyDescent="0.35">
      <c r="A1054" t="str">
        <f t="shared" si="32"/>
        <v>30</v>
      </c>
      <c r="B1054">
        <f>_xlfn.SWITCH(Table4[[#This Row],[month]],"jan",1,"feb",2,"mar",3,"apr",4,"may",5,"jun",6,"jul",7,"aug",8,"sep",9,"oct",10,"nov",11,"dec",12,"no month")</f>
        <v>1</v>
      </c>
      <c r="C1054" s="12" t="str">
        <f>LEFT('All Transactions'!$E1054,3)</f>
        <v>Jan</v>
      </c>
      <c r="D1054" s="12" t="str">
        <f t="shared" si="33"/>
        <v>2026</v>
      </c>
      <c r="E1054" s="16" t="s">
        <v>3404</v>
      </c>
      <c r="F1054" s="17" t="s">
        <v>3410</v>
      </c>
      <c r="G1054" s="18" t="s">
        <v>28</v>
      </c>
      <c r="H1054" s="19">
        <v>1500</v>
      </c>
      <c r="I1054" s="20" t="s">
        <v>167</v>
      </c>
      <c r="J1054" s="20" t="s">
        <v>3411</v>
      </c>
      <c r="K1054" s="21" t="s">
        <v>3412</v>
      </c>
      <c r="L1054" s="20" t="s">
        <v>32</v>
      </c>
      <c r="M1054" t="str">
        <f>TEXT(A1054,"dddd")</f>
        <v>Monday</v>
      </c>
      <c r="N1054" s="35">
        <f>DATE(Table4[[#This Row],[year]],Table4[[#This Row],[month2]],Table4[[#This Row],[day]])</f>
        <v>46052</v>
      </c>
    </row>
    <row r="1055" spans="1:14" ht="16" x14ac:dyDescent="0.35">
      <c r="A1055" t="str">
        <f t="shared" si="32"/>
        <v>30</v>
      </c>
      <c r="B1055">
        <f>_xlfn.SWITCH(Table4[[#This Row],[month]],"jan",1,"feb",2,"mar",3,"apr",4,"may",5,"jun",6,"jul",7,"aug",8,"sep",9,"oct",10,"nov",11,"dec",12,"no month")</f>
        <v>1</v>
      </c>
      <c r="C1055" s="12" t="str">
        <f>LEFT('All Transactions'!$E1055,3)</f>
        <v>Jan</v>
      </c>
      <c r="D1055" s="12" t="str">
        <f t="shared" si="33"/>
        <v>2026</v>
      </c>
      <c r="E1055" s="22" t="s">
        <v>3404</v>
      </c>
      <c r="F1055" s="23" t="s">
        <v>399</v>
      </c>
      <c r="G1055" s="27" t="s">
        <v>54</v>
      </c>
      <c r="H1055" s="24">
        <v>7300</v>
      </c>
      <c r="I1055" s="25" t="s">
        <v>143</v>
      </c>
      <c r="J1055" s="25" t="s">
        <v>3413</v>
      </c>
      <c r="K1055" s="26" t="s">
        <v>3414</v>
      </c>
      <c r="L1055" s="25" t="s">
        <v>58</v>
      </c>
      <c r="M1055" t="str">
        <f>TEXT(A1055,"dddd")</f>
        <v>Monday</v>
      </c>
      <c r="N1055" s="35">
        <f>DATE(Table4[[#This Row],[year]],Table4[[#This Row],[month2]],Table4[[#This Row],[day]])</f>
        <v>46052</v>
      </c>
    </row>
    <row r="1056" spans="1:14" ht="16" x14ac:dyDescent="0.35">
      <c r="A1056" t="str">
        <f t="shared" si="32"/>
        <v>30</v>
      </c>
      <c r="B1056">
        <f>_xlfn.SWITCH(Table4[[#This Row],[month]],"jan",1,"feb",2,"mar",3,"apr",4,"may",5,"jun",6,"jul",7,"aug",8,"sep",9,"oct",10,"nov",11,"dec",12,"no month")</f>
        <v>1</v>
      </c>
      <c r="C1056" s="12" t="str">
        <f>LEFT('All Transactions'!$E1056,3)</f>
        <v>Jan</v>
      </c>
      <c r="D1056" s="12" t="str">
        <f t="shared" si="33"/>
        <v>2026</v>
      </c>
      <c r="E1056" s="16" t="s">
        <v>3404</v>
      </c>
      <c r="F1056" s="17" t="s">
        <v>935</v>
      </c>
      <c r="G1056" s="18" t="s">
        <v>28</v>
      </c>
      <c r="H1056" s="19">
        <v>55</v>
      </c>
      <c r="I1056" s="20" t="s">
        <v>915</v>
      </c>
      <c r="J1056" s="20" t="s">
        <v>3415</v>
      </c>
      <c r="K1056" s="21" t="s">
        <v>3416</v>
      </c>
      <c r="L1056" s="20" t="s">
        <v>32</v>
      </c>
      <c r="M1056" t="str">
        <f>TEXT(A1056,"dddd")</f>
        <v>Monday</v>
      </c>
      <c r="N1056" s="35">
        <f>DATE(Table4[[#This Row],[year]],Table4[[#This Row],[month2]],Table4[[#This Row],[day]])</f>
        <v>46052</v>
      </c>
    </row>
    <row r="1057" spans="1:14" ht="16" x14ac:dyDescent="0.35">
      <c r="A1057" t="str">
        <f t="shared" si="32"/>
        <v>30</v>
      </c>
      <c r="B1057">
        <f>_xlfn.SWITCH(Table4[[#This Row],[month]],"jan",1,"feb",2,"mar",3,"apr",4,"may",5,"jun",6,"jul",7,"aug",8,"sep",9,"oct",10,"nov",11,"dec",12,"no month")</f>
        <v>1</v>
      </c>
      <c r="C1057" s="12" t="str">
        <f>LEFT('All Transactions'!$E1057,3)</f>
        <v>Jan</v>
      </c>
      <c r="D1057" s="12" t="str">
        <f t="shared" si="33"/>
        <v>2026</v>
      </c>
      <c r="E1057" s="22" t="s">
        <v>3404</v>
      </c>
      <c r="F1057" s="23" t="s">
        <v>1744</v>
      </c>
      <c r="G1057" s="18" t="s">
        <v>28</v>
      </c>
      <c r="H1057" s="24">
        <v>20</v>
      </c>
      <c r="I1057" s="25" t="s">
        <v>3417</v>
      </c>
      <c r="J1057" s="25" t="s">
        <v>3418</v>
      </c>
      <c r="K1057" s="26" t="s">
        <v>3419</v>
      </c>
      <c r="L1057" s="25" t="s">
        <v>32</v>
      </c>
      <c r="M1057" t="str">
        <f>TEXT(A1057,"dddd")</f>
        <v>Monday</v>
      </c>
      <c r="N1057" s="35">
        <f>DATE(Table4[[#This Row],[year]],Table4[[#This Row],[month2]],Table4[[#This Row],[day]])</f>
        <v>46052</v>
      </c>
    </row>
    <row r="1058" spans="1:14" ht="16" x14ac:dyDescent="0.35">
      <c r="A1058" t="str">
        <f t="shared" si="32"/>
        <v>30</v>
      </c>
      <c r="B1058">
        <f>_xlfn.SWITCH(Table4[[#This Row],[month]],"jan",1,"feb",2,"mar",3,"apr",4,"may",5,"jun",6,"jul",7,"aug",8,"sep",9,"oct",10,"nov",11,"dec",12,"no month")</f>
        <v>1</v>
      </c>
      <c r="C1058" s="12" t="str">
        <f>LEFT('All Transactions'!$E1058,3)</f>
        <v>Jan</v>
      </c>
      <c r="D1058" s="12" t="str">
        <f t="shared" si="33"/>
        <v>2026</v>
      </c>
      <c r="E1058" s="16" t="s">
        <v>3404</v>
      </c>
      <c r="F1058" s="17" t="s">
        <v>1533</v>
      </c>
      <c r="G1058" s="18" t="s">
        <v>28</v>
      </c>
      <c r="H1058" s="19">
        <v>40</v>
      </c>
      <c r="I1058" s="20" t="s">
        <v>3417</v>
      </c>
      <c r="J1058" s="20" t="s">
        <v>3420</v>
      </c>
      <c r="K1058" s="21" t="s">
        <v>3421</v>
      </c>
      <c r="L1058" s="20" t="s">
        <v>32</v>
      </c>
      <c r="M1058" t="str">
        <f>TEXT(A1058,"dddd")</f>
        <v>Monday</v>
      </c>
      <c r="N1058" s="35">
        <f>DATE(Table4[[#This Row],[year]],Table4[[#This Row],[month2]],Table4[[#This Row],[day]])</f>
        <v>46052</v>
      </c>
    </row>
    <row r="1059" spans="1:14" ht="16" x14ac:dyDescent="0.35">
      <c r="A1059" t="str">
        <f t="shared" si="32"/>
        <v>30</v>
      </c>
      <c r="B1059">
        <f>_xlfn.SWITCH(Table4[[#This Row],[month]],"jan",1,"feb",2,"mar",3,"apr",4,"may",5,"jun",6,"jul",7,"aug",8,"sep",9,"oct",10,"nov",11,"dec",12,"no month")</f>
        <v>1</v>
      </c>
      <c r="C1059" s="12" t="str">
        <f>LEFT('All Transactions'!$E1059,3)</f>
        <v>Jan</v>
      </c>
      <c r="D1059" s="12" t="str">
        <f t="shared" si="33"/>
        <v>2026</v>
      </c>
      <c r="E1059" s="22" t="s">
        <v>3404</v>
      </c>
      <c r="F1059" s="23" t="s">
        <v>956</v>
      </c>
      <c r="G1059" s="18" t="s">
        <v>28</v>
      </c>
      <c r="H1059" s="24">
        <v>10</v>
      </c>
      <c r="I1059" s="25" t="s">
        <v>3343</v>
      </c>
      <c r="J1059" s="25" t="s">
        <v>3422</v>
      </c>
      <c r="K1059" s="26" t="s">
        <v>3423</v>
      </c>
      <c r="L1059" s="25" t="s">
        <v>32</v>
      </c>
      <c r="M1059" t="str">
        <f>TEXT(A1059,"dddd")</f>
        <v>Monday</v>
      </c>
      <c r="N1059" s="35">
        <f>DATE(Table4[[#This Row],[year]],Table4[[#This Row],[month2]],Table4[[#This Row],[day]])</f>
        <v>46052</v>
      </c>
    </row>
    <row r="1060" spans="1:14" ht="16" x14ac:dyDescent="0.35">
      <c r="A1060" t="str">
        <f t="shared" si="32"/>
        <v>30</v>
      </c>
      <c r="B1060">
        <f>_xlfn.SWITCH(Table4[[#This Row],[month]],"jan",1,"feb",2,"mar",3,"apr",4,"may",5,"jun",6,"jul",7,"aug",8,"sep",9,"oct",10,"nov",11,"dec",12,"no month")</f>
        <v>1</v>
      </c>
      <c r="C1060" s="12" t="str">
        <f>LEFT('All Transactions'!$E1060,3)</f>
        <v>Jan</v>
      </c>
      <c r="D1060" s="12" t="str">
        <f t="shared" si="33"/>
        <v>2026</v>
      </c>
      <c r="E1060" s="16" t="s">
        <v>3404</v>
      </c>
      <c r="F1060" s="17" t="s">
        <v>3070</v>
      </c>
      <c r="G1060" s="18" t="s">
        <v>28</v>
      </c>
      <c r="H1060" s="19">
        <v>60</v>
      </c>
      <c r="I1060" s="20" t="s">
        <v>3424</v>
      </c>
      <c r="J1060" s="20" t="s">
        <v>3425</v>
      </c>
      <c r="K1060" s="21" t="s">
        <v>3426</v>
      </c>
      <c r="L1060" s="20" t="s">
        <v>32</v>
      </c>
      <c r="M1060" t="str">
        <f>TEXT(A1060,"dddd")</f>
        <v>Monday</v>
      </c>
      <c r="N1060" s="35">
        <f>DATE(Table4[[#This Row],[year]],Table4[[#This Row],[month2]],Table4[[#This Row],[day]])</f>
        <v>46052</v>
      </c>
    </row>
    <row r="1061" spans="1:14" ht="16" x14ac:dyDescent="0.35">
      <c r="A1061" t="str">
        <f t="shared" si="32"/>
        <v>30</v>
      </c>
      <c r="B1061">
        <f>_xlfn.SWITCH(Table4[[#This Row],[month]],"jan",1,"feb",2,"mar",3,"apr",4,"may",5,"jun",6,"jul",7,"aug",8,"sep",9,"oct",10,"nov",11,"dec",12,"no month")</f>
        <v>1</v>
      </c>
      <c r="C1061" s="12" t="str">
        <f>LEFT('All Transactions'!$E1061,3)</f>
        <v>Jan</v>
      </c>
      <c r="D1061" s="12" t="str">
        <f t="shared" si="33"/>
        <v>2026</v>
      </c>
      <c r="E1061" s="22" t="s">
        <v>3404</v>
      </c>
      <c r="F1061" s="23" t="s">
        <v>44</v>
      </c>
      <c r="G1061" s="18" t="s">
        <v>28</v>
      </c>
      <c r="H1061" s="24">
        <v>7000</v>
      </c>
      <c r="I1061" s="25" t="s">
        <v>3427</v>
      </c>
      <c r="J1061" s="25" t="s">
        <v>3428</v>
      </c>
      <c r="K1061" s="26" t="s">
        <v>3429</v>
      </c>
      <c r="L1061" s="25" t="s">
        <v>32</v>
      </c>
      <c r="M1061" t="str">
        <f>TEXT(A1061,"dddd")</f>
        <v>Monday</v>
      </c>
      <c r="N1061" s="35">
        <f>DATE(Table4[[#This Row],[year]],Table4[[#This Row],[month2]],Table4[[#This Row],[day]])</f>
        <v>46052</v>
      </c>
    </row>
    <row r="1062" spans="1:14" ht="16" x14ac:dyDescent="0.35">
      <c r="A1062" t="str">
        <f t="shared" si="32"/>
        <v>30</v>
      </c>
      <c r="B1062">
        <f>_xlfn.SWITCH(Table4[[#This Row],[month]],"jan",1,"feb",2,"mar",3,"apr",4,"may",5,"jun",6,"jul",7,"aug",8,"sep",9,"oct",10,"nov",11,"dec",12,"no month")</f>
        <v>1</v>
      </c>
      <c r="C1062" s="12" t="str">
        <f>LEFT('All Transactions'!$E1062,3)</f>
        <v>Jan</v>
      </c>
      <c r="D1062" s="12" t="str">
        <f t="shared" si="33"/>
        <v>2026</v>
      </c>
      <c r="E1062" s="16" t="s">
        <v>3404</v>
      </c>
      <c r="F1062" s="17" t="s">
        <v>44</v>
      </c>
      <c r="G1062" s="27" t="s">
        <v>54</v>
      </c>
      <c r="H1062" s="19">
        <v>2000</v>
      </c>
      <c r="I1062" s="20" t="s">
        <v>156</v>
      </c>
      <c r="J1062" s="20" t="s">
        <v>3430</v>
      </c>
      <c r="K1062" s="21" t="s">
        <v>3431</v>
      </c>
      <c r="L1062" s="20" t="s">
        <v>58</v>
      </c>
      <c r="M1062" t="str">
        <f>TEXT(A1062,"dddd")</f>
        <v>Monday</v>
      </c>
      <c r="N1062" s="35">
        <f>DATE(Table4[[#This Row],[year]],Table4[[#This Row],[month2]],Table4[[#This Row],[day]])</f>
        <v>46052</v>
      </c>
    </row>
    <row r="1063" spans="1:14" ht="16" x14ac:dyDescent="0.35">
      <c r="A1063" t="str">
        <f t="shared" si="32"/>
        <v>29</v>
      </c>
      <c r="B1063">
        <f>_xlfn.SWITCH(Table4[[#This Row],[month]],"jan",1,"feb",2,"mar",3,"apr",4,"may",5,"jun",6,"jul",7,"aug",8,"sep",9,"oct",10,"nov",11,"dec",12,"no month")</f>
        <v>1</v>
      </c>
      <c r="C1063" s="12" t="str">
        <f>LEFT('All Transactions'!$E1063,3)</f>
        <v>Jan</v>
      </c>
      <c r="D1063" s="12" t="str">
        <f t="shared" si="33"/>
        <v>2026</v>
      </c>
      <c r="E1063" s="22" t="s">
        <v>3432</v>
      </c>
      <c r="F1063" s="23" t="s">
        <v>1890</v>
      </c>
      <c r="G1063" s="18" t="s">
        <v>28</v>
      </c>
      <c r="H1063" s="24">
        <v>35</v>
      </c>
      <c r="I1063" s="25" t="s">
        <v>3343</v>
      </c>
      <c r="J1063" s="25" t="s">
        <v>3433</v>
      </c>
      <c r="K1063" s="26" t="s">
        <v>3434</v>
      </c>
      <c r="L1063" s="25" t="s">
        <v>32</v>
      </c>
      <c r="M1063" t="str">
        <f>TEXT(A1063,"dddd")</f>
        <v>Sunday</v>
      </c>
      <c r="N1063" s="35">
        <f>DATE(Table4[[#This Row],[year]],Table4[[#This Row],[month2]],Table4[[#This Row],[day]])</f>
        <v>46051</v>
      </c>
    </row>
    <row r="1064" spans="1:14" ht="16" x14ac:dyDescent="0.35">
      <c r="A1064" t="str">
        <f t="shared" si="32"/>
        <v>29</v>
      </c>
      <c r="B1064">
        <f>_xlfn.SWITCH(Table4[[#This Row],[month]],"jan",1,"feb",2,"mar",3,"apr",4,"may",5,"jun",6,"jul",7,"aug",8,"sep",9,"oct",10,"nov",11,"dec",12,"no month")</f>
        <v>1</v>
      </c>
      <c r="C1064" s="12" t="str">
        <f>LEFT('All Transactions'!$E1064,3)</f>
        <v>Jan</v>
      </c>
      <c r="D1064" s="12" t="str">
        <f t="shared" si="33"/>
        <v>2026</v>
      </c>
      <c r="E1064" s="16" t="s">
        <v>3432</v>
      </c>
      <c r="F1064" s="17" t="s">
        <v>1838</v>
      </c>
      <c r="G1064" s="18" t="s">
        <v>28</v>
      </c>
      <c r="H1064" s="19">
        <v>20</v>
      </c>
      <c r="I1064" s="20" t="s">
        <v>3435</v>
      </c>
      <c r="J1064" s="20" t="s">
        <v>3436</v>
      </c>
      <c r="K1064" s="21" t="s">
        <v>3437</v>
      </c>
      <c r="L1064" s="20" t="s">
        <v>32</v>
      </c>
      <c r="M1064" t="str">
        <f>TEXT(A1064,"dddd")</f>
        <v>Sunday</v>
      </c>
      <c r="N1064" s="35">
        <f>DATE(Table4[[#This Row],[year]],Table4[[#This Row],[month2]],Table4[[#This Row],[day]])</f>
        <v>46051</v>
      </c>
    </row>
    <row r="1065" spans="1:14" ht="16" x14ac:dyDescent="0.35">
      <c r="A1065" t="str">
        <f t="shared" si="32"/>
        <v>29</v>
      </c>
      <c r="B1065">
        <f>_xlfn.SWITCH(Table4[[#This Row],[month]],"jan",1,"feb",2,"mar",3,"apr",4,"may",5,"jun",6,"jul",7,"aug",8,"sep",9,"oct",10,"nov",11,"dec",12,"no month")</f>
        <v>1</v>
      </c>
      <c r="C1065" s="12" t="str">
        <f>LEFT('All Transactions'!$E1065,3)</f>
        <v>Jan</v>
      </c>
      <c r="D1065" s="12" t="str">
        <f t="shared" si="33"/>
        <v>2026</v>
      </c>
      <c r="E1065" s="22" t="s">
        <v>3432</v>
      </c>
      <c r="F1065" s="23" t="s">
        <v>2500</v>
      </c>
      <c r="G1065" s="18" t="s">
        <v>28</v>
      </c>
      <c r="H1065" s="24">
        <v>2000</v>
      </c>
      <c r="I1065" s="25" t="s">
        <v>1045</v>
      </c>
      <c r="J1065" s="25" t="s">
        <v>3438</v>
      </c>
      <c r="K1065" s="26" t="s">
        <v>3439</v>
      </c>
      <c r="L1065" s="25" t="s">
        <v>32</v>
      </c>
      <c r="M1065" t="str">
        <f>TEXT(A1065,"dddd")</f>
        <v>Sunday</v>
      </c>
      <c r="N1065" s="35">
        <f>DATE(Table4[[#This Row],[year]],Table4[[#This Row],[month2]],Table4[[#This Row],[day]])</f>
        <v>46051</v>
      </c>
    </row>
    <row r="1066" spans="1:14" ht="16" x14ac:dyDescent="0.35">
      <c r="A1066" t="str">
        <f t="shared" si="32"/>
        <v>28</v>
      </c>
      <c r="B1066">
        <f>_xlfn.SWITCH(Table4[[#This Row],[month]],"jan",1,"feb",2,"mar",3,"apr",4,"may",5,"jun",6,"jul",7,"aug",8,"sep",9,"oct",10,"nov",11,"dec",12,"no month")</f>
        <v>1</v>
      </c>
      <c r="C1066" s="12" t="str">
        <f>LEFT('All Transactions'!$E1066,3)</f>
        <v>Jan</v>
      </c>
      <c r="D1066" s="12" t="str">
        <f t="shared" si="33"/>
        <v>2026</v>
      </c>
      <c r="E1066" s="16" t="s">
        <v>3440</v>
      </c>
      <c r="F1066" s="17" t="s">
        <v>120</v>
      </c>
      <c r="G1066" s="18" t="s">
        <v>28</v>
      </c>
      <c r="H1066" s="19">
        <v>20</v>
      </c>
      <c r="I1066" s="20" t="s">
        <v>3435</v>
      </c>
      <c r="J1066" s="20" t="s">
        <v>3441</v>
      </c>
      <c r="K1066" s="21" t="s">
        <v>3442</v>
      </c>
      <c r="L1066" s="20" t="s">
        <v>32</v>
      </c>
      <c r="M1066" t="str">
        <f>TEXT(A1066,"dddd")</f>
        <v>Saturday</v>
      </c>
      <c r="N1066" s="35">
        <f>DATE(Table4[[#This Row],[year]],Table4[[#This Row],[month2]],Table4[[#This Row],[day]])</f>
        <v>46050</v>
      </c>
    </row>
    <row r="1067" spans="1:14" ht="16" x14ac:dyDescent="0.35">
      <c r="A1067" t="str">
        <f t="shared" si="32"/>
        <v>28</v>
      </c>
      <c r="B1067">
        <f>_xlfn.SWITCH(Table4[[#This Row],[month]],"jan",1,"feb",2,"mar",3,"apr",4,"may",5,"jun",6,"jul",7,"aug",8,"sep",9,"oct",10,"nov",11,"dec",12,"no month")</f>
        <v>1</v>
      </c>
      <c r="C1067" s="12" t="str">
        <f>LEFT('All Transactions'!$E1067,3)</f>
        <v>Jan</v>
      </c>
      <c r="D1067" s="12" t="str">
        <f t="shared" si="33"/>
        <v>2026</v>
      </c>
      <c r="E1067" s="22" t="s">
        <v>3440</v>
      </c>
      <c r="F1067" s="23" t="s">
        <v>3178</v>
      </c>
      <c r="G1067" s="18" t="s">
        <v>28</v>
      </c>
      <c r="H1067" s="24">
        <v>100</v>
      </c>
      <c r="I1067" s="25" t="s">
        <v>3443</v>
      </c>
      <c r="J1067" s="25" t="s">
        <v>3444</v>
      </c>
      <c r="K1067" s="26" t="s">
        <v>3445</v>
      </c>
      <c r="L1067" s="25" t="s">
        <v>32</v>
      </c>
      <c r="M1067" t="str">
        <f>TEXT(A1067,"dddd")</f>
        <v>Saturday</v>
      </c>
      <c r="N1067" s="35">
        <f>DATE(Table4[[#This Row],[year]],Table4[[#This Row],[month2]],Table4[[#This Row],[day]])</f>
        <v>46050</v>
      </c>
    </row>
    <row r="1068" spans="1:14" ht="16" x14ac:dyDescent="0.35">
      <c r="A1068" t="str">
        <f t="shared" si="32"/>
        <v>28</v>
      </c>
      <c r="B1068">
        <f>_xlfn.SWITCH(Table4[[#This Row],[month]],"jan",1,"feb",2,"mar",3,"apr",4,"may",5,"jun",6,"jul",7,"aug",8,"sep",9,"oct",10,"nov",11,"dec",12,"no month")</f>
        <v>1</v>
      </c>
      <c r="C1068" s="12" t="str">
        <f>LEFT('All Transactions'!$E1068,3)</f>
        <v>Jan</v>
      </c>
      <c r="D1068" s="12" t="str">
        <f t="shared" si="33"/>
        <v>2026</v>
      </c>
      <c r="E1068" s="16" t="s">
        <v>3440</v>
      </c>
      <c r="F1068" s="17" t="s">
        <v>69</v>
      </c>
      <c r="G1068" s="18" t="s">
        <v>28</v>
      </c>
      <c r="H1068" s="19">
        <v>20</v>
      </c>
      <c r="I1068" s="20" t="s">
        <v>3446</v>
      </c>
      <c r="J1068" s="20" t="s">
        <v>3447</v>
      </c>
      <c r="K1068" s="21" t="s">
        <v>3448</v>
      </c>
      <c r="L1068" s="20" t="s">
        <v>32</v>
      </c>
      <c r="M1068" t="str">
        <f>TEXT(A1068,"dddd")</f>
        <v>Saturday</v>
      </c>
      <c r="N1068" s="35">
        <f>DATE(Table4[[#This Row],[year]],Table4[[#This Row],[month2]],Table4[[#This Row],[day]])</f>
        <v>46050</v>
      </c>
    </row>
    <row r="1069" spans="1:14" ht="16" x14ac:dyDescent="0.35">
      <c r="A1069" t="str">
        <f t="shared" si="32"/>
        <v>27</v>
      </c>
      <c r="B1069">
        <f>_xlfn.SWITCH(Table4[[#This Row],[month]],"jan",1,"feb",2,"mar",3,"apr",4,"may",5,"jun",6,"jul",7,"aug",8,"sep",9,"oct",10,"nov",11,"dec",12,"no month")</f>
        <v>1</v>
      </c>
      <c r="C1069" s="12" t="str">
        <f>LEFT('All Transactions'!$E1069,3)</f>
        <v>Jan</v>
      </c>
      <c r="D1069" s="12" t="str">
        <f t="shared" si="33"/>
        <v>2026</v>
      </c>
      <c r="E1069" s="22" t="s">
        <v>3449</v>
      </c>
      <c r="F1069" s="23" t="s">
        <v>2399</v>
      </c>
      <c r="G1069" s="18" t="s">
        <v>28</v>
      </c>
      <c r="H1069" s="24">
        <v>30</v>
      </c>
      <c r="I1069" s="25" t="s">
        <v>3450</v>
      </c>
      <c r="J1069" s="25" t="s">
        <v>3451</v>
      </c>
      <c r="K1069" s="26" t="s">
        <v>3452</v>
      </c>
      <c r="L1069" s="25" t="s">
        <v>32</v>
      </c>
      <c r="M1069" t="str">
        <f>TEXT(A1069,"dddd")</f>
        <v>Friday</v>
      </c>
      <c r="N1069" s="35">
        <f>DATE(Table4[[#This Row],[year]],Table4[[#This Row],[month2]],Table4[[#This Row],[day]])</f>
        <v>46049</v>
      </c>
    </row>
    <row r="1070" spans="1:14" ht="16" x14ac:dyDescent="0.35">
      <c r="A1070" t="str">
        <f t="shared" si="32"/>
        <v>27</v>
      </c>
      <c r="B1070">
        <f>_xlfn.SWITCH(Table4[[#This Row],[month]],"jan",1,"feb",2,"mar",3,"apr",4,"may",5,"jun",6,"jul",7,"aug",8,"sep",9,"oct",10,"nov",11,"dec",12,"no month")</f>
        <v>1</v>
      </c>
      <c r="C1070" s="12" t="str">
        <f>LEFT('All Transactions'!$E1070,3)</f>
        <v>Jan</v>
      </c>
      <c r="D1070" s="12" t="str">
        <f t="shared" si="33"/>
        <v>2026</v>
      </c>
      <c r="E1070" s="16" t="s">
        <v>3449</v>
      </c>
      <c r="F1070" s="17" t="s">
        <v>3453</v>
      </c>
      <c r="G1070" s="18" t="s">
        <v>28</v>
      </c>
      <c r="H1070" s="19">
        <v>100</v>
      </c>
      <c r="I1070" s="20" t="s">
        <v>3454</v>
      </c>
      <c r="J1070" s="20" t="s">
        <v>3455</v>
      </c>
      <c r="K1070" s="21" t="s">
        <v>3456</v>
      </c>
      <c r="L1070" s="20" t="s">
        <v>32</v>
      </c>
      <c r="M1070" t="str">
        <f>TEXT(A1070,"dddd")</f>
        <v>Friday</v>
      </c>
      <c r="N1070" s="35">
        <f>DATE(Table4[[#This Row],[year]],Table4[[#This Row],[month2]],Table4[[#This Row],[day]])</f>
        <v>46049</v>
      </c>
    </row>
    <row r="1071" spans="1:14" ht="16" x14ac:dyDescent="0.35">
      <c r="A1071" t="str">
        <f t="shared" si="32"/>
        <v>27</v>
      </c>
      <c r="B1071">
        <f>_xlfn.SWITCH(Table4[[#This Row],[month]],"jan",1,"feb",2,"mar",3,"apr",4,"may",5,"jun",6,"jul",7,"aug",8,"sep",9,"oct",10,"nov",11,"dec",12,"no month")</f>
        <v>1</v>
      </c>
      <c r="C1071" s="12" t="str">
        <f>LEFT('All Transactions'!$E1071,3)</f>
        <v>Jan</v>
      </c>
      <c r="D1071" s="12" t="str">
        <f t="shared" si="33"/>
        <v>2026</v>
      </c>
      <c r="E1071" s="22" t="s">
        <v>3449</v>
      </c>
      <c r="F1071" s="23" t="s">
        <v>1615</v>
      </c>
      <c r="G1071" s="18" t="s">
        <v>28</v>
      </c>
      <c r="H1071" s="24">
        <v>30</v>
      </c>
      <c r="I1071" s="25" t="s">
        <v>3457</v>
      </c>
      <c r="J1071" s="25" t="s">
        <v>3458</v>
      </c>
      <c r="K1071" s="26" t="s">
        <v>3459</v>
      </c>
      <c r="L1071" s="25" t="s">
        <v>32</v>
      </c>
      <c r="M1071" t="str">
        <f>TEXT(A1071,"dddd")</f>
        <v>Friday</v>
      </c>
      <c r="N1071" s="35">
        <f>DATE(Table4[[#This Row],[year]],Table4[[#This Row],[month2]],Table4[[#This Row],[day]])</f>
        <v>46049</v>
      </c>
    </row>
    <row r="1072" spans="1:14" ht="16" x14ac:dyDescent="0.35">
      <c r="A1072" t="str">
        <f t="shared" si="32"/>
        <v>26</v>
      </c>
      <c r="B1072">
        <f>_xlfn.SWITCH(Table4[[#This Row],[month]],"jan",1,"feb",2,"mar",3,"apr",4,"may",5,"jun",6,"jul",7,"aug",8,"sep",9,"oct",10,"nov",11,"dec",12,"no month")</f>
        <v>1</v>
      </c>
      <c r="C1072" s="12" t="str">
        <f>LEFT('All Transactions'!$E1072,3)</f>
        <v>Jan</v>
      </c>
      <c r="D1072" s="12" t="str">
        <f t="shared" si="33"/>
        <v>2026</v>
      </c>
      <c r="E1072" s="16" t="s">
        <v>3460</v>
      </c>
      <c r="F1072" s="17" t="s">
        <v>641</v>
      </c>
      <c r="G1072" s="18" t="s">
        <v>28</v>
      </c>
      <c r="H1072" s="19">
        <v>20</v>
      </c>
      <c r="I1072" s="20" t="s">
        <v>3461</v>
      </c>
      <c r="J1072" s="20" t="s">
        <v>3462</v>
      </c>
      <c r="K1072" s="21" t="s">
        <v>3463</v>
      </c>
      <c r="L1072" s="20" t="s">
        <v>32</v>
      </c>
      <c r="M1072" t="str">
        <f>TEXT(A1072,"dddd")</f>
        <v>Thursday</v>
      </c>
      <c r="N1072" s="35">
        <f>DATE(Table4[[#This Row],[year]],Table4[[#This Row],[month2]],Table4[[#This Row],[day]])</f>
        <v>46048</v>
      </c>
    </row>
    <row r="1073" spans="1:14" ht="16" x14ac:dyDescent="0.35">
      <c r="A1073" t="str">
        <f t="shared" si="32"/>
        <v>26</v>
      </c>
      <c r="B1073">
        <f>_xlfn.SWITCH(Table4[[#This Row],[month]],"jan",1,"feb",2,"mar",3,"apr",4,"may",5,"jun",6,"jul",7,"aug",8,"sep",9,"oct",10,"nov",11,"dec",12,"no month")</f>
        <v>1</v>
      </c>
      <c r="C1073" s="12" t="str">
        <f>LEFT('All Transactions'!$E1073,3)</f>
        <v>Jan</v>
      </c>
      <c r="D1073" s="12" t="str">
        <f t="shared" si="33"/>
        <v>2026</v>
      </c>
      <c r="E1073" s="22" t="s">
        <v>3460</v>
      </c>
      <c r="F1073" s="23" t="s">
        <v>3464</v>
      </c>
      <c r="G1073" s="27" t="s">
        <v>54</v>
      </c>
      <c r="H1073" s="24">
        <v>1500</v>
      </c>
      <c r="I1073" s="25" t="s">
        <v>156</v>
      </c>
      <c r="J1073" s="25" t="s">
        <v>3465</v>
      </c>
      <c r="K1073" s="26" t="s">
        <v>3466</v>
      </c>
      <c r="L1073" s="25" t="s">
        <v>58</v>
      </c>
      <c r="M1073" t="str">
        <f>TEXT(A1073,"dddd")</f>
        <v>Thursday</v>
      </c>
      <c r="N1073" s="35">
        <f>DATE(Table4[[#This Row],[year]],Table4[[#This Row],[month2]],Table4[[#This Row],[day]])</f>
        <v>46048</v>
      </c>
    </row>
    <row r="1074" spans="1:14" ht="16" x14ac:dyDescent="0.35">
      <c r="A1074" t="str">
        <f t="shared" si="32"/>
        <v>26</v>
      </c>
      <c r="B1074">
        <f>_xlfn.SWITCH(Table4[[#This Row],[month]],"jan",1,"feb",2,"mar",3,"apr",4,"may",5,"jun",6,"jul",7,"aug",8,"sep",9,"oct",10,"nov",11,"dec",12,"no month")</f>
        <v>1</v>
      </c>
      <c r="C1074" s="12" t="str">
        <f>LEFT('All Transactions'!$E1074,3)</f>
        <v>Jan</v>
      </c>
      <c r="D1074" s="12" t="str">
        <f t="shared" si="33"/>
        <v>2026</v>
      </c>
      <c r="E1074" s="16" t="s">
        <v>3460</v>
      </c>
      <c r="F1074" s="17" t="s">
        <v>1148</v>
      </c>
      <c r="G1074" s="18" t="s">
        <v>28</v>
      </c>
      <c r="H1074" s="19">
        <v>2500</v>
      </c>
      <c r="I1074" s="20" t="s">
        <v>3443</v>
      </c>
      <c r="J1074" s="20" t="s">
        <v>3467</v>
      </c>
      <c r="K1074" s="21" t="s">
        <v>3468</v>
      </c>
      <c r="L1074" s="20" t="s">
        <v>32</v>
      </c>
      <c r="M1074" t="str">
        <f>TEXT(A1074,"dddd")</f>
        <v>Thursday</v>
      </c>
      <c r="N1074" s="35">
        <f>DATE(Table4[[#This Row],[year]],Table4[[#This Row],[month2]],Table4[[#This Row],[day]])</f>
        <v>46048</v>
      </c>
    </row>
    <row r="1075" spans="1:14" ht="16" x14ac:dyDescent="0.35">
      <c r="A1075" t="str">
        <f t="shared" si="32"/>
        <v>26</v>
      </c>
      <c r="B1075">
        <f>_xlfn.SWITCH(Table4[[#This Row],[month]],"jan",1,"feb",2,"mar",3,"apr",4,"may",5,"jun",6,"jul",7,"aug",8,"sep",9,"oct",10,"nov",11,"dec",12,"no month")</f>
        <v>1</v>
      </c>
      <c r="C1075" s="12" t="str">
        <f>LEFT('All Transactions'!$E1075,3)</f>
        <v>Jan</v>
      </c>
      <c r="D1075" s="12" t="str">
        <f t="shared" si="33"/>
        <v>2026</v>
      </c>
      <c r="E1075" s="22" t="s">
        <v>3460</v>
      </c>
      <c r="F1075" s="23" t="s">
        <v>1164</v>
      </c>
      <c r="G1075" s="27" t="s">
        <v>54</v>
      </c>
      <c r="H1075" s="24">
        <v>1650</v>
      </c>
      <c r="I1075" s="25" t="s">
        <v>947</v>
      </c>
      <c r="J1075" s="25" t="s">
        <v>3469</v>
      </c>
      <c r="K1075" s="26" t="s">
        <v>3470</v>
      </c>
      <c r="L1075" s="25" t="s">
        <v>58</v>
      </c>
      <c r="M1075" t="str">
        <f>TEXT(A1075,"dddd")</f>
        <v>Thursday</v>
      </c>
      <c r="N1075" s="35">
        <f>DATE(Table4[[#This Row],[year]],Table4[[#This Row],[month2]],Table4[[#This Row],[day]])</f>
        <v>46048</v>
      </c>
    </row>
    <row r="1076" spans="1:14" ht="16" x14ac:dyDescent="0.35">
      <c r="A1076" t="str">
        <f t="shared" si="32"/>
        <v>25</v>
      </c>
      <c r="B1076">
        <f>_xlfn.SWITCH(Table4[[#This Row],[month]],"jan",1,"feb",2,"mar",3,"apr",4,"may",5,"jun",6,"jul",7,"aug",8,"sep",9,"oct",10,"nov",11,"dec",12,"no month")</f>
        <v>1</v>
      </c>
      <c r="C1076" s="12" t="str">
        <f>LEFT('All Transactions'!$E1076,3)</f>
        <v>Jan</v>
      </c>
      <c r="D1076" s="12" t="str">
        <f t="shared" si="33"/>
        <v>2026</v>
      </c>
      <c r="E1076" s="16" t="s">
        <v>3471</v>
      </c>
      <c r="F1076" s="17" t="s">
        <v>395</v>
      </c>
      <c r="G1076" s="18" t="s">
        <v>28</v>
      </c>
      <c r="H1076" s="19">
        <v>440</v>
      </c>
      <c r="I1076" s="20" t="s">
        <v>3384</v>
      </c>
      <c r="J1076" s="20" t="s">
        <v>3472</v>
      </c>
      <c r="K1076" s="21" t="s">
        <v>3473</v>
      </c>
      <c r="L1076" s="20" t="s">
        <v>32</v>
      </c>
      <c r="M1076" t="str">
        <f>TEXT(A1076,"dddd")</f>
        <v>Wednesday</v>
      </c>
      <c r="N1076" s="35">
        <f>DATE(Table4[[#This Row],[year]],Table4[[#This Row],[month2]],Table4[[#This Row],[day]])</f>
        <v>46047</v>
      </c>
    </row>
    <row r="1077" spans="1:14" ht="16" x14ac:dyDescent="0.35">
      <c r="A1077" t="str">
        <f t="shared" si="32"/>
        <v>25</v>
      </c>
      <c r="B1077">
        <f>_xlfn.SWITCH(Table4[[#This Row],[month]],"jan",1,"feb",2,"mar",3,"apr",4,"may",5,"jun",6,"jul",7,"aug",8,"sep",9,"oct",10,"nov",11,"dec",12,"no month")</f>
        <v>1</v>
      </c>
      <c r="C1077" s="12" t="str">
        <f>LEFT('All Transactions'!$E1077,3)</f>
        <v>Jan</v>
      </c>
      <c r="D1077" s="12" t="str">
        <f t="shared" si="33"/>
        <v>2026</v>
      </c>
      <c r="E1077" s="22" t="s">
        <v>3471</v>
      </c>
      <c r="F1077" s="23" t="s">
        <v>3474</v>
      </c>
      <c r="G1077" s="18" t="s">
        <v>28</v>
      </c>
      <c r="H1077" s="24">
        <v>20</v>
      </c>
      <c r="I1077" s="25" t="s">
        <v>3475</v>
      </c>
      <c r="J1077" s="25" t="s">
        <v>3476</v>
      </c>
      <c r="K1077" s="26" t="s">
        <v>3477</v>
      </c>
      <c r="L1077" s="25" t="s">
        <v>32</v>
      </c>
      <c r="M1077" t="str">
        <f>TEXT(A1077,"dddd")</f>
        <v>Wednesday</v>
      </c>
      <c r="N1077" s="35">
        <f>DATE(Table4[[#This Row],[year]],Table4[[#This Row],[month2]],Table4[[#This Row],[day]])</f>
        <v>46047</v>
      </c>
    </row>
    <row r="1078" spans="1:14" ht="16" x14ac:dyDescent="0.35">
      <c r="A1078" t="str">
        <f t="shared" si="32"/>
        <v>24</v>
      </c>
      <c r="B1078">
        <f>_xlfn.SWITCH(Table4[[#This Row],[month]],"jan",1,"feb",2,"mar",3,"apr",4,"may",5,"jun",6,"jul",7,"aug",8,"sep",9,"oct",10,"nov",11,"dec",12,"no month")</f>
        <v>1</v>
      </c>
      <c r="C1078" s="12" t="str">
        <f>LEFT('All Transactions'!$E1078,3)</f>
        <v>Jan</v>
      </c>
      <c r="D1078" s="12" t="str">
        <f t="shared" si="33"/>
        <v>2026</v>
      </c>
      <c r="E1078" s="16" t="s">
        <v>3478</v>
      </c>
      <c r="F1078" s="17" t="s">
        <v>616</v>
      </c>
      <c r="G1078" s="18" t="s">
        <v>28</v>
      </c>
      <c r="H1078" s="19">
        <v>78</v>
      </c>
      <c r="I1078" s="20" t="s">
        <v>3479</v>
      </c>
      <c r="J1078" s="20" t="s">
        <v>3480</v>
      </c>
      <c r="K1078" s="21" t="s">
        <v>3481</v>
      </c>
      <c r="L1078" s="20" t="s">
        <v>32</v>
      </c>
      <c r="M1078" t="str">
        <f>TEXT(A1078,"dddd")</f>
        <v>Tuesday</v>
      </c>
      <c r="N1078" s="35">
        <f>DATE(Table4[[#This Row],[year]],Table4[[#This Row],[month2]],Table4[[#This Row],[day]])</f>
        <v>46046</v>
      </c>
    </row>
    <row r="1079" spans="1:14" ht="16" x14ac:dyDescent="0.35">
      <c r="A1079" t="str">
        <f t="shared" si="32"/>
        <v>24</v>
      </c>
      <c r="B1079">
        <f>_xlfn.SWITCH(Table4[[#This Row],[month]],"jan",1,"feb",2,"mar",3,"apr",4,"may",5,"jun",6,"jul",7,"aug",8,"sep",9,"oct",10,"nov",11,"dec",12,"no month")</f>
        <v>1</v>
      </c>
      <c r="C1079" s="12" t="str">
        <f>LEFT('All Transactions'!$E1079,3)</f>
        <v>Jan</v>
      </c>
      <c r="D1079" s="12" t="str">
        <f t="shared" si="33"/>
        <v>2026</v>
      </c>
      <c r="E1079" s="22" t="s">
        <v>3478</v>
      </c>
      <c r="F1079" s="23" t="s">
        <v>1431</v>
      </c>
      <c r="G1079" s="18" t="s">
        <v>28</v>
      </c>
      <c r="H1079" s="24">
        <v>40</v>
      </c>
      <c r="I1079" s="25" t="s">
        <v>915</v>
      </c>
      <c r="J1079" s="25" t="s">
        <v>3482</v>
      </c>
      <c r="K1079" s="26" t="s">
        <v>3483</v>
      </c>
      <c r="L1079" s="25" t="s">
        <v>32</v>
      </c>
      <c r="M1079" t="str">
        <f>TEXT(A1079,"dddd")</f>
        <v>Tuesday</v>
      </c>
      <c r="N1079" s="35">
        <f>DATE(Table4[[#This Row],[year]],Table4[[#This Row],[month2]],Table4[[#This Row],[day]])</f>
        <v>46046</v>
      </c>
    </row>
    <row r="1080" spans="1:14" ht="16" x14ac:dyDescent="0.35">
      <c r="A1080" t="str">
        <f t="shared" si="32"/>
        <v>24</v>
      </c>
      <c r="B1080">
        <f>_xlfn.SWITCH(Table4[[#This Row],[month]],"jan",1,"feb",2,"mar",3,"apr",4,"may",5,"jun",6,"jul",7,"aug",8,"sep",9,"oct",10,"nov",11,"dec",12,"no month")</f>
        <v>1</v>
      </c>
      <c r="C1080" s="12" t="str">
        <f>LEFT('All Transactions'!$E1080,3)</f>
        <v>Jan</v>
      </c>
      <c r="D1080" s="12" t="str">
        <f t="shared" si="33"/>
        <v>2026</v>
      </c>
      <c r="E1080" s="16" t="s">
        <v>3478</v>
      </c>
      <c r="F1080" s="17" t="s">
        <v>3484</v>
      </c>
      <c r="G1080" s="27" t="s">
        <v>54</v>
      </c>
      <c r="H1080" s="19">
        <v>150</v>
      </c>
      <c r="I1080" s="20" t="s">
        <v>947</v>
      </c>
      <c r="J1080" s="20" t="s">
        <v>3485</v>
      </c>
      <c r="K1080" s="21" t="s">
        <v>3486</v>
      </c>
      <c r="L1080" s="20" t="s">
        <v>58</v>
      </c>
      <c r="M1080" t="str">
        <f>TEXT(A1080,"dddd")</f>
        <v>Tuesday</v>
      </c>
      <c r="N1080" s="35">
        <f>DATE(Table4[[#This Row],[year]],Table4[[#This Row],[month2]],Table4[[#This Row],[day]])</f>
        <v>46046</v>
      </c>
    </row>
    <row r="1081" spans="1:14" ht="16" x14ac:dyDescent="0.35">
      <c r="A1081" t="str">
        <f t="shared" si="32"/>
        <v>24</v>
      </c>
      <c r="B1081">
        <f>_xlfn.SWITCH(Table4[[#This Row],[month]],"jan",1,"feb",2,"mar",3,"apr",4,"may",5,"jun",6,"jul",7,"aug",8,"sep",9,"oct",10,"nov",11,"dec",12,"no month")</f>
        <v>1</v>
      </c>
      <c r="C1081" s="12" t="str">
        <f>LEFT('All Transactions'!$E1081,3)</f>
        <v>Jan</v>
      </c>
      <c r="D1081" s="12" t="str">
        <f t="shared" si="33"/>
        <v>2026</v>
      </c>
      <c r="E1081" s="22" t="s">
        <v>3478</v>
      </c>
      <c r="F1081" s="23" t="s">
        <v>1464</v>
      </c>
      <c r="G1081" s="18" t="s">
        <v>28</v>
      </c>
      <c r="H1081" s="24">
        <v>25</v>
      </c>
      <c r="I1081" s="25" t="s">
        <v>3487</v>
      </c>
      <c r="J1081" s="25" t="s">
        <v>3488</v>
      </c>
      <c r="K1081" s="26" t="s">
        <v>3489</v>
      </c>
      <c r="L1081" s="25" t="s">
        <v>32</v>
      </c>
      <c r="M1081" t="str">
        <f>TEXT(A1081,"dddd")</f>
        <v>Tuesday</v>
      </c>
      <c r="N1081" s="35">
        <f>DATE(Table4[[#This Row],[year]],Table4[[#This Row],[month2]],Table4[[#This Row],[day]])</f>
        <v>46046</v>
      </c>
    </row>
    <row r="1082" spans="1:14" ht="16" x14ac:dyDescent="0.35">
      <c r="A1082" t="str">
        <f t="shared" si="32"/>
        <v>24</v>
      </c>
      <c r="B1082">
        <f>_xlfn.SWITCH(Table4[[#This Row],[month]],"jan",1,"feb",2,"mar",3,"apr",4,"may",5,"jun",6,"jul",7,"aug",8,"sep",9,"oct",10,"nov",11,"dec",12,"no month")</f>
        <v>1</v>
      </c>
      <c r="C1082" s="12" t="str">
        <f>LEFT('All Transactions'!$E1082,3)</f>
        <v>Jan</v>
      </c>
      <c r="D1082" s="12" t="str">
        <f t="shared" si="33"/>
        <v>2026</v>
      </c>
      <c r="E1082" s="16" t="s">
        <v>3478</v>
      </c>
      <c r="F1082" s="17" t="s">
        <v>3490</v>
      </c>
      <c r="G1082" s="18" t="s">
        <v>28</v>
      </c>
      <c r="H1082" s="19">
        <v>10</v>
      </c>
      <c r="I1082" s="20" t="s">
        <v>3491</v>
      </c>
      <c r="J1082" s="20" t="s">
        <v>3492</v>
      </c>
      <c r="K1082" s="21" t="s">
        <v>3493</v>
      </c>
      <c r="L1082" s="20" t="s">
        <v>32</v>
      </c>
      <c r="M1082" t="str">
        <f>TEXT(A1082,"dddd")</f>
        <v>Tuesday</v>
      </c>
      <c r="N1082" s="35">
        <f>DATE(Table4[[#This Row],[year]],Table4[[#This Row],[month2]],Table4[[#This Row],[day]])</f>
        <v>46046</v>
      </c>
    </row>
    <row r="1083" spans="1:14" ht="16" x14ac:dyDescent="0.35">
      <c r="A1083" t="str">
        <f t="shared" si="32"/>
        <v>23</v>
      </c>
      <c r="B1083">
        <f>_xlfn.SWITCH(Table4[[#This Row],[month]],"jan",1,"feb",2,"mar",3,"apr",4,"may",5,"jun",6,"jul",7,"aug",8,"sep",9,"oct",10,"nov",11,"dec",12,"no month")</f>
        <v>1</v>
      </c>
      <c r="C1083" s="12" t="str">
        <f>LEFT('All Transactions'!$E1083,3)</f>
        <v>Jan</v>
      </c>
      <c r="D1083" s="12" t="str">
        <f t="shared" si="33"/>
        <v>2026</v>
      </c>
      <c r="E1083" s="22" t="s">
        <v>3494</v>
      </c>
      <c r="F1083" s="23" t="s">
        <v>282</v>
      </c>
      <c r="G1083" s="18" t="s">
        <v>28</v>
      </c>
      <c r="H1083" s="24">
        <v>219</v>
      </c>
      <c r="I1083" s="25" t="s">
        <v>336</v>
      </c>
      <c r="J1083" s="25" t="s">
        <v>3495</v>
      </c>
      <c r="K1083" s="26" t="s">
        <v>3496</v>
      </c>
      <c r="L1083" s="25" t="s">
        <v>32</v>
      </c>
      <c r="M1083" t="str">
        <f>TEXT(A1083,"dddd")</f>
        <v>Monday</v>
      </c>
      <c r="N1083" s="35">
        <f>DATE(Table4[[#This Row],[year]],Table4[[#This Row],[month2]],Table4[[#This Row],[day]])</f>
        <v>46045</v>
      </c>
    </row>
    <row r="1084" spans="1:14" ht="16" x14ac:dyDescent="0.35">
      <c r="A1084" t="str">
        <f t="shared" si="32"/>
        <v>23</v>
      </c>
      <c r="B1084">
        <f>_xlfn.SWITCH(Table4[[#This Row],[month]],"jan",1,"feb",2,"mar",3,"apr",4,"may",5,"jun",6,"jul",7,"aug",8,"sep",9,"oct",10,"nov",11,"dec",12,"no month")</f>
        <v>1</v>
      </c>
      <c r="C1084" s="12" t="str">
        <f>LEFT('All Transactions'!$E1084,3)</f>
        <v>Jan</v>
      </c>
      <c r="D1084" s="12" t="str">
        <f t="shared" si="33"/>
        <v>2026</v>
      </c>
      <c r="E1084" s="16" t="s">
        <v>3494</v>
      </c>
      <c r="F1084" s="17" t="s">
        <v>561</v>
      </c>
      <c r="G1084" s="18" t="s">
        <v>28</v>
      </c>
      <c r="H1084" s="19">
        <v>330</v>
      </c>
      <c r="I1084" s="20" t="s">
        <v>3384</v>
      </c>
      <c r="J1084" s="20" t="s">
        <v>3497</v>
      </c>
      <c r="K1084" s="21" t="s">
        <v>3498</v>
      </c>
      <c r="L1084" s="20" t="s">
        <v>32</v>
      </c>
      <c r="M1084" t="str">
        <f>TEXT(A1084,"dddd")</f>
        <v>Monday</v>
      </c>
      <c r="N1084" s="35">
        <f>DATE(Table4[[#This Row],[year]],Table4[[#This Row],[month2]],Table4[[#This Row],[day]])</f>
        <v>46045</v>
      </c>
    </row>
    <row r="1085" spans="1:14" ht="16" x14ac:dyDescent="0.35">
      <c r="A1085" t="str">
        <f t="shared" si="32"/>
        <v>23</v>
      </c>
      <c r="B1085">
        <f>_xlfn.SWITCH(Table4[[#This Row],[month]],"jan",1,"feb",2,"mar",3,"apr",4,"may",5,"jun",6,"jul",7,"aug",8,"sep",9,"oct",10,"nov",11,"dec",12,"no month")</f>
        <v>1</v>
      </c>
      <c r="C1085" s="12" t="str">
        <f>LEFT('All Transactions'!$E1085,3)</f>
        <v>Jan</v>
      </c>
      <c r="D1085" s="12" t="str">
        <f t="shared" si="33"/>
        <v>2026</v>
      </c>
      <c r="E1085" s="22" t="s">
        <v>3494</v>
      </c>
      <c r="F1085" s="23" t="s">
        <v>104</v>
      </c>
      <c r="G1085" s="27" t="s">
        <v>54</v>
      </c>
      <c r="H1085" s="24">
        <v>200</v>
      </c>
      <c r="I1085" s="25" t="s">
        <v>156</v>
      </c>
      <c r="J1085" s="25" t="s">
        <v>3499</v>
      </c>
      <c r="K1085" s="26" t="s">
        <v>3500</v>
      </c>
      <c r="L1085" s="25" t="s">
        <v>58</v>
      </c>
      <c r="M1085" t="str">
        <f>TEXT(A1085,"dddd")</f>
        <v>Monday</v>
      </c>
      <c r="N1085" s="35">
        <f>DATE(Table4[[#This Row],[year]],Table4[[#This Row],[month2]],Table4[[#This Row],[day]])</f>
        <v>46045</v>
      </c>
    </row>
    <row r="1086" spans="1:14" ht="16" x14ac:dyDescent="0.35">
      <c r="A1086" t="str">
        <f t="shared" si="32"/>
        <v>23</v>
      </c>
      <c r="B1086">
        <f>_xlfn.SWITCH(Table4[[#This Row],[month]],"jan",1,"feb",2,"mar",3,"apr",4,"may",5,"jun",6,"jul",7,"aug",8,"sep",9,"oct",10,"nov",11,"dec",12,"no month")</f>
        <v>1</v>
      </c>
      <c r="C1086" s="12" t="str">
        <f>LEFT('All Transactions'!$E1086,3)</f>
        <v>Jan</v>
      </c>
      <c r="D1086" s="12" t="str">
        <f t="shared" si="33"/>
        <v>2026</v>
      </c>
      <c r="E1086" s="16" t="s">
        <v>3494</v>
      </c>
      <c r="F1086" s="17" t="s">
        <v>3501</v>
      </c>
      <c r="G1086" s="18" t="s">
        <v>28</v>
      </c>
      <c r="H1086" s="19">
        <v>100</v>
      </c>
      <c r="I1086" s="20" t="s">
        <v>167</v>
      </c>
      <c r="J1086" s="20" t="s">
        <v>3502</v>
      </c>
      <c r="K1086" s="21" t="s">
        <v>3503</v>
      </c>
      <c r="L1086" s="20" t="s">
        <v>32</v>
      </c>
      <c r="M1086" t="str">
        <f>TEXT(A1086,"dddd")</f>
        <v>Monday</v>
      </c>
      <c r="N1086" s="35">
        <f>DATE(Table4[[#This Row],[year]],Table4[[#This Row],[month2]],Table4[[#This Row],[day]])</f>
        <v>46045</v>
      </c>
    </row>
    <row r="1087" spans="1:14" ht="16" x14ac:dyDescent="0.35">
      <c r="A1087" t="str">
        <f t="shared" si="32"/>
        <v>23</v>
      </c>
      <c r="B1087">
        <f>_xlfn.SWITCH(Table4[[#This Row],[month]],"jan",1,"feb",2,"mar",3,"apr",4,"may",5,"jun",6,"jul",7,"aug",8,"sep",9,"oct",10,"nov",11,"dec",12,"no month")</f>
        <v>1</v>
      </c>
      <c r="C1087" s="12" t="str">
        <f>LEFT('All Transactions'!$E1087,3)</f>
        <v>Jan</v>
      </c>
      <c r="D1087" s="12" t="str">
        <f t="shared" si="33"/>
        <v>2026</v>
      </c>
      <c r="E1087" s="22" t="s">
        <v>3494</v>
      </c>
      <c r="F1087" s="23" t="s">
        <v>593</v>
      </c>
      <c r="G1087" s="18" t="s">
        <v>28</v>
      </c>
      <c r="H1087" s="24">
        <v>40</v>
      </c>
      <c r="I1087" s="25" t="s">
        <v>1657</v>
      </c>
      <c r="J1087" s="25" t="s">
        <v>3504</v>
      </c>
      <c r="K1087" s="26" t="s">
        <v>3505</v>
      </c>
      <c r="L1087" s="25" t="s">
        <v>32</v>
      </c>
      <c r="M1087" t="str">
        <f>TEXT(A1087,"dddd")</f>
        <v>Monday</v>
      </c>
      <c r="N1087" s="35">
        <f>DATE(Table4[[#This Row],[year]],Table4[[#This Row],[month2]],Table4[[#This Row],[day]])</f>
        <v>46045</v>
      </c>
    </row>
    <row r="1088" spans="1:14" ht="16" x14ac:dyDescent="0.35">
      <c r="A1088" t="str">
        <f t="shared" si="32"/>
        <v>23</v>
      </c>
      <c r="B1088">
        <f>_xlfn.SWITCH(Table4[[#This Row],[month]],"jan",1,"feb",2,"mar",3,"apr",4,"may",5,"jun",6,"jul",7,"aug",8,"sep",9,"oct",10,"nov",11,"dec",12,"no month")</f>
        <v>1</v>
      </c>
      <c r="C1088" s="12" t="str">
        <f>LEFT('All Transactions'!$E1088,3)</f>
        <v>Jan</v>
      </c>
      <c r="D1088" s="12" t="str">
        <f t="shared" si="33"/>
        <v>2026</v>
      </c>
      <c r="E1088" s="16" t="s">
        <v>3494</v>
      </c>
      <c r="F1088" s="17" t="s">
        <v>3506</v>
      </c>
      <c r="G1088" s="27" t="s">
        <v>54</v>
      </c>
      <c r="H1088" s="19">
        <v>200</v>
      </c>
      <c r="I1088" s="20" t="s">
        <v>1775</v>
      </c>
      <c r="J1088" s="20" t="s">
        <v>3507</v>
      </c>
      <c r="K1088" s="21" t="s">
        <v>3508</v>
      </c>
      <c r="L1088" s="20" t="s">
        <v>58</v>
      </c>
      <c r="M1088" t="str">
        <f>TEXT(A1088,"dddd")</f>
        <v>Monday</v>
      </c>
      <c r="N1088" s="35">
        <f>DATE(Table4[[#This Row],[year]],Table4[[#This Row],[month2]],Table4[[#This Row],[day]])</f>
        <v>46045</v>
      </c>
    </row>
    <row r="1089" spans="1:14" ht="16" x14ac:dyDescent="0.35">
      <c r="A1089" t="str">
        <f t="shared" si="32"/>
        <v>22</v>
      </c>
      <c r="B1089">
        <f>_xlfn.SWITCH(Table4[[#This Row],[month]],"jan",1,"feb",2,"mar",3,"apr",4,"may",5,"jun",6,"jul",7,"aug",8,"sep",9,"oct",10,"nov",11,"dec",12,"no month")</f>
        <v>1</v>
      </c>
      <c r="C1089" s="12" t="str">
        <f>LEFT('All Transactions'!$E1089,3)</f>
        <v>Jan</v>
      </c>
      <c r="D1089" s="12" t="str">
        <f t="shared" si="33"/>
        <v>2026</v>
      </c>
      <c r="E1089" s="22" t="s">
        <v>3509</v>
      </c>
      <c r="F1089" s="23" t="s">
        <v>1917</v>
      </c>
      <c r="G1089" s="18" t="s">
        <v>28</v>
      </c>
      <c r="H1089" s="24">
        <v>6300</v>
      </c>
      <c r="I1089" s="25" t="s">
        <v>167</v>
      </c>
      <c r="J1089" s="25" t="s">
        <v>3510</v>
      </c>
      <c r="K1089" s="26" t="s">
        <v>3511</v>
      </c>
      <c r="L1089" s="25" t="s">
        <v>32</v>
      </c>
      <c r="M1089" t="str">
        <f>TEXT(A1089,"dddd")</f>
        <v>Sunday</v>
      </c>
      <c r="N1089" s="35">
        <f>DATE(Table4[[#This Row],[year]],Table4[[#This Row],[month2]],Table4[[#This Row],[day]])</f>
        <v>46044</v>
      </c>
    </row>
    <row r="1090" spans="1:14" ht="16" x14ac:dyDescent="0.35">
      <c r="A1090" t="str">
        <f t="shared" si="32"/>
        <v>22</v>
      </c>
      <c r="B1090">
        <f>_xlfn.SWITCH(Table4[[#This Row],[month]],"jan",1,"feb",2,"mar",3,"apr",4,"may",5,"jun",6,"jul",7,"aug",8,"sep",9,"oct",10,"nov",11,"dec",12,"no month")</f>
        <v>1</v>
      </c>
      <c r="C1090" s="12" t="str">
        <f>LEFT('All Transactions'!$E1090,3)</f>
        <v>Jan</v>
      </c>
      <c r="D1090" s="12" t="str">
        <f t="shared" si="33"/>
        <v>2026</v>
      </c>
      <c r="E1090" s="16" t="s">
        <v>3509</v>
      </c>
      <c r="F1090" s="17" t="s">
        <v>1035</v>
      </c>
      <c r="G1090" s="27" t="s">
        <v>54</v>
      </c>
      <c r="H1090" s="19">
        <v>7000</v>
      </c>
      <c r="I1090" s="20" t="s">
        <v>1090</v>
      </c>
      <c r="J1090" s="20" t="s">
        <v>3512</v>
      </c>
      <c r="K1090" s="21" t="s">
        <v>3513</v>
      </c>
      <c r="L1090" s="20" t="s">
        <v>58</v>
      </c>
      <c r="M1090" t="str">
        <f>TEXT(A1090,"dddd")</f>
        <v>Sunday</v>
      </c>
      <c r="N1090" s="35">
        <f>DATE(Table4[[#This Row],[year]],Table4[[#This Row],[month2]],Table4[[#This Row],[day]])</f>
        <v>46044</v>
      </c>
    </row>
    <row r="1091" spans="1:14" ht="16" x14ac:dyDescent="0.35">
      <c r="A1091" t="str">
        <f t="shared" ref="A1091:A1154" si="34">MID(E1091,5,2)</f>
        <v>22</v>
      </c>
      <c r="B1091">
        <f>_xlfn.SWITCH(Table4[[#This Row],[month]],"jan",1,"feb",2,"mar",3,"apr",4,"may",5,"jun",6,"jul",7,"aug",8,"sep",9,"oct",10,"nov",11,"dec",12,"no month")</f>
        <v>1</v>
      </c>
      <c r="C1091" s="12" t="str">
        <f>LEFT('All Transactions'!$E1091,3)</f>
        <v>Jan</v>
      </c>
      <c r="D1091" s="12" t="str">
        <f t="shared" ref="D1091:D1154" si="35">RIGHT(E1091,4)</f>
        <v>2026</v>
      </c>
      <c r="E1091" s="22" t="s">
        <v>3509</v>
      </c>
      <c r="F1091" s="23" t="s">
        <v>1611</v>
      </c>
      <c r="G1091" s="18" t="s">
        <v>28</v>
      </c>
      <c r="H1091" s="24">
        <v>95</v>
      </c>
      <c r="I1091" s="25" t="s">
        <v>3514</v>
      </c>
      <c r="J1091" s="25" t="s">
        <v>3515</v>
      </c>
      <c r="K1091" s="26" t="s">
        <v>3516</v>
      </c>
      <c r="L1091" s="25" t="s">
        <v>32</v>
      </c>
      <c r="M1091" t="str">
        <f>TEXT(A1091,"dddd")</f>
        <v>Sunday</v>
      </c>
      <c r="N1091" s="35">
        <f>DATE(Table4[[#This Row],[year]],Table4[[#This Row],[month2]],Table4[[#This Row],[day]])</f>
        <v>46044</v>
      </c>
    </row>
    <row r="1092" spans="1:14" ht="16" x14ac:dyDescent="0.35">
      <c r="A1092" t="str">
        <f t="shared" si="34"/>
        <v>22</v>
      </c>
      <c r="B1092">
        <f>_xlfn.SWITCH(Table4[[#This Row],[month]],"jan",1,"feb",2,"mar",3,"apr",4,"may",5,"jun",6,"jul",7,"aug",8,"sep",9,"oct",10,"nov",11,"dec",12,"no month")</f>
        <v>1</v>
      </c>
      <c r="C1092" s="12" t="str">
        <f>LEFT('All Transactions'!$E1092,3)</f>
        <v>Jan</v>
      </c>
      <c r="D1092" s="12" t="str">
        <f t="shared" si="35"/>
        <v>2026</v>
      </c>
      <c r="E1092" s="16" t="s">
        <v>3509</v>
      </c>
      <c r="F1092" s="17" t="s">
        <v>3517</v>
      </c>
      <c r="G1092" s="27" t="s">
        <v>54</v>
      </c>
      <c r="H1092" s="19">
        <v>50</v>
      </c>
      <c r="I1092" s="20" t="s">
        <v>947</v>
      </c>
      <c r="J1092" s="20" t="s">
        <v>3518</v>
      </c>
      <c r="K1092" s="21" t="s">
        <v>3519</v>
      </c>
      <c r="L1092" s="20" t="s">
        <v>58</v>
      </c>
      <c r="M1092" t="str">
        <f>TEXT(A1092,"dddd")</f>
        <v>Sunday</v>
      </c>
      <c r="N1092" s="35">
        <f>DATE(Table4[[#This Row],[year]],Table4[[#This Row],[month2]],Table4[[#This Row],[day]])</f>
        <v>46044</v>
      </c>
    </row>
    <row r="1093" spans="1:14" ht="16" x14ac:dyDescent="0.35">
      <c r="A1093" t="str">
        <f t="shared" si="34"/>
        <v>21</v>
      </c>
      <c r="B1093">
        <f>_xlfn.SWITCH(Table4[[#This Row],[month]],"jan",1,"feb",2,"mar",3,"apr",4,"may",5,"jun",6,"jul",7,"aug",8,"sep",9,"oct",10,"nov",11,"dec",12,"no month")</f>
        <v>1</v>
      </c>
      <c r="C1093" s="12" t="str">
        <f>LEFT('All Transactions'!$E1093,3)</f>
        <v>Jan</v>
      </c>
      <c r="D1093" s="12" t="str">
        <f t="shared" si="35"/>
        <v>2026</v>
      </c>
      <c r="E1093" s="22" t="s">
        <v>3520</v>
      </c>
      <c r="F1093" s="23" t="s">
        <v>1210</v>
      </c>
      <c r="G1093" s="18" t="s">
        <v>28</v>
      </c>
      <c r="H1093" s="24">
        <v>100</v>
      </c>
      <c r="I1093" s="25" t="s">
        <v>3384</v>
      </c>
      <c r="J1093" s="25" t="s">
        <v>3521</v>
      </c>
      <c r="K1093" s="26" t="s">
        <v>3522</v>
      </c>
      <c r="L1093" s="25" t="s">
        <v>32</v>
      </c>
      <c r="M1093" t="str">
        <f>TEXT(A1093,"dddd")</f>
        <v>Saturday</v>
      </c>
      <c r="N1093" s="35">
        <f>DATE(Table4[[#This Row],[year]],Table4[[#This Row],[month2]],Table4[[#This Row],[day]])</f>
        <v>46043</v>
      </c>
    </row>
    <row r="1094" spans="1:14" ht="16" x14ac:dyDescent="0.35">
      <c r="A1094" t="str">
        <f t="shared" si="34"/>
        <v>21</v>
      </c>
      <c r="B1094">
        <f>_xlfn.SWITCH(Table4[[#This Row],[month]],"jan",1,"feb",2,"mar",3,"apr",4,"may",5,"jun",6,"jul",7,"aug",8,"sep",9,"oct",10,"nov",11,"dec",12,"no month")</f>
        <v>1</v>
      </c>
      <c r="C1094" s="12" t="str">
        <f>LEFT('All Transactions'!$E1094,3)</f>
        <v>Jan</v>
      </c>
      <c r="D1094" s="12" t="str">
        <f t="shared" si="35"/>
        <v>2026</v>
      </c>
      <c r="E1094" s="16" t="s">
        <v>3520</v>
      </c>
      <c r="F1094" s="17" t="s">
        <v>3204</v>
      </c>
      <c r="G1094" s="27" t="s">
        <v>54</v>
      </c>
      <c r="H1094" s="19">
        <v>80</v>
      </c>
      <c r="I1094" s="20" t="s">
        <v>3523</v>
      </c>
      <c r="J1094" s="20" t="s">
        <v>3524</v>
      </c>
      <c r="K1094" s="21" t="s">
        <v>3525</v>
      </c>
      <c r="L1094" s="20" t="s">
        <v>58</v>
      </c>
      <c r="M1094" t="str">
        <f>TEXT(A1094,"dddd")</f>
        <v>Saturday</v>
      </c>
      <c r="N1094" s="35">
        <f>DATE(Table4[[#This Row],[year]],Table4[[#This Row],[month2]],Table4[[#This Row],[day]])</f>
        <v>46043</v>
      </c>
    </row>
    <row r="1095" spans="1:14" ht="16" x14ac:dyDescent="0.35">
      <c r="A1095" t="str">
        <f t="shared" si="34"/>
        <v>21</v>
      </c>
      <c r="B1095">
        <f>_xlfn.SWITCH(Table4[[#This Row],[month]],"jan",1,"feb",2,"mar",3,"apr",4,"may",5,"jun",6,"jul",7,"aug",8,"sep",9,"oct",10,"nov",11,"dec",12,"no month")</f>
        <v>1</v>
      </c>
      <c r="C1095" s="12" t="str">
        <f>LEFT('All Transactions'!$E1095,3)</f>
        <v>Jan</v>
      </c>
      <c r="D1095" s="12" t="str">
        <f t="shared" si="35"/>
        <v>2026</v>
      </c>
      <c r="E1095" s="22" t="s">
        <v>3520</v>
      </c>
      <c r="F1095" s="23" t="s">
        <v>3526</v>
      </c>
      <c r="G1095" s="18" t="s">
        <v>28</v>
      </c>
      <c r="H1095" s="24">
        <v>60</v>
      </c>
      <c r="I1095" s="25" t="s">
        <v>3527</v>
      </c>
      <c r="J1095" s="25" t="s">
        <v>3528</v>
      </c>
      <c r="K1095" s="26" t="s">
        <v>3529</v>
      </c>
      <c r="L1095" s="25" t="s">
        <v>32</v>
      </c>
      <c r="M1095" t="str">
        <f>TEXT(A1095,"dddd")</f>
        <v>Saturday</v>
      </c>
      <c r="N1095" s="35">
        <f>DATE(Table4[[#This Row],[year]],Table4[[#This Row],[month2]],Table4[[#This Row],[day]])</f>
        <v>46043</v>
      </c>
    </row>
    <row r="1096" spans="1:14" ht="16" x14ac:dyDescent="0.35">
      <c r="A1096" t="str">
        <f t="shared" si="34"/>
        <v>20</v>
      </c>
      <c r="B1096">
        <f>_xlfn.SWITCH(Table4[[#This Row],[month]],"jan",1,"feb",2,"mar",3,"apr",4,"may",5,"jun",6,"jul",7,"aug",8,"sep",9,"oct",10,"nov",11,"dec",12,"no month")</f>
        <v>1</v>
      </c>
      <c r="C1096" s="12" t="str">
        <f>LEFT('All Transactions'!$E1096,3)</f>
        <v>Jan</v>
      </c>
      <c r="D1096" s="12" t="str">
        <f t="shared" si="35"/>
        <v>2026</v>
      </c>
      <c r="E1096" s="16" t="s">
        <v>3530</v>
      </c>
      <c r="F1096" s="17" t="s">
        <v>723</v>
      </c>
      <c r="G1096" s="27" t="s">
        <v>54</v>
      </c>
      <c r="H1096" s="19">
        <v>55</v>
      </c>
      <c r="I1096" s="20" t="s">
        <v>3531</v>
      </c>
      <c r="J1096" s="20" t="s">
        <v>3532</v>
      </c>
      <c r="K1096" s="21" t="s">
        <v>3533</v>
      </c>
      <c r="L1096" s="20" t="s">
        <v>58</v>
      </c>
      <c r="M1096" t="str">
        <f>TEXT(A1096,"dddd")</f>
        <v>Friday</v>
      </c>
      <c r="N1096" s="35">
        <f>DATE(Table4[[#This Row],[year]],Table4[[#This Row],[month2]],Table4[[#This Row],[day]])</f>
        <v>46042</v>
      </c>
    </row>
    <row r="1097" spans="1:14" ht="16" x14ac:dyDescent="0.35">
      <c r="A1097" t="str">
        <f t="shared" si="34"/>
        <v>20</v>
      </c>
      <c r="B1097">
        <f>_xlfn.SWITCH(Table4[[#This Row],[month]],"jan",1,"feb",2,"mar",3,"apr",4,"may",5,"jun",6,"jul",7,"aug",8,"sep",9,"oct",10,"nov",11,"dec",12,"no month")</f>
        <v>1</v>
      </c>
      <c r="C1097" s="12" t="str">
        <f>LEFT('All Transactions'!$E1097,3)</f>
        <v>Jan</v>
      </c>
      <c r="D1097" s="12" t="str">
        <f t="shared" si="35"/>
        <v>2026</v>
      </c>
      <c r="E1097" s="22" t="s">
        <v>3530</v>
      </c>
      <c r="F1097" s="23" t="s">
        <v>3534</v>
      </c>
      <c r="G1097" s="27" t="s">
        <v>54</v>
      </c>
      <c r="H1097" s="24">
        <v>120</v>
      </c>
      <c r="I1097" s="25" t="s">
        <v>3535</v>
      </c>
      <c r="J1097" s="25" t="s">
        <v>3536</v>
      </c>
      <c r="K1097" s="26" t="s">
        <v>3537</v>
      </c>
      <c r="L1097" s="25" t="s">
        <v>58</v>
      </c>
      <c r="M1097" t="str">
        <f>TEXT(A1097,"dddd")</f>
        <v>Friday</v>
      </c>
      <c r="N1097" s="35">
        <f>DATE(Table4[[#This Row],[year]],Table4[[#This Row],[month2]],Table4[[#This Row],[day]])</f>
        <v>46042</v>
      </c>
    </row>
    <row r="1098" spans="1:14" ht="16" x14ac:dyDescent="0.35">
      <c r="A1098" t="str">
        <f t="shared" si="34"/>
        <v>20</v>
      </c>
      <c r="B1098">
        <f>_xlfn.SWITCH(Table4[[#This Row],[month]],"jan",1,"feb",2,"mar",3,"apr",4,"may",5,"jun",6,"jul",7,"aug",8,"sep",9,"oct",10,"nov",11,"dec",12,"no month")</f>
        <v>1</v>
      </c>
      <c r="C1098" s="12" t="str">
        <f>LEFT('All Transactions'!$E1098,3)</f>
        <v>Jan</v>
      </c>
      <c r="D1098" s="12" t="str">
        <f t="shared" si="35"/>
        <v>2026</v>
      </c>
      <c r="E1098" s="16" t="s">
        <v>3530</v>
      </c>
      <c r="F1098" s="17" t="s">
        <v>3464</v>
      </c>
      <c r="G1098" s="27" t="s">
        <v>54</v>
      </c>
      <c r="H1098" s="19">
        <v>100</v>
      </c>
      <c r="I1098" s="20" t="s">
        <v>947</v>
      </c>
      <c r="J1098" s="20" t="s">
        <v>3538</v>
      </c>
      <c r="K1098" s="21" t="s">
        <v>3539</v>
      </c>
      <c r="L1098" s="20" t="s">
        <v>58</v>
      </c>
      <c r="M1098" t="str">
        <f>TEXT(A1098,"dddd")</f>
        <v>Friday</v>
      </c>
      <c r="N1098" s="35">
        <f>DATE(Table4[[#This Row],[year]],Table4[[#This Row],[month2]],Table4[[#This Row],[day]])</f>
        <v>46042</v>
      </c>
    </row>
    <row r="1099" spans="1:14" ht="16" x14ac:dyDescent="0.35">
      <c r="A1099" t="str">
        <f t="shared" si="34"/>
        <v>20</v>
      </c>
      <c r="B1099">
        <f>_xlfn.SWITCH(Table4[[#This Row],[month]],"jan",1,"feb",2,"mar",3,"apr",4,"may",5,"jun",6,"jul",7,"aug",8,"sep",9,"oct",10,"nov",11,"dec",12,"no month")</f>
        <v>1</v>
      </c>
      <c r="C1099" s="12" t="str">
        <f>LEFT('All Transactions'!$E1099,3)</f>
        <v>Jan</v>
      </c>
      <c r="D1099" s="12" t="str">
        <f t="shared" si="35"/>
        <v>2026</v>
      </c>
      <c r="E1099" s="22" t="s">
        <v>3530</v>
      </c>
      <c r="F1099" s="23" t="s">
        <v>1615</v>
      </c>
      <c r="G1099" s="18" t="s">
        <v>28</v>
      </c>
      <c r="H1099" s="24">
        <v>10</v>
      </c>
      <c r="I1099" s="25" t="s">
        <v>3540</v>
      </c>
      <c r="J1099" s="25" t="s">
        <v>3541</v>
      </c>
      <c r="K1099" s="26" t="s">
        <v>3542</v>
      </c>
      <c r="L1099" s="25" t="s">
        <v>32</v>
      </c>
      <c r="M1099" t="str">
        <f>TEXT(A1099,"dddd")</f>
        <v>Friday</v>
      </c>
      <c r="N1099" s="35">
        <f>DATE(Table4[[#This Row],[year]],Table4[[#This Row],[month2]],Table4[[#This Row],[day]])</f>
        <v>46042</v>
      </c>
    </row>
    <row r="1100" spans="1:14" ht="16" x14ac:dyDescent="0.35">
      <c r="A1100" t="str">
        <f t="shared" si="34"/>
        <v>20</v>
      </c>
      <c r="B1100">
        <f>_xlfn.SWITCH(Table4[[#This Row],[month]],"jan",1,"feb",2,"mar",3,"apr",4,"may",5,"jun",6,"jul",7,"aug",8,"sep",9,"oct",10,"nov",11,"dec",12,"no month")</f>
        <v>1</v>
      </c>
      <c r="C1100" s="12" t="str">
        <f>LEFT('All Transactions'!$E1100,3)</f>
        <v>Jan</v>
      </c>
      <c r="D1100" s="12" t="str">
        <f t="shared" si="35"/>
        <v>2026</v>
      </c>
      <c r="E1100" s="16" t="s">
        <v>3530</v>
      </c>
      <c r="F1100" s="17" t="s">
        <v>1461</v>
      </c>
      <c r="G1100" s="18" t="s">
        <v>28</v>
      </c>
      <c r="H1100" s="19">
        <v>20</v>
      </c>
      <c r="I1100" s="20" t="s">
        <v>3540</v>
      </c>
      <c r="J1100" s="20" t="s">
        <v>3543</v>
      </c>
      <c r="K1100" s="21" t="s">
        <v>3544</v>
      </c>
      <c r="L1100" s="20" t="s">
        <v>32</v>
      </c>
      <c r="M1100" t="str">
        <f>TEXT(A1100,"dddd")</f>
        <v>Friday</v>
      </c>
      <c r="N1100" s="35">
        <f>DATE(Table4[[#This Row],[year]],Table4[[#This Row],[month2]],Table4[[#This Row],[day]])</f>
        <v>46042</v>
      </c>
    </row>
    <row r="1101" spans="1:14" ht="16" x14ac:dyDescent="0.35">
      <c r="A1101" t="str">
        <f t="shared" si="34"/>
        <v>19</v>
      </c>
      <c r="B1101">
        <f>_xlfn.SWITCH(Table4[[#This Row],[month]],"jan",1,"feb",2,"mar",3,"apr",4,"may",5,"jun",6,"jul",7,"aug",8,"sep",9,"oct",10,"nov",11,"dec",12,"no month")</f>
        <v>1</v>
      </c>
      <c r="C1101" s="12" t="str">
        <f>LEFT('All Transactions'!$E1101,3)</f>
        <v>Jan</v>
      </c>
      <c r="D1101" s="12" t="str">
        <f t="shared" si="35"/>
        <v>2026</v>
      </c>
      <c r="E1101" s="22" t="s">
        <v>3545</v>
      </c>
      <c r="F1101" s="23" t="s">
        <v>3546</v>
      </c>
      <c r="G1101" s="18" t="s">
        <v>28</v>
      </c>
      <c r="H1101" s="24">
        <v>100</v>
      </c>
      <c r="I1101" s="25" t="s">
        <v>3384</v>
      </c>
      <c r="J1101" s="25" t="s">
        <v>3547</v>
      </c>
      <c r="K1101" s="26" t="s">
        <v>3548</v>
      </c>
      <c r="L1101" s="25" t="s">
        <v>32</v>
      </c>
      <c r="M1101" t="str">
        <f>TEXT(A1101,"dddd")</f>
        <v>Thursday</v>
      </c>
      <c r="N1101" s="35">
        <f>DATE(Table4[[#This Row],[year]],Table4[[#This Row],[month2]],Table4[[#This Row],[day]])</f>
        <v>46041</v>
      </c>
    </row>
    <row r="1102" spans="1:14" ht="16" x14ac:dyDescent="0.35">
      <c r="A1102" t="str">
        <f t="shared" si="34"/>
        <v>19</v>
      </c>
      <c r="B1102">
        <f>_xlfn.SWITCH(Table4[[#This Row],[month]],"jan",1,"feb",2,"mar",3,"apr",4,"may",5,"jun",6,"jul",7,"aug",8,"sep",9,"oct",10,"nov",11,"dec",12,"no month")</f>
        <v>1</v>
      </c>
      <c r="C1102" s="12" t="str">
        <f>LEFT('All Transactions'!$E1102,3)</f>
        <v>Jan</v>
      </c>
      <c r="D1102" s="12" t="str">
        <f t="shared" si="35"/>
        <v>2026</v>
      </c>
      <c r="E1102" s="16" t="s">
        <v>3545</v>
      </c>
      <c r="F1102" s="17" t="s">
        <v>3306</v>
      </c>
      <c r="G1102" s="18" t="s">
        <v>28</v>
      </c>
      <c r="H1102" s="19">
        <v>20</v>
      </c>
      <c r="I1102" s="20" t="s">
        <v>3549</v>
      </c>
      <c r="J1102" s="20" t="s">
        <v>3550</v>
      </c>
      <c r="K1102" s="21" t="s">
        <v>3551</v>
      </c>
      <c r="L1102" s="20" t="s">
        <v>32</v>
      </c>
      <c r="M1102" t="str">
        <f>TEXT(A1102,"dddd")</f>
        <v>Thursday</v>
      </c>
      <c r="N1102" s="35">
        <f>DATE(Table4[[#This Row],[year]],Table4[[#This Row],[month2]],Table4[[#This Row],[day]])</f>
        <v>46041</v>
      </c>
    </row>
    <row r="1103" spans="1:14" ht="16" x14ac:dyDescent="0.35">
      <c r="A1103" t="str">
        <f t="shared" si="34"/>
        <v>19</v>
      </c>
      <c r="B1103">
        <f>_xlfn.SWITCH(Table4[[#This Row],[month]],"jan",1,"feb",2,"mar",3,"apr",4,"may",5,"jun",6,"jul",7,"aug",8,"sep",9,"oct",10,"nov",11,"dec",12,"no month")</f>
        <v>1</v>
      </c>
      <c r="C1103" s="12" t="str">
        <f>LEFT('All Transactions'!$E1103,3)</f>
        <v>Jan</v>
      </c>
      <c r="D1103" s="12" t="str">
        <f t="shared" si="35"/>
        <v>2026</v>
      </c>
      <c r="E1103" s="22" t="s">
        <v>3545</v>
      </c>
      <c r="F1103" s="23" t="s">
        <v>3552</v>
      </c>
      <c r="G1103" s="27" t="s">
        <v>54</v>
      </c>
      <c r="H1103" s="24">
        <v>74</v>
      </c>
      <c r="I1103" s="25" t="s">
        <v>3553</v>
      </c>
      <c r="J1103" s="25" t="s">
        <v>3554</v>
      </c>
      <c r="K1103" s="26" t="s">
        <v>3555</v>
      </c>
      <c r="L1103" s="25" t="s">
        <v>58</v>
      </c>
      <c r="M1103" t="str">
        <f>TEXT(A1103,"dddd")</f>
        <v>Thursday</v>
      </c>
      <c r="N1103" s="35">
        <f>DATE(Table4[[#This Row],[year]],Table4[[#This Row],[month2]],Table4[[#This Row],[day]])</f>
        <v>46041</v>
      </c>
    </row>
    <row r="1104" spans="1:14" ht="16" x14ac:dyDescent="0.35">
      <c r="A1104" t="str">
        <f t="shared" si="34"/>
        <v>19</v>
      </c>
      <c r="B1104">
        <f>_xlfn.SWITCH(Table4[[#This Row],[month]],"jan",1,"feb",2,"mar",3,"apr",4,"may",5,"jun",6,"jul",7,"aug",8,"sep",9,"oct",10,"nov",11,"dec",12,"no month")</f>
        <v>1</v>
      </c>
      <c r="C1104" s="12" t="str">
        <f>LEFT('All Transactions'!$E1104,3)</f>
        <v>Jan</v>
      </c>
      <c r="D1104" s="12" t="str">
        <f t="shared" si="35"/>
        <v>2026</v>
      </c>
      <c r="E1104" s="16" t="s">
        <v>3545</v>
      </c>
      <c r="F1104" s="17" t="s">
        <v>2583</v>
      </c>
      <c r="G1104" s="18" t="s">
        <v>28</v>
      </c>
      <c r="H1104" s="19">
        <v>20</v>
      </c>
      <c r="I1104" s="20" t="s">
        <v>3556</v>
      </c>
      <c r="J1104" s="20" t="s">
        <v>3557</v>
      </c>
      <c r="K1104" s="21" t="s">
        <v>3558</v>
      </c>
      <c r="L1104" s="20" t="s">
        <v>32</v>
      </c>
      <c r="M1104" t="str">
        <f>TEXT(A1104,"dddd")</f>
        <v>Thursday</v>
      </c>
      <c r="N1104" s="35">
        <f>DATE(Table4[[#This Row],[year]],Table4[[#This Row],[month2]],Table4[[#This Row],[day]])</f>
        <v>46041</v>
      </c>
    </row>
    <row r="1105" spans="1:14" ht="16" x14ac:dyDescent="0.35">
      <c r="A1105" t="str">
        <f t="shared" si="34"/>
        <v>19</v>
      </c>
      <c r="B1105">
        <f>_xlfn.SWITCH(Table4[[#This Row],[month]],"jan",1,"feb",2,"mar",3,"apr",4,"may",5,"jun",6,"jul",7,"aug",8,"sep",9,"oct",10,"nov",11,"dec",12,"no month")</f>
        <v>1</v>
      </c>
      <c r="C1105" s="12" t="str">
        <f>LEFT('All Transactions'!$E1105,3)</f>
        <v>Jan</v>
      </c>
      <c r="D1105" s="12" t="str">
        <f t="shared" si="35"/>
        <v>2026</v>
      </c>
      <c r="E1105" s="22" t="s">
        <v>3545</v>
      </c>
      <c r="F1105" s="23" t="s">
        <v>1189</v>
      </c>
      <c r="G1105" s="27" t="s">
        <v>54</v>
      </c>
      <c r="H1105" s="24">
        <v>160</v>
      </c>
      <c r="I1105" s="25" t="s">
        <v>3559</v>
      </c>
      <c r="J1105" s="25" t="s">
        <v>3560</v>
      </c>
      <c r="K1105" s="26" t="s">
        <v>3561</v>
      </c>
      <c r="L1105" s="25" t="s">
        <v>58</v>
      </c>
      <c r="M1105" t="str">
        <f>TEXT(A1105,"dddd")</f>
        <v>Thursday</v>
      </c>
      <c r="N1105" s="35">
        <f>DATE(Table4[[#This Row],[year]],Table4[[#This Row],[month2]],Table4[[#This Row],[day]])</f>
        <v>46041</v>
      </c>
    </row>
    <row r="1106" spans="1:14" ht="16" x14ac:dyDescent="0.35">
      <c r="A1106" t="str">
        <f t="shared" si="34"/>
        <v>19</v>
      </c>
      <c r="B1106">
        <f>_xlfn.SWITCH(Table4[[#This Row],[month]],"jan",1,"feb",2,"mar",3,"apr",4,"may",5,"jun",6,"jul",7,"aug",8,"sep",9,"oct",10,"nov",11,"dec",12,"no month")</f>
        <v>1</v>
      </c>
      <c r="C1106" s="12" t="str">
        <f>LEFT('All Transactions'!$E1106,3)</f>
        <v>Jan</v>
      </c>
      <c r="D1106" s="12" t="str">
        <f t="shared" si="35"/>
        <v>2026</v>
      </c>
      <c r="E1106" s="16" t="s">
        <v>3545</v>
      </c>
      <c r="F1106" s="17" t="s">
        <v>3562</v>
      </c>
      <c r="G1106" s="18" t="s">
        <v>28</v>
      </c>
      <c r="H1106" s="19">
        <v>405.74</v>
      </c>
      <c r="I1106" s="20" t="s">
        <v>3563</v>
      </c>
      <c r="J1106" s="20" t="s">
        <v>3564</v>
      </c>
      <c r="K1106" s="21" t="s">
        <v>3565</v>
      </c>
      <c r="L1106" s="20" t="s">
        <v>32</v>
      </c>
      <c r="M1106" t="str">
        <f>TEXT(A1106,"dddd")</f>
        <v>Thursday</v>
      </c>
      <c r="N1106" s="35">
        <f>DATE(Table4[[#This Row],[year]],Table4[[#This Row],[month2]],Table4[[#This Row],[day]])</f>
        <v>46041</v>
      </c>
    </row>
    <row r="1107" spans="1:14" ht="16" x14ac:dyDescent="0.35">
      <c r="A1107" t="str">
        <f t="shared" si="34"/>
        <v>19</v>
      </c>
      <c r="B1107">
        <f>_xlfn.SWITCH(Table4[[#This Row],[month]],"jan",1,"feb",2,"mar",3,"apr",4,"may",5,"jun",6,"jul",7,"aug",8,"sep",9,"oct",10,"nov",11,"dec",12,"no month")</f>
        <v>1</v>
      </c>
      <c r="C1107" s="12" t="str">
        <f>LEFT('All Transactions'!$E1107,3)</f>
        <v>Jan</v>
      </c>
      <c r="D1107" s="12" t="str">
        <f t="shared" si="35"/>
        <v>2026</v>
      </c>
      <c r="E1107" s="22" t="s">
        <v>3545</v>
      </c>
      <c r="F1107" s="23" t="s">
        <v>3566</v>
      </c>
      <c r="G1107" s="27" t="s">
        <v>54</v>
      </c>
      <c r="H1107" s="24">
        <v>700</v>
      </c>
      <c r="I1107" s="25" t="s">
        <v>156</v>
      </c>
      <c r="J1107" s="25" t="s">
        <v>3567</v>
      </c>
      <c r="K1107" s="26" t="s">
        <v>3568</v>
      </c>
      <c r="L1107" s="25" t="s">
        <v>58</v>
      </c>
      <c r="M1107" t="str">
        <f>TEXT(A1107,"dddd")</f>
        <v>Thursday</v>
      </c>
      <c r="N1107" s="35">
        <f>DATE(Table4[[#This Row],[year]],Table4[[#This Row],[month2]],Table4[[#This Row],[day]])</f>
        <v>46041</v>
      </c>
    </row>
    <row r="1108" spans="1:14" ht="16" x14ac:dyDescent="0.35">
      <c r="A1108" t="str">
        <f t="shared" si="34"/>
        <v>18</v>
      </c>
      <c r="B1108">
        <f>_xlfn.SWITCH(Table4[[#This Row],[month]],"jan",1,"feb",2,"mar",3,"apr",4,"may",5,"jun",6,"jul",7,"aug",8,"sep",9,"oct",10,"nov",11,"dec",12,"no month")</f>
        <v>1</v>
      </c>
      <c r="C1108" s="12" t="str">
        <f>LEFT('All Transactions'!$E1108,3)</f>
        <v>Jan</v>
      </c>
      <c r="D1108" s="12" t="str">
        <f t="shared" si="35"/>
        <v>2026</v>
      </c>
      <c r="E1108" s="16" t="s">
        <v>3569</v>
      </c>
      <c r="F1108" s="17" t="s">
        <v>3570</v>
      </c>
      <c r="G1108" s="18" t="s">
        <v>28</v>
      </c>
      <c r="H1108" s="19">
        <v>40</v>
      </c>
      <c r="I1108" s="20" t="s">
        <v>3571</v>
      </c>
      <c r="J1108" s="20" t="s">
        <v>3572</v>
      </c>
      <c r="K1108" s="21" t="s">
        <v>3573</v>
      </c>
      <c r="L1108" s="20" t="s">
        <v>32</v>
      </c>
      <c r="M1108" t="str">
        <f>TEXT(A1108,"dddd")</f>
        <v>Wednesday</v>
      </c>
      <c r="N1108" s="35">
        <f>DATE(Table4[[#This Row],[year]],Table4[[#This Row],[month2]],Table4[[#This Row],[day]])</f>
        <v>46040</v>
      </c>
    </row>
    <row r="1109" spans="1:14" ht="16" x14ac:dyDescent="0.35">
      <c r="A1109" t="str">
        <f t="shared" si="34"/>
        <v>18</v>
      </c>
      <c r="B1109">
        <f>_xlfn.SWITCH(Table4[[#This Row],[month]],"jan",1,"feb",2,"mar",3,"apr",4,"may",5,"jun",6,"jul",7,"aug",8,"sep",9,"oct",10,"nov",11,"dec",12,"no month")</f>
        <v>1</v>
      </c>
      <c r="C1109" s="12" t="str">
        <f>LEFT('All Transactions'!$E1109,3)</f>
        <v>Jan</v>
      </c>
      <c r="D1109" s="12" t="str">
        <f t="shared" si="35"/>
        <v>2026</v>
      </c>
      <c r="E1109" s="22" t="s">
        <v>3569</v>
      </c>
      <c r="F1109" s="23" t="s">
        <v>3574</v>
      </c>
      <c r="G1109" s="18" t="s">
        <v>28</v>
      </c>
      <c r="H1109" s="24">
        <v>139</v>
      </c>
      <c r="I1109" s="25" t="s">
        <v>483</v>
      </c>
      <c r="J1109" s="25" t="s">
        <v>3575</v>
      </c>
      <c r="K1109" s="26" t="s">
        <v>3576</v>
      </c>
      <c r="L1109" s="25" t="s">
        <v>32</v>
      </c>
      <c r="M1109" t="str">
        <f>TEXT(A1109,"dddd")</f>
        <v>Wednesday</v>
      </c>
      <c r="N1109" s="35">
        <f>DATE(Table4[[#This Row],[year]],Table4[[#This Row],[month2]],Table4[[#This Row],[day]])</f>
        <v>46040</v>
      </c>
    </row>
    <row r="1110" spans="1:14" ht="16" x14ac:dyDescent="0.35">
      <c r="A1110" t="str">
        <f t="shared" si="34"/>
        <v>18</v>
      </c>
      <c r="B1110">
        <f>_xlfn.SWITCH(Table4[[#This Row],[month]],"jan",1,"feb",2,"mar",3,"apr",4,"may",5,"jun",6,"jul",7,"aug",8,"sep",9,"oct",10,"nov",11,"dec",12,"no month")</f>
        <v>1</v>
      </c>
      <c r="C1110" s="12" t="str">
        <f>LEFT('All Transactions'!$E1110,3)</f>
        <v>Jan</v>
      </c>
      <c r="D1110" s="12" t="str">
        <f t="shared" si="35"/>
        <v>2026</v>
      </c>
      <c r="E1110" s="16" t="s">
        <v>3569</v>
      </c>
      <c r="F1110" s="17" t="s">
        <v>3577</v>
      </c>
      <c r="G1110" s="27" t="s">
        <v>54</v>
      </c>
      <c r="H1110" s="19">
        <v>140</v>
      </c>
      <c r="I1110" s="20" t="s">
        <v>156</v>
      </c>
      <c r="J1110" s="20" t="s">
        <v>3578</v>
      </c>
      <c r="K1110" s="21" t="s">
        <v>3579</v>
      </c>
      <c r="L1110" s="20" t="s">
        <v>58</v>
      </c>
      <c r="M1110" t="str">
        <f>TEXT(A1110,"dddd")</f>
        <v>Wednesday</v>
      </c>
      <c r="N1110" s="35">
        <f>DATE(Table4[[#This Row],[year]],Table4[[#This Row],[month2]],Table4[[#This Row],[day]])</f>
        <v>46040</v>
      </c>
    </row>
    <row r="1111" spans="1:14" ht="16" x14ac:dyDescent="0.35">
      <c r="A1111" t="str">
        <f t="shared" si="34"/>
        <v>17</v>
      </c>
      <c r="B1111">
        <f>_xlfn.SWITCH(Table4[[#This Row],[month]],"jan",1,"feb",2,"mar",3,"apr",4,"may",5,"jun",6,"jul",7,"aug",8,"sep",9,"oct",10,"nov",11,"dec",12,"no month")</f>
        <v>1</v>
      </c>
      <c r="C1111" s="12" t="str">
        <f>LEFT('All Transactions'!$E1111,3)</f>
        <v>Jan</v>
      </c>
      <c r="D1111" s="12" t="str">
        <f t="shared" si="35"/>
        <v>2026</v>
      </c>
      <c r="E1111" s="22" t="s">
        <v>3580</v>
      </c>
      <c r="F1111" s="23" t="s">
        <v>565</v>
      </c>
      <c r="G1111" s="18" t="s">
        <v>28</v>
      </c>
      <c r="H1111" s="24">
        <v>18</v>
      </c>
      <c r="I1111" s="25" t="s">
        <v>3581</v>
      </c>
      <c r="J1111" s="25" t="s">
        <v>3582</v>
      </c>
      <c r="K1111" s="26" t="s">
        <v>3583</v>
      </c>
      <c r="L1111" s="25" t="s">
        <v>32</v>
      </c>
      <c r="M1111" t="str">
        <f>TEXT(A1111,"dddd")</f>
        <v>Tuesday</v>
      </c>
      <c r="N1111" s="35">
        <f>DATE(Table4[[#This Row],[year]],Table4[[#This Row],[month2]],Table4[[#This Row],[day]])</f>
        <v>46039</v>
      </c>
    </row>
    <row r="1112" spans="1:14" ht="16" x14ac:dyDescent="0.35">
      <c r="A1112" t="str">
        <f t="shared" si="34"/>
        <v>17</v>
      </c>
      <c r="B1112">
        <f>_xlfn.SWITCH(Table4[[#This Row],[month]],"jan",1,"feb",2,"mar",3,"apr",4,"may",5,"jun",6,"jul",7,"aug",8,"sep",9,"oct",10,"nov",11,"dec",12,"no month")</f>
        <v>1</v>
      </c>
      <c r="C1112" s="12" t="str">
        <f>LEFT('All Transactions'!$E1112,3)</f>
        <v>Jan</v>
      </c>
      <c r="D1112" s="12" t="str">
        <f t="shared" si="35"/>
        <v>2026</v>
      </c>
      <c r="E1112" s="16" t="s">
        <v>3580</v>
      </c>
      <c r="F1112" s="17" t="s">
        <v>3584</v>
      </c>
      <c r="G1112" s="18" t="s">
        <v>28</v>
      </c>
      <c r="H1112" s="19">
        <v>65</v>
      </c>
      <c r="I1112" s="20" t="s">
        <v>3585</v>
      </c>
      <c r="J1112" s="20" t="s">
        <v>3586</v>
      </c>
      <c r="K1112" s="21" t="s">
        <v>3587</v>
      </c>
      <c r="L1112" s="20" t="s">
        <v>32</v>
      </c>
      <c r="M1112" t="str">
        <f>TEXT(A1112,"dddd")</f>
        <v>Tuesday</v>
      </c>
      <c r="N1112" s="35">
        <f>DATE(Table4[[#This Row],[year]],Table4[[#This Row],[month2]],Table4[[#This Row],[day]])</f>
        <v>46039</v>
      </c>
    </row>
    <row r="1113" spans="1:14" ht="16" x14ac:dyDescent="0.35">
      <c r="A1113" t="str">
        <f t="shared" si="34"/>
        <v>17</v>
      </c>
      <c r="B1113">
        <f>_xlfn.SWITCH(Table4[[#This Row],[month]],"jan",1,"feb",2,"mar",3,"apr",4,"may",5,"jun",6,"jul",7,"aug",8,"sep",9,"oct",10,"nov",11,"dec",12,"no month")</f>
        <v>1</v>
      </c>
      <c r="C1113" s="12" t="str">
        <f>LEFT('All Transactions'!$E1113,3)</f>
        <v>Jan</v>
      </c>
      <c r="D1113" s="12" t="str">
        <f t="shared" si="35"/>
        <v>2026</v>
      </c>
      <c r="E1113" s="22" t="s">
        <v>3580</v>
      </c>
      <c r="F1113" s="23" t="s">
        <v>899</v>
      </c>
      <c r="G1113" s="18" t="s">
        <v>28</v>
      </c>
      <c r="H1113" s="24">
        <v>108.73</v>
      </c>
      <c r="I1113" s="25" t="s">
        <v>3588</v>
      </c>
      <c r="J1113" s="25" t="s">
        <v>3589</v>
      </c>
      <c r="K1113" s="26" t="s">
        <v>3590</v>
      </c>
      <c r="L1113" s="25" t="s">
        <v>32</v>
      </c>
      <c r="M1113" t="str">
        <f>TEXT(A1113,"dddd")</f>
        <v>Tuesday</v>
      </c>
      <c r="N1113" s="35">
        <f>DATE(Table4[[#This Row],[year]],Table4[[#This Row],[month2]],Table4[[#This Row],[day]])</f>
        <v>46039</v>
      </c>
    </row>
    <row r="1114" spans="1:14" ht="16" x14ac:dyDescent="0.35">
      <c r="A1114" t="str">
        <f t="shared" si="34"/>
        <v>17</v>
      </c>
      <c r="B1114">
        <f>_xlfn.SWITCH(Table4[[#This Row],[month]],"jan",1,"feb",2,"mar",3,"apr",4,"may",5,"jun",6,"jul",7,"aug",8,"sep",9,"oct",10,"nov",11,"dec",12,"no month")</f>
        <v>1</v>
      </c>
      <c r="C1114" s="12" t="str">
        <f>LEFT('All Transactions'!$E1114,3)</f>
        <v>Jan</v>
      </c>
      <c r="D1114" s="12" t="str">
        <f t="shared" si="35"/>
        <v>2026</v>
      </c>
      <c r="E1114" s="16" t="s">
        <v>3580</v>
      </c>
      <c r="F1114" s="17" t="s">
        <v>120</v>
      </c>
      <c r="G1114" s="18" t="s">
        <v>28</v>
      </c>
      <c r="H1114" s="19">
        <v>500</v>
      </c>
      <c r="I1114" s="20" t="s">
        <v>2033</v>
      </c>
      <c r="J1114" s="20" t="s">
        <v>3591</v>
      </c>
      <c r="K1114" s="21" t="s">
        <v>3592</v>
      </c>
      <c r="L1114" s="20" t="s">
        <v>32</v>
      </c>
      <c r="M1114" t="str">
        <f>TEXT(A1114,"dddd")</f>
        <v>Tuesday</v>
      </c>
      <c r="N1114" s="35">
        <f>DATE(Table4[[#This Row],[year]],Table4[[#This Row],[month2]],Table4[[#This Row],[day]])</f>
        <v>46039</v>
      </c>
    </row>
    <row r="1115" spans="1:14" ht="16" x14ac:dyDescent="0.35">
      <c r="A1115" t="str">
        <f t="shared" si="34"/>
        <v>17</v>
      </c>
      <c r="B1115">
        <f>_xlfn.SWITCH(Table4[[#This Row],[month]],"jan",1,"feb",2,"mar",3,"apr",4,"may",5,"jun",6,"jul",7,"aug",8,"sep",9,"oct",10,"nov",11,"dec",12,"no month")</f>
        <v>1</v>
      </c>
      <c r="C1115" s="12" t="str">
        <f>LEFT('All Transactions'!$E1115,3)</f>
        <v>Jan</v>
      </c>
      <c r="D1115" s="12" t="str">
        <f t="shared" si="35"/>
        <v>2026</v>
      </c>
      <c r="E1115" s="22" t="s">
        <v>3580</v>
      </c>
      <c r="F1115" s="23" t="s">
        <v>1940</v>
      </c>
      <c r="G1115" s="18" t="s">
        <v>28</v>
      </c>
      <c r="H1115" s="24">
        <v>30</v>
      </c>
      <c r="I1115" s="25" t="s">
        <v>3593</v>
      </c>
      <c r="J1115" s="25" t="s">
        <v>3594</v>
      </c>
      <c r="K1115" s="26" t="s">
        <v>3595</v>
      </c>
      <c r="L1115" s="25" t="s">
        <v>32</v>
      </c>
      <c r="M1115" t="str">
        <f>TEXT(A1115,"dddd")</f>
        <v>Tuesday</v>
      </c>
      <c r="N1115" s="35">
        <f>DATE(Table4[[#This Row],[year]],Table4[[#This Row],[month2]],Table4[[#This Row],[day]])</f>
        <v>46039</v>
      </c>
    </row>
    <row r="1116" spans="1:14" ht="16" x14ac:dyDescent="0.35">
      <c r="A1116" t="str">
        <f t="shared" si="34"/>
        <v>17</v>
      </c>
      <c r="B1116">
        <f>_xlfn.SWITCH(Table4[[#This Row],[month]],"jan",1,"feb",2,"mar",3,"apr",4,"may",5,"jun",6,"jul",7,"aug",8,"sep",9,"oct",10,"nov",11,"dec",12,"no month")</f>
        <v>1</v>
      </c>
      <c r="C1116" s="12" t="str">
        <f>LEFT('All Transactions'!$E1116,3)</f>
        <v>Jan</v>
      </c>
      <c r="D1116" s="12" t="str">
        <f t="shared" si="35"/>
        <v>2026</v>
      </c>
      <c r="E1116" s="16" t="s">
        <v>3580</v>
      </c>
      <c r="F1116" s="17" t="s">
        <v>1762</v>
      </c>
      <c r="G1116" s="18" t="s">
        <v>28</v>
      </c>
      <c r="H1116" s="19">
        <v>250</v>
      </c>
      <c r="I1116" s="20" t="s">
        <v>12</v>
      </c>
      <c r="J1116" s="20" t="s">
        <v>3596</v>
      </c>
      <c r="K1116" s="21" t="s">
        <v>3597</v>
      </c>
      <c r="L1116" s="20" t="s">
        <v>32</v>
      </c>
      <c r="M1116" t="str">
        <f>TEXT(A1116,"dddd")</f>
        <v>Tuesday</v>
      </c>
      <c r="N1116" s="35">
        <f>DATE(Table4[[#This Row],[year]],Table4[[#This Row],[month2]],Table4[[#This Row],[day]])</f>
        <v>46039</v>
      </c>
    </row>
    <row r="1117" spans="1:14" ht="16" x14ac:dyDescent="0.35">
      <c r="A1117" t="str">
        <f t="shared" si="34"/>
        <v>16</v>
      </c>
      <c r="B1117">
        <f>_xlfn.SWITCH(Table4[[#This Row],[month]],"jan",1,"feb",2,"mar",3,"apr",4,"may",5,"jun",6,"jul",7,"aug",8,"sep",9,"oct",10,"nov",11,"dec",12,"no month")</f>
        <v>1</v>
      </c>
      <c r="C1117" s="12" t="str">
        <f>LEFT('All Transactions'!$E1117,3)</f>
        <v>Jan</v>
      </c>
      <c r="D1117" s="12" t="str">
        <f t="shared" si="35"/>
        <v>2026</v>
      </c>
      <c r="E1117" s="22" t="s">
        <v>3598</v>
      </c>
      <c r="F1117" s="23" t="s">
        <v>3599</v>
      </c>
      <c r="G1117" s="18" t="s">
        <v>28</v>
      </c>
      <c r="H1117" s="24">
        <v>480</v>
      </c>
      <c r="I1117" s="25" t="s">
        <v>3600</v>
      </c>
      <c r="J1117" s="25" t="s">
        <v>3601</v>
      </c>
      <c r="K1117" s="26" t="s">
        <v>3602</v>
      </c>
      <c r="L1117" s="25" t="s">
        <v>32</v>
      </c>
      <c r="M1117" t="str">
        <f>TEXT(A1117,"dddd")</f>
        <v>Monday</v>
      </c>
      <c r="N1117" s="35">
        <f>DATE(Table4[[#This Row],[year]],Table4[[#This Row],[month2]],Table4[[#This Row],[day]])</f>
        <v>46038</v>
      </c>
    </row>
    <row r="1118" spans="1:14" ht="16" x14ac:dyDescent="0.35">
      <c r="A1118" t="str">
        <f t="shared" si="34"/>
        <v>16</v>
      </c>
      <c r="B1118">
        <f>_xlfn.SWITCH(Table4[[#This Row],[month]],"jan",1,"feb",2,"mar",3,"apr",4,"may",5,"jun",6,"jul",7,"aug",8,"sep",9,"oct",10,"nov",11,"dec",12,"no month")</f>
        <v>1</v>
      </c>
      <c r="C1118" s="12" t="str">
        <f>LEFT('All Transactions'!$E1118,3)</f>
        <v>Jan</v>
      </c>
      <c r="D1118" s="12" t="str">
        <f t="shared" si="35"/>
        <v>2026</v>
      </c>
      <c r="E1118" s="16" t="s">
        <v>3598</v>
      </c>
      <c r="F1118" s="17" t="s">
        <v>1766</v>
      </c>
      <c r="G1118" s="27" t="s">
        <v>54</v>
      </c>
      <c r="H1118" s="19">
        <v>480</v>
      </c>
      <c r="I1118" s="20" t="s">
        <v>3603</v>
      </c>
      <c r="J1118" s="20" t="s">
        <v>3604</v>
      </c>
      <c r="K1118" s="21" t="s">
        <v>3605</v>
      </c>
      <c r="L1118" s="20" t="s">
        <v>58</v>
      </c>
      <c r="M1118" t="str">
        <f>TEXT(A1118,"dddd")</f>
        <v>Monday</v>
      </c>
      <c r="N1118" s="35">
        <f>DATE(Table4[[#This Row],[year]],Table4[[#This Row],[month2]],Table4[[#This Row],[day]])</f>
        <v>46038</v>
      </c>
    </row>
    <row r="1119" spans="1:14" ht="16" x14ac:dyDescent="0.35">
      <c r="A1119" t="str">
        <f t="shared" si="34"/>
        <v>14</v>
      </c>
      <c r="B1119">
        <f>_xlfn.SWITCH(Table4[[#This Row],[month]],"jan",1,"feb",2,"mar",3,"apr",4,"may",5,"jun",6,"jul",7,"aug",8,"sep",9,"oct",10,"nov",11,"dec",12,"no month")</f>
        <v>1</v>
      </c>
      <c r="C1119" s="12" t="str">
        <f>LEFT('All Transactions'!$E1119,3)</f>
        <v>Jan</v>
      </c>
      <c r="D1119" s="12" t="str">
        <f t="shared" si="35"/>
        <v>2026</v>
      </c>
      <c r="E1119" s="22" t="s">
        <v>3606</v>
      </c>
      <c r="F1119" s="23" t="s">
        <v>3607</v>
      </c>
      <c r="G1119" s="18" t="s">
        <v>28</v>
      </c>
      <c r="H1119" s="24">
        <v>48</v>
      </c>
      <c r="I1119" s="25" t="s">
        <v>479</v>
      </c>
      <c r="J1119" s="25" t="s">
        <v>3608</v>
      </c>
      <c r="K1119" s="26" t="s">
        <v>3609</v>
      </c>
      <c r="L1119" s="25" t="s">
        <v>32</v>
      </c>
      <c r="M1119" t="str">
        <f>TEXT(A1119,"dddd")</f>
        <v>Saturday</v>
      </c>
      <c r="N1119" s="35">
        <f>DATE(Table4[[#This Row],[year]],Table4[[#This Row],[month2]],Table4[[#This Row],[day]])</f>
        <v>46036</v>
      </c>
    </row>
    <row r="1120" spans="1:14" ht="16" x14ac:dyDescent="0.35">
      <c r="A1120" t="str">
        <f t="shared" si="34"/>
        <v>14</v>
      </c>
      <c r="B1120">
        <f>_xlfn.SWITCH(Table4[[#This Row],[month]],"jan",1,"feb",2,"mar",3,"apr",4,"may",5,"jun",6,"jul",7,"aug",8,"sep",9,"oct",10,"nov",11,"dec",12,"no month")</f>
        <v>1</v>
      </c>
      <c r="C1120" s="12" t="str">
        <f>LEFT('All Transactions'!$E1120,3)</f>
        <v>Jan</v>
      </c>
      <c r="D1120" s="12" t="str">
        <f t="shared" si="35"/>
        <v>2026</v>
      </c>
      <c r="E1120" s="16" t="s">
        <v>3606</v>
      </c>
      <c r="F1120" s="17" t="s">
        <v>1229</v>
      </c>
      <c r="G1120" s="18" t="s">
        <v>28</v>
      </c>
      <c r="H1120" s="19">
        <v>275</v>
      </c>
      <c r="I1120" s="20" t="s">
        <v>3610</v>
      </c>
      <c r="J1120" s="20" t="s">
        <v>3611</v>
      </c>
      <c r="K1120" s="21" t="s">
        <v>3612</v>
      </c>
      <c r="L1120" s="20" t="s">
        <v>32</v>
      </c>
      <c r="M1120" t="str">
        <f>TEXT(A1120,"dddd")</f>
        <v>Saturday</v>
      </c>
      <c r="N1120" s="35">
        <f>DATE(Table4[[#This Row],[year]],Table4[[#This Row],[month2]],Table4[[#This Row],[day]])</f>
        <v>46036</v>
      </c>
    </row>
    <row r="1121" spans="1:14" ht="16" x14ac:dyDescent="0.35">
      <c r="A1121" t="str">
        <f t="shared" si="34"/>
        <v>14</v>
      </c>
      <c r="B1121">
        <f>_xlfn.SWITCH(Table4[[#This Row],[month]],"jan",1,"feb",2,"mar",3,"apr",4,"may",5,"jun",6,"jul",7,"aug",8,"sep",9,"oct",10,"nov",11,"dec",12,"no month")</f>
        <v>1</v>
      </c>
      <c r="C1121" s="12" t="str">
        <f>LEFT('All Transactions'!$E1121,3)</f>
        <v>Jan</v>
      </c>
      <c r="D1121" s="12" t="str">
        <f t="shared" si="35"/>
        <v>2026</v>
      </c>
      <c r="E1121" s="22" t="s">
        <v>3606</v>
      </c>
      <c r="F1121" s="23" t="s">
        <v>3613</v>
      </c>
      <c r="G1121" s="27" t="s">
        <v>54</v>
      </c>
      <c r="H1121" s="24">
        <v>560</v>
      </c>
      <c r="I1121" s="25" t="s">
        <v>3603</v>
      </c>
      <c r="J1121" s="25" t="s">
        <v>3614</v>
      </c>
      <c r="K1121" s="26" t="s">
        <v>3615</v>
      </c>
      <c r="L1121" s="25" t="s">
        <v>58</v>
      </c>
      <c r="M1121" t="str">
        <f>TEXT(A1121,"dddd")</f>
        <v>Saturday</v>
      </c>
      <c r="N1121" s="35">
        <f>DATE(Table4[[#This Row],[year]],Table4[[#This Row],[month2]],Table4[[#This Row],[day]])</f>
        <v>46036</v>
      </c>
    </row>
    <row r="1122" spans="1:14" ht="16" x14ac:dyDescent="0.35">
      <c r="A1122" t="str">
        <f t="shared" si="34"/>
        <v>13</v>
      </c>
      <c r="B1122">
        <f>_xlfn.SWITCH(Table4[[#This Row],[month]],"jan",1,"feb",2,"mar",3,"apr",4,"may",5,"jun",6,"jul",7,"aug",8,"sep",9,"oct",10,"nov",11,"dec",12,"no month")</f>
        <v>1</v>
      </c>
      <c r="C1122" s="12" t="str">
        <f>LEFT('All Transactions'!$E1122,3)</f>
        <v>Jan</v>
      </c>
      <c r="D1122" s="12" t="str">
        <f t="shared" si="35"/>
        <v>2026</v>
      </c>
      <c r="E1122" s="16" t="s">
        <v>3616</v>
      </c>
      <c r="F1122" s="17" t="s">
        <v>1172</v>
      </c>
      <c r="G1122" s="27" t="s">
        <v>54</v>
      </c>
      <c r="H1122" s="19">
        <v>230</v>
      </c>
      <c r="I1122" s="20" t="s">
        <v>3603</v>
      </c>
      <c r="J1122" s="20" t="s">
        <v>3617</v>
      </c>
      <c r="K1122" s="21" t="s">
        <v>3618</v>
      </c>
      <c r="L1122" s="20" t="s">
        <v>58</v>
      </c>
      <c r="M1122" t="str">
        <f>TEXT(A1122,"dddd")</f>
        <v>Friday</v>
      </c>
      <c r="N1122" s="35">
        <f>DATE(Table4[[#This Row],[year]],Table4[[#This Row],[month2]],Table4[[#This Row],[day]])</f>
        <v>46035</v>
      </c>
    </row>
    <row r="1123" spans="1:14" ht="16" x14ac:dyDescent="0.35">
      <c r="A1123" t="str">
        <f t="shared" si="34"/>
        <v>13</v>
      </c>
      <c r="B1123">
        <f>_xlfn.SWITCH(Table4[[#This Row],[month]],"jan",1,"feb",2,"mar",3,"apr",4,"may",5,"jun",6,"jul",7,"aug",8,"sep",9,"oct",10,"nov",11,"dec",12,"no month")</f>
        <v>1</v>
      </c>
      <c r="C1123" s="12" t="str">
        <f>LEFT('All Transactions'!$E1123,3)</f>
        <v>Jan</v>
      </c>
      <c r="D1123" s="12" t="str">
        <f t="shared" si="35"/>
        <v>2026</v>
      </c>
      <c r="E1123" s="22" t="s">
        <v>3616</v>
      </c>
      <c r="F1123" s="23" t="s">
        <v>1016</v>
      </c>
      <c r="G1123" s="18" t="s">
        <v>28</v>
      </c>
      <c r="H1123" s="24">
        <v>90</v>
      </c>
      <c r="I1123" s="25" t="s">
        <v>3619</v>
      </c>
      <c r="J1123" s="25" t="s">
        <v>3620</v>
      </c>
      <c r="K1123" s="26" t="s">
        <v>3621</v>
      </c>
      <c r="L1123" s="25" t="s">
        <v>32</v>
      </c>
      <c r="M1123" t="str">
        <f>TEXT(A1123,"dddd")</f>
        <v>Friday</v>
      </c>
      <c r="N1123" s="35">
        <f>DATE(Table4[[#This Row],[year]],Table4[[#This Row],[month2]],Table4[[#This Row],[day]])</f>
        <v>46035</v>
      </c>
    </row>
    <row r="1124" spans="1:14" ht="16" x14ac:dyDescent="0.35">
      <c r="A1124" t="str">
        <f t="shared" si="34"/>
        <v>13</v>
      </c>
      <c r="B1124">
        <f>_xlfn.SWITCH(Table4[[#This Row],[month]],"jan",1,"feb",2,"mar",3,"apr",4,"may",5,"jun",6,"jul",7,"aug",8,"sep",9,"oct",10,"nov",11,"dec",12,"no month")</f>
        <v>1</v>
      </c>
      <c r="C1124" s="12" t="str">
        <f>LEFT('All Transactions'!$E1124,3)</f>
        <v>Jan</v>
      </c>
      <c r="D1124" s="12" t="str">
        <f t="shared" si="35"/>
        <v>2026</v>
      </c>
      <c r="E1124" s="16" t="s">
        <v>3616</v>
      </c>
      <c r="F1124" s="17" t="s">
        <v>3622</v>
      </c>
      <c r="G1124" s="18" t="s">
        <v>28</v>
      </c>
      <c r="H1124" s="19">
        <v>750</v>
      </c>
      <c r="I1124" s="20" t="s">
        <v>3623</v>
      </c>
      <c r="J1124" s="20" t="s">
        <v>3624</v>
      </c>
      <c r="K1124" s="21" t="s">
        <v>3625</v>
      </c>
      <c r="L1124" s="20" t="s">
        <v>32</v>
      </c>
      <c r="M1124" t="str">
        <f>TEXT(A1124,"dddd")</f>
        <v>Friday</v>
      </c>
      <c r="N1124" s="35">
        <f>DATE(Table4[[#This Row],[year]],Table4[[#This Row],[month2]],Table4[[#This Row],[day]])</f>
        <v>46035</v>
      </c>
    </row>
    <row r="1125" spans="1:14" ht="16" x14ac:dyDescent="0.35">
      <c r="A1125" t="str">
        <f t="shared" si="34"/>
        <v>13</v>
      </c>
      <c r="B1125">
        <f>_xlfn.SWITCH(Table4[[#This Row],[month]],"jan",1,"feb",2,"mar",3,"apr",4,"may",5,"jun",6,"jul",7,"aug",8,"sep",9,"oct",10,"nov",11,"dec",12,"no month")</f>
        <v>1</v>
      </c>
      <c r="C1125" s="12" t="str">
        <f>LEFT('All Transactions'!$E1125,3)</f>
        <v>Jan</v>
      </c>
      <c r="D1125" s="12" t="str">
        <f t="shared" si="35"/>
        <v>2026</v>
      </c>
      <c r="E1125" s="22" t="s">
        <v>3616</v>
      </c>
      <c r="F1125" s="23" t="s">
        <v>3275</v>
      </c>
      <c r="G1125" s="18" t="s">
        <v>28</v>
      </c>
      <c r="H1125" s="24">
        <v>3</v>
      </c>
      <c r="I1125" s="25" t="s">
        <v>3626</v>
      </c>
      <c r="J1125" s="25" t="s">
        <v>3627</v>
      </c>
      <c r="K1125" s="26" t="s">
        <v>3628</v>
      </c>
      <c r="L1125" s="25" t="s">
        <v>32</v>
      </c>
      <c r="M1125" t="str">
        <f>TEXT(A1125,"dddd")</f>
        <v>Friday</v>
      </c>
      <c r="N1125" s="35">
        <f>DATE(Table4[[#This Row],[year]],Table4[[#This Row],[month2]],Table4[[#This Row],[day]])</f>
        <v>46035</v>
      </c>
    </row>
    <row r="1126" spans="1:14" ht="16" x14ac:dyDescent="0.35">
      <c r="A1126" t="str">
        <f t="shared" si="34"/>
        <v>13</v>
      </c>
      <c r="B1126">
        <f>_xlfn.SWITCH(Table4[[#This Row],[month]],"jan",1,"feb",2,"mar",3,"apr",4,"may",5,"jun",6,"jul",7,"aug",8,"sep",9,"oct",10,"nov",11,"dec",12,"no month")</f>
        <v>1</v>
      </c>
      <c r="C1126" s="12" t="str">
        <f>LEFT('All Transactions'!$E1126,3)</f>
        <v>Jan</v>
      </c>
      <c r="D1126" s="12" t="str">
        <f t="shared" si="35"/>
        <v>2026</v>
      </c>
      <c r="E1126" s="16" t="s">
        <v>3616</v>
      </c>
      <c r="F1126" s="17" t="s">
        <v>918</v>
      </c>
      <c r="G1126" s="18" t="s">
        <v>28</v>
      </c>
      <c r="H1126" s="19">
        <v>300</v>
      </c>
      <c r="I1126" s="20" t="s">
        <v>3588</v>
      </c>
      <c r="J1126" s="20" t="s">
        <v>3629</v>
      </c>
      <c r="K1126" s="21" t="s">
        <v>3630</v>
      </c>
      <c r="L1126" s="20" t="s">
        <v>32</v>
      </c>
      <c r="M1126" t="str">
        <f>TEXT(A1126,"dddd")</f>
        <v>Friday</v>
      </c>
      <c r="N1126" s="35">
        <f>DATE(Table4[[#This Row],[year]],Table4[[#This Row],[month2]],Table4[[#This Row],[day]])</f>
        <v>46035</v>
      </c>
    </row>
    <row r="1127" spans="1:14" ht="16" x14ac:dyDescent="0.35">
      <c r="A1127" t="str">
        <f t="shared" si="34"/>
        <v>13</v>
      </c>
      <c r="B1127">
        <f>_xlfn.SWITCH(Table4[[#This Row],[month]],"jan",1,"feb",2,"mar",3,"apr",4,"may",5,"jun",6,"jul",7,"aug",8,"sep",9,"oct",10,"nov",11,"dec",12,"no month")</f>
        <v>1</v>
      </c>
      <c r="C1127" s="12" t="str">
        <f>LEFT('All Transactions'!$E1127,3)</f>
        <v>Jan</v>
      </c>
      <c r="D1127" s="12" t="str">
        <f t="shared" si="35"/>
        <v>2026</v>
      </c>
      <c r="E1127" s="22" t="s">
        <v>3616</v>
      </c>
      <c r="F1127" s="23" t="s">
        <v>699</v>
      </c>
      <c r="G1127" s="27" t="s">
        <v>54</v>
      </c>
      <c r="H1127" s="24">
        <v>400</v>
      </c>
      <c r="I1127" s="25" t="s">
        <v>3631</v>
      </c>
      <c r="J1127" s="25" t="s">
        <v>3632</v>
      </c>
      <c r="K1127" s="26" t="s">
        <v>3633</v>
      </c>
      <c r="L1127" s="25" t="s">
        <v>58</v>
      </c>
      <c r="M1127" t="str">
        <f>TEXT(A1127,"dddd")</f>
        <v>Friday</v>
      </c>
      <c r="N1127" s="35">
        <f>DATE(Table4[[#This Row],[year]],Table4[[#This Row],[month2]],Table4[[#This Row],[day]])</f>
        <v>46035</v>
      </c>
    </row>
    <row r="1128" spans="1:14" ht="16" x14ac:dyDescent="0.35">
      <c r="A1128" t="str">
        <f t="shared" si="34"/>
        <v>13</v>
      </c>
      <c r="B1128">
        <f>_xlfn.SWITCH(Table4[[#This Row],[month]],"jan",1,"feb",2,"mar",3,"apr",4,"may",5,"jun",6,"jul",7,"aug",8,"sep",9,"oct",10,"nov",11,"dec",12,"no month")</f>
        <v>1</v>
      </c>
      <c r="C1128" s="12" t="str">
        <f>LEFT('All Transactions'!$E1128,3)</f>
        <v>Jan</v>
      </c>
      <c r="D1128" s="12" t="str">
        <f t="shared" si="35"/>
        <v>2026</v>
      </c>
      <c r="E1128" s="16" t="s">
        <v>3616</v>
      </c>
      <c r="F1128" s="17" t="s">
        <v>3184</v>
      </c>
      <c r="G1128" s="27" t="s">
        <v>54</v>
      </c>
      <c r="H1128" s="19">
        <v>400</v>
      </c>
      <c r="I1128" s="20" t="s">
        <v>1075</v>
      </c>
      <c r="J1128" s="20" t="s">
        <v>3634</v>
      </c>
      <c r="K1128" s="21" t="s">
        <v>3635</v>
      </c>
      <c r="L1128" s="20" t="s">
        <v>58</v>
      </c>
      <c r="M1128" t="str">
        <f>TEXT(A1128,"dddd")</f>
        <v>Friday</v>
      </c>
      <c r="N1128" s="35">
        <f>DATE(Table4[[#This Row],[year]],Table4[[#This Row],[month2]],Table4[[#This Row],[day]])</f>
        <v>46035</v>
      </c>
    </row>
    <row r="1129" spans="1:14" ht="16" x14ac:dyDescent="0.35">
      <c r="A1129" t="str">
        <f t="shared" si="34"/>
        <v>12</v>
      </c>
      <c r="B1129">
        <f>_xlfn.SWITCH(Table4[[#This Row],[month]],"jan",1,"feb",2,"mar",3,"apr",4,"may",5,"jun",6,"jul",7,"aug",8,"sep",9,"oct",10,"nov",11,"dec",12,"no month")</f>
        <v>1</v>
      </c>
      <c r="C1129" s="12" t="str">
        <f>LEFT('All Transactions'!$E1129,3)</f>
        <v>Jan</v>
      </c>
      <c r="D1129" s="12" t="str">
        <f t="shared" si="35"/>
        <v>2026</v>
      </c>
      <c r="E1129" s="22" t="s">
        <v>3636</v>
      </c>
      <c r="F1129" s="23" t="s">
        <v>1421</v>
      </c>
      <c r="G1129" s="18" t="s">
        <v>28</v>
      </c>
      <c r="H1129" s="24">
        <v>30</v>
      </c>
      <c r="I1129" s="25" t="s">
        <v>3637</v>
      </c>
      <c r="J1129" s="25" t="s">
        <v>3638</v>
      </c>
      <c r="K1129" s="26" t="s">
        <v>3639</v>
      </c>
      <c r="L1129" s="25" t="s">
        <v>32</v>
      </c>
      <c r="M1129" t="str">
        <f>TEXT(A1129,"dddd")</f>
        <v>Thursday</v>
      </c>
      <c r="N1129" s="35">
        <f>DATE(Table4[[#This Row],[year]],Table4[[#This Row],[month2]],Table4[[#This Row],[day]])</f>
        <v>46034</v>
      </c>
    </row>
    <row r="1130" spans="1:14" ht="16" x14ac:dyDescent="0.35">
      <c r="A1130" t="str">
        <f t="shared" si="34"/>
        <v>12</v>
      </c>
      <c r="B1130">
        <f>_xlfn.SWITCH(Table4[[#This Row],[month]],"jan",1,"feb",2,"mar",3,"apr",4,"may",5,"jun",6,"jul",7,"aug",8,"sep",9,"oct",10,"nov",11,"dec",12,"no month")</f>
        <v>1</v>
      </c>
      <c r="C1130" s="12" t="str">
        <f>LEFT('All Transactions'!$E1130,3)</f>
        <v>Jan</v>
      </c>
      <c r="D1130" s="12" t="str">
        <f t="shared" si="35"/>
        <v>2026</v>
      </c>
      <c r="E1130" s="16" t="s">
        <v>3636</v>
      </c>
      <c r="F1130" s="17" t="s">
        <v>565</v>
      </c>
      <c r="G1130" s="18" t="s">
        <v>28</v>
      </c>
      <c r="H1130" s="19">
        <v>112.5</v>
      </c>
      <c r="I1130" s="20" t="s">
        <v>3640</v>
      </c>
      <c r="J1130" s="20" t="s">
        <v>3641</v>
      </c>
      <c r="K1130" s="21" t="s">
        <v>3642</v>
      </c>
      <c r="L1130" s="20" t="s">
        <v>32</v>
      </c>
      <c r="M1130" t="str">
        <f>TEXT(A1130,"dddd")</f>
        <v>Thursday</v>
      </c>
      <c r="N1130" s="35">
        <f>DATE(Table4[[#This Row],[year]],Table4[[#This Row],[month2]],Table4[[#This Row],[day]])</f>
        <v>46034</v>
      </c>
    </row>
    <row r="1131" spans="1:14" ht="16" x14ac:dyDescent="0.35">
      <c r="A1131" t="str">
        <f t="shared" si="34"/>
        <v>12</v>
      </c>
      <c r="B1131">
        <f>_xlfn.SWITCH(Table4[[#This Row],[month]],"jan",1,"feb",2,"mar",3,"apr",4,"may",5,"jun",6,"jul",7,"aug",8,"sep",9,"oct",10,"nov",11,"dec",12,"no month")</f>
        <v>1</v>
      </c>
      <c r="C1131" s="12" t="str">
        <f>LEFT('All Transactions'!$E1131,3)</f>
        <v>Jan</v>
      </c>
      <c r="D1131" s="12" t="str">
        <f t="shared" si="35"/>
        <v>2026</v>
      </c>
      <c r="E1131" s="22" t="s">
        <v>3636</v>
      </c>
      <c r="F1131" s="23" t="s">
        <v>3643</v>
      </c>
      <c r="G1131" s="27" t="s">
        <v>54</v>
      </c>
      <c r="H1131" s="24">
        <v>600</v>
      </c>
      <c r="I1131" s="25" t="s">
        <v>1090</v>
      </c>
      <c r="J1131" s="25" t="s">
        <v>3644</v>
      </c>
      <c r="K1131" s="26" t="s">
        <v>3645</v>
      </c>
      <c r="L1131" s="25" t="s">
        <v>58</v>
      </c>
      <c r="M1131" t="str">
        <f>TEXT(A1131,"dddd")</f>
        <v>Thursday</v>
      </c>
      <c r="N1131" s="35">
        <f>DATE(Table4[[#This Row],[year]],Table4[[#This Row],[month2]],Table4[[#This Row],[day]])</f>
        <v>46034</v>
      </c>
    </row>
    <row r="1132" spans="1:14" ht="16" x14ac:dyDescent="0.35">
      <c r="A1132" t="str">
        <f t="shared" si="34"/>
        <v>12</v>
      </c>
      <c r="B1132">
        <f>_xlfn.SWITCH(Table4[[#This Row],[month]],"jan",1,"feb",2,"mar",3,"apr",4,"may",5,"jun",6,"jul",7,"aug",8,"sep",9,"oct",10,"nov",11,"dec",12,"no month")</f>
        <v>1</v>
      </c>
      <c r="C1132" s="12" t="str">
        <f>LEFT('All Transactions'!$E1132,3)</f>
        <v>Jan</v>
      </c>
      <c r="D1132" s="12" t="str">
        <f t="shared" si="35"/>
        <v>2026</v>
      </c>
      <c r="E1132" s="16" t="s">
        <v>3636</v>
      </c>
      <c r="F1132" s="17" t="s">
        <v>407</v>
      </c>
      <c r="G1132" s="18" t="s">
        <v>28</v>
      </c>
      <c r="H1132" s="19">
        <v>450</v>
      </c>
      <c r="I1132" s="20" t="s">
        <v>3610</v>
      </c>
      <c r="J1132" s="20" t="s">
        <v>3646</v>
      </c>
      <c r="K1132" s="21" t="s">
        <v>3647</v>
      </c>
      <c r="L1132" s="20" t="s">
        <v>32</v>
      </c>
      <c r="M1132" t="str">
        <f>TEXT(A1132,"dddd")</f>
        <v>Thursday</v>
      </c>
      <c r="N1132" s="35">
        <f>DATE(Table4[[#This Row],[year]],Table4[[#This Row],[month2]],Table4[[#This Row],[day]])</f>
        <v>46034</v>
      </c>
    </row>
    <row r="1133" spans="1:14" ht="16" x14ac:dyDescent="0.35">
      <c r="A1133" t="str">
        <f t="shared" si="34"/>
        <v>12</v>
      </c>
      <c r="B1133">
        <f>_xlfn.SWITCH(Table4[[#This Row],[month]],"jan",1,"feb",2,"mar",3,"apr",4,"may",5,"jun",6,"jul",7,"aug",8,"sep",9,"oct",10,"nov",11,"dec",12,"no month")</f>
        <v>1</v>
      </c>
      <c r="C1133" s="12" t="str">
        <f>LEFT('All Transactions'!$E1133,3)</f>
        <v>Jan</v>
      </c>
      <c r="D1133" s="12" t="str">
        <f t="shared" si="35"/>
        <v>2026</v>
      </c>
      <c r="E1133" s="22" t="s">
        <v>3636</v>
      </c>
      <c r="F1133" s="23" t="s">
        <v>1445</v>
      </c>
      <c r="G1133" s="27" t="s">
        <v>54</v>
      </c>
      <c r="H1133" s="24">
        <v>450</v>
      </c>
      <c r="I1133" s="25" t="s">
        <v>3603</v>
      </c>
      <c r="J1133" s="25" t="s">
        <v>3648</v>
      </c>
      <c r="K1133" s="26" t="s">
        <v>3649</v>
      </c>
      <c r="L1133" s="25" t="s">
        <v>58</v>
      </c>
      <c r="M1133" t="str">
        <f>TEXT(A1133,"dddd")</f>
        <v>Thursday</v>
      </c>
      <c r="N1133" s="35">
        <f>DATE(Table4[[#This Row],[year]],Table4[[#This Row],[month2]],Table4[[#This Row],[day]])</f>
        <v>46034</v>
      </c>
    </row>
    <row r="1134" spans="1:14" ht="16" x14ac:dyDescent="0.35">
      <c r="A1134" t="str">
        <f t="shared" si="34"/>
        <v>11</v>
      </c>
      <c r="B1134">
        <f>_xlfn.SWITCH(Table4[[#This Row],[month]],"jan",1,"feb",2,"mar",3,"apr",4,"may",5,"jun",6,"jul",7,"aug",8,"sep",9,"oct",10,"nov",11,"dec",12,"no month")</f>
        <v>1</v>
      </c>
      <c r="C1134" s="12" t="str">
        <f>LEFT('All Transactions'!$E1134,3)</f>
        <v>Jan</v>
      </c>
      <c r="D1134" s="12" t="str">
        <f t="shared" si="35"/>
        <v>2026</v>
      </c>
      <c r="E1134" s="16" t="s">
        <v>3650</v>
      </c>
      <c r="F1134" s="17" t="s">
        <v>2036</v>
      </c>
      <c r="G1134" s="18" t="s">
        <v>28</v>
      </c>
      <c r="H1134" s="19">
        <v>100</v>
      </c>
      <c r="I1134" s="20" t="s">
        <v>3651</v>
      </c>
      <c r="J1134" s="20" t="s">
        <v>3652</v>
      </c>
      <c r="K1134" s="21" t="s">
        <v>3653</v>
      </c>
      <c r="L1134" s="20" t="s">
        <v>32</v>
      </c>
      <c r="M1134" t="str">
        <f>TEXT(A1134,"dddd")</f>
        <v>Wednesday</v>
      </c>
      <c r="N1134" s="35">
        <f>DATE(Table4[[#This Row],[year]],Table4[[#This Row],[month2]],Table4[[#This Row],[day]])</f>
        <v>46033</v>
      </c>
    </row>
    <row r="1135" spans="1:14" ht="16" x14ac:dyDescent="0.35">
      <c r="A1135" t="str">
        <f t="shared" si="34"/>
        <v>11</v>
      </c>
      <c r="B1135">
        <f>_xlfn.SWITCH(Table4[[#This Row],[month]],"jan",1,"feb",2,"mar",3,"apr",4,"may",5,"jun",6,"jul",7,"aug",8,"sep",9,"oct",10,"nov",11,"dec",12,"no month")</f>
        <v>1</v>
      </c>
      <c r="C1135" s="12" t="str">
        <f>LEFT('All Transactions'!$E1135,3)</f>
        <v>Jan</v>
      </c>
      <c r="D1135" s="12" t="str">
        <f t="shared" si="35"/>
        <v>2026</v>
      </c>
      <c r="E1135" s="22" t="s">
        <v>3650</v>
      </c>
      <c r="F1135" s="23" t="s">
        <v>69</v>
      </c>
      <c r="G1135" s="27" t="s">
        <v>54</v>
      </c>
      <c r="H1135" s="24">
        <v>500</v>
      </c>
      <c r="I1135" s="25" t="s">
        <v>1642</v>
      </c>
      <c r="J1135" s="25" t="s">
        <v>3654</v>
      </c>
      <c r="K1135" s="26" t="s">
        <v>3655</v>
      </c>
      <c r="L1135" s="25" t="s">
        <v>58</v>
      </c>
      <c r="M1135" t="str">
        <f>TEXT(A1135,"dddd")</f>
        <v>Wednesday</v>
      </c>
      <c r="N1135" s="35">
        <f>DATE(Table4[[#This Row],[year]],Table4[[#This Row],[month2]],Table4[[#This Row],[day]])</f>
        <v>46033</v>
      </c>
    </row>
    <row r="1136" spans="1:14" ht="16" x14ac:dyDescent="0.35">
      <c r="A1136" t="str">
        <f t="shared" si="34"/>
        <v>11</v>
      </c>
      <c r="B1136">
        <f>_xlfn.SWITCH(Table4[[#This Row],[month]],"jan",1,"feb",2,"mar",3,"apr",4,"may",5,"jun",6,"jul",7,"aug",8,"sep",9,"oct",10,"nov",11,"dec",12,"no month")</f>
        <v>1</v>
      </c>
      <c r="C1136" s="12" t="str">
        <f>LEFT('All Transactions'!$E1136,3)</f>
        <v>Jan</v>
      </c>
      <c r="D1136" s="12" t="str">
        <f t="shared" si="35"/>
        <v>2026</v>
      </c>
      <c r="E1136" s="16" t="s">
        <v>3650</v>
      </c>
      <c r="F1136" s="17" t="s">
        <v>1940</v>
      </c>
      <c r="G1136" s="18" t="s">
        <v>28</v>
      </c>
      <c r="H1136" s="19">
        <v>250</v>
      </c>
      <c r="I1136" s="20" t="s">
        <v>3656</v>
      </c>
      <c r="J1136" s="20" t="s">
        <v>3657</v>
      </c>
      <c r="K1136" s="21" t="s">
        <v>3658</v>
      </c>
      <c r="L1136" s="20" t="s">
        <v>32</v>
      </c>
      <c r="M1136" t="str">
        <f>TEXT(A1136,"dddd")</f>
        <v>Wednesday</v>
      </c>
      <c r="N1136" s="35">
        <f>DATE(Table4[[#This Row],[year]],Table4[[#This Row],[month2]],Table4[[#This Row],[day]])</f>
        <v>46033</v>
      </c>
    </row>
    <row r="1137" spans="1:14" ht="16" x14ac:dyDescent="0.35">
      <c r="A1137" t="str">
        <f t="shared" si="34"/>
        <v>10</v>
      </c>
      <c r="B1137">
        <f>_xlfn.SWITCH(Table4[[#This Row],[month]],"jan",1,"feb",2,"mar",3,"apr",4,"may",5,"jun",6,"jul",7,"aug",8,"sep",9,"oct",10,"nov",11,"dec",12,"no month")</f>
        <v>1</v>
      </c>
      <c r="C1137" s="12" t="str">
        <f>LEFT('All Transactions'!$E1137,3)</f>
        <v>Jan</v>
      </c>
      <c r="D1137" s="12" t="str">
        <f t="shared" si="35"/>
        <v>2026</v>
      </c>
      <c r="E1137" s="22" t="s">
        <v>3659</v>
      </c>
      <c r="F1137" s="23" t="s">
        <v>3660</v>
      </c>
      <c r="G1137" s="18" t="s">
        <v>28</v>
      </c>
      <c r="H1137" s="24">
        <v>118</v>
      </c>
      <c r="I1137" s="25" t="s">
        <v>336</v>
      </c>
      <c r="J1137" s="25" t="s">
        <v>3661</v>
      </c>
      <c r="K1137" s="26" t="s">
        <v>3662</v>
      </c>
      <c r="L1137" s="25" t="s">
        <v>32</v>
      </c>
      <c r="M1137" t="str">
        <f>TEXT(A1137,"dddd")</f>
        <v>Tuesday</v>
      </c>
      <c r="N1137" s="35">
        <f>DATE(Table4[[#This Row],[year]],Table4[[#This Row],[month2]],Table4[[#This Row],[day]])</f>
        <v>46032</v>
      </c>
    </row>
    <row r="1138" spans="1:14" ht="16" x14ac:dyDescent="0.35">
      <c r="A1138" t="str">
        <f t="shared" si="34"/>
        <v>10</v>
      </c>
      <c r="B1138">
        <f>_xlfn.SWITCH(Table4[[#This Row],[month]],"jan",1,"feb",2,"mar",3,"apr",4,"may",5,"jun",6,"jul",7,"aug",8,"sep",9,"oct",10,"nov",11,"dec",12,"no month")</f>
        <v>1</v>
      </c>
      <c r="C1138" s="12" t="str">
        <f>LEFT('All Transactions'!$E1138,3)</f>
        <v>Jan</v>
      </c>
      <c r="D1138" s="12" t="str">
        <f t="shared" si="35"/>
        <v>2026</v>
      </c>
      <c r="E1138" s="16" t="s">
        <v>3659</v>
      </c>
      <c r="F1138" s="17" t="s">
        <v>3663</v>
      </c>
      <c r="G1138" s="18" t="s">
        <v>28</v>
      </c>
      <c r="H1138" s="19">
        <v>166</v>
      </c>
      <c r="I1138" s="20" t="s">
        <v>336</v>
      </c>
      <c r="J1138" s="20" t="s">
        <v>3664</v>
      </c>
      <c r="K1138" s="21" t="s">
        <v>3665</v>
      </c>
      <c r="L1138" s="20" t="s">
        <v>32</v>
      </c>
      <c r="M1138" t="str">
        <f>TEXT(A1138,"dddd")</f>
        <v>Tuesday</v>
      </c>
      <c r="N1138" s="35">
        <f>DATE(Table4[[#This Row],[year]],Table4[[#This Row],[month2]],Table4[[#This Row],[day]])</f>
        <v>46032</v>
      </c>
    </row>
    <row r="1139" spans="1:14" ht="16" x14ac:dyDescent="0.35">
      <c r="A1139" t="str">
        <f t="shared" si="34"/>
        <v>10</v>
      </c>
      <c r="B1139">
        <f>_xlfn.SWITCH(Table4[[#This Row],[month]],"jan",1,"feb",2,"mar",3,"apr",4,"may",5,"jun",6,"jul",7,"aug",8,"sep",9,"oct",10,"nov",11,"dec",12,"no month")</f>
        <v>1</v>
      </c>
      <c r="C1139" s="12" t="str">
        <f>LEFT('All Transactions'!$E1139,3)</f>
        <v>Jan</v>
      </c>
      <c r="D1139" s="12" t="str">
        <f t="shared" si="35"/>
        <v>2026</v>
      </c>
      <c r="E1139" s="22" t="s">
        <v>3659</v>
      </c>
      <c r="F1139" s="23" t="s">
        <v>2407</v>
      </c>
      <c r="G1139" s="27" t="s">
        <v>54</v>
      </c>
      <c r="H1139" s="24">
        <v>870</v>
      </c>
      <c r="I1139" s="25" t="s">
        <v>1090</v>
      </c>
      <c r="J1139" s="25" t="s">
        <v>3666</v>
      </c>
      <c r="K1139" s="26" t="s">
        <v>3667</v>
      </c>
      <c r="L1139" s="25" t="s">
        <v>58</v>
      </c>
      <c r="M1139" t="str">
        <f>TEXT(A1139,"dddd")</f>
        <v>Tuesday</v>
      </c>
      <c r="N1139" s="35">
        <f>DATE(Table4[[#This Row],[year]],Table4[[#This Row],[month2]],Table4[[#This Row],[day]])</f>
        <v>46032</v>
      </c>
    </row>
    <row r="1140" spans="1:14" ht="16" x14ac:dyDescent="0.35">
      <c r="A1140" t="str">
        <f t="shared" si="34"/>
        <v>10</v>
      </c>
      <c r="B1140">
        <f>_xlfn.SWITCH(Table4[[#This Row],[month]],"jan",1,"feb",2,"mar",3,"apr",4,"may",5,"jun",6,"jul",7,"aug",8,"sep",9,"oct",10,"nov",11,"dec",12,"no month")</f>
        <v>1</v>
      </c>
      <c r="C1140" s="12" t="str">
        <f>LEFT('All Transactions'!$E1140,3)</f>
        <v>Jan</v>
      </c>
      <c r="D1140" s="12" t="str">
        <f t="shared" si="35"/>
        <v>2026</v>
      </c>
      <c r="E1140" s="16" t="s">
        <v>3659</v>
      </c>
      <c r="F1140" s="17" t="s">
        <v>3668</v>
      </c>
      <c r="G1140" s="18" t="s">
        <v>28</v>
      </c>
      <c r="H1140" s="19">
        <v>50</v>
      </c>
      <c r="I1140" s="20" t="s">
        <v>1096</v>
      </c>
      <c r="J1140" s="20" t="s">
        <v>3669</v>
      </c>
      <c r="K1140" s="21" t="s">
        <v>3670</v>
      </c>
      <c r="L1140" s="20" t="s">
        <v>32</v>
      </c>
      <c r="M1140" t="str">
        <f>TEXT(A1140,"dddd")</f>
        <v>Tuesday</v>
      </c>
      <c r="N1140" s="35">
        <f>DATE(Table4[[#This Row],[year]],Table4[[#This Row],[month2]],Table4[[#This Row],[day]])</f>
        <v>46032</v>
      </c>
    </row>
    <row r="1141" spans="1:14" ht="16" x14ac:dyDescent="0.35">
      <c r="A1141" t="str">
        <f t="shared" si="34"/>
        <v>10</v>
      </c>
      <c r="B1141">
        <f>_xlfn.SWITCH(Table4[[#This Row],[month]],"jan",1,"feb",2,"mar",3,"apr",4,"may",5,"jun",6,"jul",7,"aug",8,"sep",9,"oct",10,"nov",11,"dec",12,"no month")</f>
        <v>1</v>
      </c>
      <c r="C1141" s="12" t="str">
        <f>LEFT('All Transactions'!$E1141,3)</f>
        <v>Jan</v>
      </c>
      <c r="D1141" s="12" t="str">
        <f t="shared" si="35"/>
        <v>2026</v>
      </c>
      <c r="E1141" s="22" t="s">
        <v>3659</v>
      </c>
      <c r="F1141" s="23" t="s">
        <v>3671</v>
      </c>
      <c r="G1141" s="18" t="s">
        <v>28</v>
      </c>
      <c r="H1141" s="24">
        <v>20</v>
      </c>
      <c r="I1141" s="25" t="s">
        <v>3672</v>
      </c>
      <c r="J1141" s="25" t="s">
        <v>3673</v>
      </c>
      <c r="K1141" s="26" t="s">
        <v>3674</v>
      </c>
      <c r="L1141" s="25" t="s">
        <v>32</v>
      </c>
      <c r="M1141" t="str">
        <f>TEXT(A1141,"dddd")</f>
        <v>Tuesday</v>
      </c>
      <c r="N1141" s="35">
        <f>DATE(Table4[[#This Row],[year]],Table4[[#This Row],[month2]],Table4[[#This Row],[day]])</f>
        <v>46032</v>
      </c>
    </row>
    <row r="1142" spans="1:14" ht="16" x14ac:dyDescent="0.35">
      <c r="A1142" t="str">
        <f t="shared" si="34"/>
        <v>09</v>
      </c>
      <c r="B1142">
        <f>_xlfn.SWITCH(Table4[[#This Row],[month]],"jan",1,"feb",2,"mar",3,"apr",4,"may",5,"jun",6,"jul",7,"aug",8,"sep",9,"oct",10,"nov",11,"dec",12,"no month")</f>
        <v>1</v>
      </c>
      <c r="C1142" s="12" t="str">
        <f>LEFT('All Transactions'!$E1142,3)</f>
        <v>Jan</v>
      </c>
      <c r="D1142" s="12" t="str">
        <f t="shared" si="35"/>
        <v>2026</v>
      </c>
      <c r="E1142" s="16" t="s">
        <v>3675</v>
      </c>
      <c r="F1142" s="17" t="s">
        <v>1334</v>
      </c>
      <c r="G1142" s="18" t="s">
        <v>28</v>
      </c>
      <c r="H1142" s="19">
        <v>20</v>
      </c>
      <c r="I1142" s="20" t="s">
        <v>3676</v>
      </c>
      <c r="J1142" s="20" t="s">
        <v>3677</v>
      </c>
      <c r="K1142" s="21" t="s">
        <v>3678</v>
      </c>
      <c r="L1142" s="20" t="s">
        <v>32</v>
      </c>
      <c r="M1142" t="str">
        <f>TEXT(A1142,"dddd")</f>
        <v>Monday</v>
      </c>
      <c r="N1142" s="35">
        <f>DATE(Table4[[#This Row],[year]],Table4[[#This Row],[month2]],Table4[[#This Row],[day]])</f>
        <v>46031</v>
      </c>
    </row>
    <row r="1143" spans="1:14" ht="16" x14ac:dyDescent="0.35">
      <c r="A1143" t="str">
        <f t="shared" si="34"/>
        <v>09</v>
      </c>
      <c r="B1143">
        <f>_xlfn.SWITCH(Table4[[#This Row],[month]],"jan",1,"feb",2,"mar",3,"apr",4,"may",5,"jun",6,"jul",7,"aug",8,"sep",9,"oct",10,"nov",11,"dec",12,"no month")</f>
        <v>1</v>
      </c>
      <c r="C1143" s="12" t="str">
        <f>LEFT('All Transactions'!$E1143,3)</f>
        <v>Jan</v>
      </c>
      <c r="D1143" s="12" t="str">
        <f t="shared" si="35"/>
        <v>2026</v>
      </c>
      <c r="E1143" s="22" t="s">
        <v>3675</v>
      </c>
      <c r="F1143" s="23" t="s">
        <v>3679</v>
      </c>
      <c r="G1143" s="27" t="s">
        <v>54</v>
      </c>
      <c r="H1143" s="24">
        <v>60</v>
      </c>
      <c r="I1143" s="25" t="s">
        <v>947</v>
      </c>
      <c r="J1143" s="25" t="s">
        <v>3680</v>
      </c>
      <c r="K1143" s="26" t="s">
        <v>3681</v>
      </c>
      <c r="L1143" s="25" t="s">
        <v>58</v>
      </c>
      <c r="M1143" t="str">
        <f>TEXT(A1143,"dddd")</f>
        <v>Monday</v>
      </c>
      <c r="N1143" s="35">
        <f>DATE(Table4[[#This Row],[year]],Table4[[#This Row],[month2]],Table4[[#This Row],[day]])</f>
        <v>46031</v>
      </c>
    </row>
    <row r="1144" spans="1:14" ht="16" x14ac:dyDescent="0.35">
      <c r="A1144" t="str">
        <f t="shared" si="34"/>
        <v>07</v>
      </c>
      <c r="B1144">
        <f>_xlfn.SWITCH(Table4[[#This Row],[month]],"jan",1,"feb",2,"mar",3,"apr",4,"may",5,"jun",6,"jul",7,"aug",8,"sep",9,"oct",10,"nov",11,"dec",12,"no month")</f>
        <v>1</v>
      </c>
      <c r="C1144" s="12" t="str">
        <f>LEFT('All Transactions'!$E1144,3)</f>
        <v>Jan</v>
      </c>
      <c r="D1144" s="12" t="str">
        <f t="shared" si="35"/>
        <v>2026</v>
      </c>
      <c r="E1144" s="16" t="s">
        <v>3682</v>
      </c>
      <c r="F1144" s="17" t="s">
        <v>1464</v>
      </c>
      <c r="G1144" s="18" t="s">
        <v>28</v>
      </c>
      <c r="H1144" s="19">
        <v>20</v>
      </c>
      <c r="I1144" s="20" t="s">
        <v>915</v>
      </c>
      <c r="J1144" s="20" t="s">
        <v>3683</v>
      </c>
      <c r="K1144" s="21" t="s">
        <v>3684</v>
      </c>
      <c r="L1144" s="20" t="s">
        <v>32</v>
      </c>
      <c r="M1144" t="str">
        <f>TEXT(A1144,"dddd")</f>
        <v>Saturday</v>
      </c>
      <c r="N1144" s="35">
        <f>DATE(Table4[[#This Row],[year]],Table4[[#This Row],[month2]],Table4[[#This Row],[day]])</f>
        <v>46029</v>
      </c>
    </row>
    <row r="1145" spans="1:14" ht="16" x14ac:dyDescent="0.35">
      <c r="A1145" t="str">
        <f t="shared" si="34"/>
        <v>07</v>
      </c>
      <c r="B1145">
        <f>_xlfn.SWITCH(Table4[[#This Row],[month]],"jan",1,"feb",2,"mar",3,"apr",4,"may",5,"jun",6,"jul",7,"aug",8,"sep",9,"oct",10,"nov",11,"dec",12,"no month")</f>
        <v>1</v>
      </c>
      <c r="C1145" s="12" t="str">
        <f>LEFT('All Transactions'!$E1145,3)</f>
        <v>Jan</v>
      </c>
      <c r="D1145" s="12" t="str">
        <f t="shared" si="35"/>
        <v>2026</v>
      </c>
      <c r="E1145" s="22" t="s">
        <v>3682</v>
      </c>
      <c r="F1145" s="23" t="s">
        <v>2317</v>
      </c>
      <c r="G1145" s="27" t="s">
        <v>54</v>
      </c>
      <c r="H1145" s="24">
        <v>300</v>
      </c>
      <c r="I1145" s="25" t="s">
        <v>156</v>
      </c>
      <c r="J1145" s="25" t="s">
        <v>3685</v>
      </c>
      <c r="K1145" s="26" t="s">
        <v>3686</v>
      </c>
      <c r="L1145" s="25" t="s">
        <v>58</v>
      </c>
      <c r="M1145" t="str">
        <f>TEXT(A1145,"dddd")</f>
        <v>Saturday</v>
      </c>
      <c r="N1145" s="35">
        <f>DATE(Table4[[#This Row],[year]],Table4[[#This Row],[month2]],Table4[[#This Row],[day]])</f>
        <v>46029</v>
      </c>
    </row>
    <row r="1146" spans="1:14" ht="16" x14ac:dyDescent="0.35">
      <c r="A1146" t="str">
        <f t="shared" si="34"/>
        <v>07</v>
      </c>
      <c r="B1146">
        <f>_xlfn.SWITCH(Table4[[#This Row],[month]],"jan",1,"feb",2,"mar",3,"apr",4,"may",5,"jun",6,"jul",7,"aug",8,"sep",9,"oct",10,"nov",11,"dec",12,"no month")</f>
        <v>1</v>
      </c>
      <c r="C1146" s="12" t="str">
        <f>LEFT('All Transactions'!$E1146,3)</f>
        <v>Jan</v>
      </c>
      <c r="D1146" s="12" t="str">
        <f t="shared" si="35"/>
        <v>2026</v>
      </c>
      <c r="E1146" s="16" t="s">
        <v>3682</v>
      </c>
      <c r="F1146" s="17" t="s">
        <v>1625</v>
      </c>
      <c r="G1146" s="18" t="s">
        <v>28</v>
      </c>
      <c r="H1146" s="19">
        <v>120</v>
      </c>
      <c r="I1146" s="20" t="s">
        <v>3687</v>
      </c>
      <c r="J1146" s="20" t="s">
        <v>3688</v>
      </c>
      <c r="K1146" s="21" t="s">
        <v>3689</v>
      </c>
      <c r="L1146" s="20" t="s">
        <v>32</v>
      </c>
      <c r="M1146" t="str">
        <f>TEXT(A1146,"dddd")</f>
        <v>Saturday</v>
      </c>
      <c r="N1146" s="35">
        <f>DATE(Table4[[#This Row],[year]],Table4[[#This Row],[month2]],Table4[[#This Row],[day]])</f>
        <v>46029</v>
      </c>
    </row>
    <row r="1147" spans="1:14" ht="16" x14ac:dyDescent="0.35">
      <c r="A1147" t="str">
        <f t="shared" si="34"/>
        <v>06</v>
      </c>
      <c r="B1147">
        <f>_xlfn.SWITCH(Table4[[#This Row],[month]],"jan",1,"feb",2,"mar",3,"apr",4,"may",5,"jun",6,"jul",7,"aug",8,"sep",9,"oct",10,"nov",11,"dec",12,"no month")</f>
        <v>1</v>
      </c>
      <c r="C1147" s="12" t="str">
        <f>LEFT('All Transactions'!$E1147,3)</f>
        <v>Jan</v>
      </c>
      <c r="D1147" s="12" t="str">
        <f t="shared" si="35"/>
        <v>2026</v>
      </c>
      <c r="E1147" s="22" t="s">
        <v>3690</v>
      </c>
      <c r="F1147" s="23" t="s">
        <v>3663</v>
      </c>
      <c r="G1147" s="18" t="s">
        <v>28</v>
      </c>
      <c r="H1147" s="24">
        <v>100</v>
      </c>
      <c r="I1147" s="25" t="s">
        <v>3691</v>
      </c>
      <c r="J1147" s="25" t="s">
        <v>3692</v>
      </c>
      <c r="K1147" s="26" t="s">
        <v>3693</v>
      </c>
      <c r="L1147" s="25" t="s">
        <v>32</v>
      </c>
      <c r="M1147" t="str">
        <f>TEXT(A1147,"dddd")</f>
        <v>Friday</v>
      </c>
      <c r="N1147" s="35">
        <f>DATE(Table4[[#This Row],[year]],Table4[[#This Row],[month2]],Table4[[#This Row],[day]])</f>
        <v>46028</v>
      </c>
    </row>
    <row r="1148" spans="1:14" ht="16" x14ac:dyDescent="0.35">
      <c r="A1148" t="str">
        <f t="shared" si="34"/>
        <v>06</v>
      </c>
      <c r="B1148">
        <f>_xlfn.SWITCH(Table4[[#This Row],[month]],"jan",1,"feb",2,"mar",3,"apr",4,"may",5,"jun",6,"jul",7,"aug",8,"sep",9,"oct",10,"nov",11,"dec",12,"no month")</f>
        <v>1</v>
      </c>
      <c r="C1148" s="12" t="str">
        <f>LEFT('All Transactions'!$E1148,3)</f>
        <v>Jan</v>
      </c>
      <c r="D1148" s="12" t="str">
        <f t="shared" si="35"/>
        <v>2026</v>
      </c>
      <c r="E1148" s="16" t="s">
        <v>3690</v>
      </c>
      <c r="F1148" s="17" t="s">
        <v>672</v>
      </c>
      <c r="G1148" s="18" t="s">
        <v>28</v>
      </c>
      <c r="H1148" s="19">
        <v>2000</v>
      </c>
      <c r="I1148" s="20" t="s">
        <v>2871</v>
      </c>
      <c r="J1148" s="20" t="s">
        <v>3694</v>
      </c>
      <c r="K1148" s="21" t="s">
        <v>3695</v>
      </c>
      <c r="L1148" s="20" t="s">
        <v>32</v>
      </c>
      <c r="M1148" t="str">
        <f>TEXT(A1148,"dddd")</f>
        <v>Friday</v>
      </c>
      <c r="N1148" s="35">
        <f>DATE(Table4[[#This Row],[year]],Table4[[#This Row],[month2]],Table4[[#This Row],[day]])</f>
        <v>46028</v>
      </c>
    </row>
    <row r="1149" spans="1:14" ht="16" x14ac:dyDescent="0.35">
      <c r="A1149" t="str">
        <f t="shared" si="34"/>
        <v>06</v>
      </c>
      <c r="B1149">
        <f>_xlfn.SWITCH(Table4[[#This Row],[month]],"jan",1,"feb",2,"mar",3,"apr",4,"may",5,"jun",6,"jul",7,"aug",8,"sep",9,"oct",10,"nov",11,"dec",12,"no month")</f>
        <v>1</v>
      </c>
      <c r="C1149" s="12" t="str">
        <f>LEFT('All Transactions'!$E1149,3)</f>
        <v>Jan</v>
      </c>
      <c r="D1149" s="12" t="str">
        <f t="shared" si="35"/>
        <v>2026</v>
      </c>
      <c r="E1149" s="22" t="s">
        <v>3690</v>
      </c>
      <c r="F1149" s="23" t="s">
        <v>1759</v>
      </c>
      <c r="G1149" s="18" t="s">
        <v>28</v>
      </c>
      <c r="H1149" s="24">
        <v>70</v>
      </c>
      <c r="I1149" s="25" t="s">
        <v>3696</v>
      </c>
      <c r="J1149" s="25" t="s">
        <v>3697</v>
      </c>
      <c r="K1149" s="26" t="s">
        <v>3698</v>
      </c>
      <c r="L1149" s="25" t="s">
        <v>32</v>
      </c>
      <c r="M1149" t="str">
        <f>TEXT(A1149,"dddd")</f>
        <v>Friday</v>
      </c>
      <c r="N1149" s="35">
        <f>DATE(Table4[[#This Row],[year]],Table4[[#This Row],[month2]],Table4[[#This Row],[day]])</f>
        <v>46028</v>
      </c>
    </row>
    <row r="1150" spans="1:14" ht="16" x14ac:dyDescent="0.35">
      <c r="A1150" t="str">
        <f t="shared" si="34"/>
        <v>06</v>
      </c>
      <c r="B1150">
        <f>_xlfn.SWITCH(Table4[[#This Row],[month]],"jan",1,"feb",2,"mar",3,"apr",4,"may",5,"jun",6,"jul",7,"aug",8,"sep",9,"oct",10,"nov",11,"dec",12,"no month")</f>
        <v>1</v>
      </c>
      <c r="C1150" s="12" t="str">
        <f>LEFT('All Transactions'!$E1150,3)</f>
        <v>Jan</v>
      </c>
      <c r="D1150" s="12" t="str">
        <f t="shared" si="35"/>
        <v>2026</v>
      </c>
      <c r="E1150" s="16" t="s">
        <v>3690</v>
      </c>
      <c r="F1150" s="17" t="s">
        <v>3699</v>
      </c>
      <c r="G1150" s="18" t="s">
        <v>28</v>
      </c>
      <c r="H1150" s="19">
        <v>30</v>
      </c>
      <c r="I1150" s="20" t="s">
        <v>3700</v>
      </c>
      <c r="J1150" s="20" t="s">
        <v>3701</v>
      </c>
      <c r="K1150" s="21" t="s">
        <v>3702</v>
      </c>
      <c r="L1150" s="20" t="s">
        <v>32</v>
      </c>
      <c r="M1150" t="str">
        <f>TEXT(A1150,"dddd")</f>
        <v>Friday</v>
      </c>
      <c r="N1150" s="35">
        <f>DATE(Table4[[#This Row],[year]],Table4[[#This Row],[month2]],Table4[[#This Row],[day]])</f>
        <v>46028</v>
      </c>
    </row>
    <row r="1151" spans="1:14" ht="16" x14ac:dyDescent="0.35">
      <c r="A1151" t="str">
        <f t="shared" si="34"/>
        <v>05</v>
      </c>
      <c r="B1151">
        <f>_xlfn.SWITCH(Table4[[#This Row],[month]],"jan",1,"feb",2,"mar",3,"apr",4,"may",5,"jun",6,"jul",7,"aug",8,"sep",9,"oct",10,"nov",11,"dec",12,"no month")</f>
        <v>1</v>
      </c>
      <c r="C1151" s="12" t="str">
        <f>LEFT('All Transactions'!$E1151,3)</f>
        <v>Jan</v>
      </c>
      <c r="D1151" s="12" t="str">
        <f t="shared" si="35"/>
        <v>2026</v>
      </c>
      <c r="E1151" s="22" t="s">
        <v>3703</v>
      </c>
      <c r="F1151" s="23" t="s">
        <v>2393</v>
      </c>
      <c r="G1151" s="27" t="s">
        <v>54</v>
      </c>
      <c r="H1151" s="24">
        <v>250</v>
      </c>
      <c r="I1151" s="25" t="s">
        <v>947</v>
      </c>
      <c r="J1151" s="25" t="s">
        <v>3704</v>
      </c>
      <c r="K1151" s="26" t="s">
        <v>3705</v>
      </c>
      <c r="L1151" s="25" t="s">
        <v>58</v>
      </c>
      <c r="M1151" t="str">
        <f>TEXT(A1151,"dddd")</f>
        <v>Thursday</v>
      </c>
      <c r="N1151" s="35">
        <f>DATE(Table4[[#This Row],[year]],Table4[[#This Row],[month2]],Table4[[#This Row],[day]])</f>
        <v>46027</v>
      </c>
    </row>
    <row r="1152" spans="1:14" ht="16" x14ac:dyDescent="0.35">
      <c r="A1152" t="str">
        <f t="shared" si="34"/>
        <v>05</v>
      </c>
      <c r="B1152">
        <f>_xlfn.SWITCH(Table4[[#This Row],[month]],"jan",1,"feb",2,"mar",3,"apr",4,"may",5,"jun",6,"jul",7,"aug",8,"sep",9,"oct",10,"nov",11,"dec",12,"no month")</f>
        <v>1</v>
      </c>
      <c r="C1152" s="12" t="str">
        <f>LEFT('All Transactions'!$E1152,3)</f>
        <v>Jan</v>
      </c>
      <c r="D1152" s="12" t="str">
        <f t="shared" si="35"/>
        <v>2026</v>
      </c>
      <c r="E1152" s="16" t="s">
        <v>3703</v>
      </c>
      <c r="F1152" s="17" t="s">
        <v>2439</v>
      </c>
      <c r="G1152" s="18" t="s">
        <v>28</v>
      </c>
      <c r="H1152" s="19">
        <v>25</v>
      </c>
      <c r="I1152" s="20" t="s">
        <v>3706</v>
      </c>
      <c r="J1152" s="20" t="s">
        <v>3707</v>
      </c>
      <c r="K1152" s="21" t="s">
        <v>3708</v>
      </c>
      <c r="L1152" s="20" t="s">
        <v>32</v>
      </c>
      <c r="M1152" t="str">
        <f>TEXT(A1152,"dddd")</f>
        <v>Thursday</v>
      </c>
      <c r="N1152" s="35">
        <f>DATE(Table4[[#This Row],[year]],Table4[[#This Row],[month2]],Table4[[#This Row],[day]])</f>
        <v>46027</v>
      </c>
    </row>
    <row r="1153" spans="1:14" ht="16" x14ac:dyDescent="0.35">
      <c r="A1153" t="str">
        <f t="shared" si="34"/>
        <v>05</v>
      </c>
      <c r="B1153">
        <f>_xlfn.SWITCH(Table4[[#This Row],[month]],"jan",1,"feb",2,"mar",3,"apr",4,"may",5,"jun",6,"jul",7,"aug",8,"sep",9,"oct",10,"nov",11,"dec",12,"no month")</f>
        <v>1</v>
      </c>
      <c r="C1153" s="12" t="str">
        <f>LEFT('All Transactions'!$E1153,3)</f>
        <v>Jan</v>
      </c>
      <c r="D1153" s="12" t="str">
        <f t="shared" si="35"/>
        <v>2026</v>
      </c>
      <c r="E1153" s="22" t="s">
        <v>3703</v>
      </c>
      <c r="F1153" s="23" t="s">
        <v>951</v>
      </c>
      <c r="G1153" s="18" t="s">
        <v>28</v>
      </c>
      <c r="H1153" s="24">
        <v>149.46</v>
      </c>
      <c r="I1153" s="25" t="s">
        <v>3709</v>
      </c>
      <c r="J1153" s="25" t="s">
        <v>3710</v>
      </c>
      <c r="K1153" s="26" t="s">
        <v>3711</v>
      </c>
      <c r="L1153" s="25" t="s">
        <v>32</v>
      </c>
      <c r="M1153" t="str">
        <f>TEXT(A1153,"dddd")</f>
        <v>Thursday</v>
      </c>
      <c r="N1153" s="35">
        <f>DATE(Table4[[#This Row],[year]],Table4[[#This Row],[month2]],Table4[[#This Row],[day]])</f>
        <v>46027</v>
      </c>
    </row>
    <row r="1154" spans="1:14" ht="16" x14ac:dyDescent="0.35">
      <c r="A1154" t="str">
        <f t="shared" si="34"/>
        <v>05</v>
      </c>
      <c r="B1154">
        <f>_xlfn.SWITCH(Table4[[#This Row],[month]],"jan",1,"feb",2,"mar",3,"apr",4,"may",5,"jun",6,"jul",7,"aug",8,"sep",9,"oct",10,"nov",11,"dec",12,"no month")</f>
        <v>1</v>
      </c>
      <c r="C1154" s="12" t="str">
        <f>LEFT('All Transactions'!$E1154,3)</f>
        <v>Jan</v>
      </c>
      <c r="D1154" s="12" t="str">
        <f t="shared" si="35"/>
        <v>2026</v>
      </c>
      <c r="E1154" s="16" t="s">
        <v>3703</v>
      </c>
      <c r="F1154" s="17" t="s">
        <v>2208</v>
      </c>
      <c r="G1154" s="18" t="s">
        <v>28</v>
      </c>
      <c r="H1154" s="19">
        <v>20</v>
      </c>
      <c r="I1154" s="20" t="s">
        <v>3712</v>
      </c>
      <c r="J1154" s="20" t="s">
        <v>3713</v>
      </c>
      <c r="K1154" s="21" t="s">
        <v>3714</v>
      </c>
      <c r="L1154" s="20" t="s">
        <v>32</v>
      </c>
      <c r="M1154" t="str">
        <f>TEXT(A1154,"dddd")</f>
        <v>Thursday</v>
      </c>
      <c r="N1154" s="35">
        <f>DATE(Table4[[#This Row],[year]],Table4[[#This Row],[month2]],Table4[[#This Row],[day]])</f>
        <v>46027</v>
      </c>
    </row>
    <row r="1155" spans="1:14" ht="16" x14ac:dyDescent="0.35">
      <c r="A1155" t="str">
        <f t="shared" ref="A1155:A1218" si="36">MID(E1155,5,2)</f>
        <v>05</v>
      </c>
      <c r="B1155">
        <f>_xlfn.SWITCH(Table4[[#This Row],[month]],"jan",1,"feb",2,"mar",3,"apr",4,"may",5,"jun",6,"jul",7,"aug",8,"sep",9,"oct",10,"nov",11,"dec",12,"no month")</f>
        <v>1</v>
      </c>
      <c r="C1155" s="12" t="str">
        <f>LEFT('All Transactions'!$E1155,3)</f>
        <v>Jan</v>
      </c>
      <c r="D1155" s="12" t="str">
        <f t="shared" ref="D1155:D1218" si="37">RIGHT(E1155,4)</f>
        <v>2026</v>
      </c>
      <c r="E1155" s="22" t="s">
        <v>3703</v>
      </c>
      <c r="F1155" s="23" t="s">
        <v>3269</v>
      </c>
      <c r="G1155" s="18" t="s">
        <v>28</v>
      </c>
      <c r="H1155" s="24">
        <v>360</v>
      </c>
      <c r="I1155" s="25" t="s">
        <v>3715</v>
      </c>
      <c r="J1155" s="25" t="s">
        <v>3716</v>
      </c>
      <c r="K1155" s="26" t="s">
        <v>3717</v>
      </c>
      <c r="L1155" s="25" t="s">
        <v>32</v>
      </c>
      <c r="M1155" t="str">
        <f>TEXT(A1155,"dddd")</f>
        <v>Thursday</v>
      </c>
      <c r="N1155" s="35">
        <f>DATE(Table4[[#This Row],[year]],Table4[[#This Row],[month2]],Table4[[#This Row],[day]])</f>
        <v>46027</v>
      </c>
    </row>
    <row r="1156" spans="1:14" ht="16" x14ac:dyDescent="0.35">
      <c r="A1156" t="str">
        <f t="shared" si="36"/>
        <v>05</v>
      </c>
      <c r="B1156">
        <f>_xlfn.SWITCH(Table4[[#This Row],[month]],"jan",1,"feb",2,"mar",3,"apr",4,"may",5,"jun",6,"jul",7,"aug",8,"sep",9,"oct",10,"nov",11,"dec",12,"no month")</f>
        <v>1</v>
      </c>
      <c r="C1156" s="12" t="str">
        <f>LEFT('All Transactions'!$E1156,3)</f>
        <v>Jan</v>
      </c>
      <c r="D1156" s="12" t="str">
        <f t="shared" si="37"/>
        <v>2026</v>
      </c>
      <c r="E1156" s="16" t="s">
        <v>3703</v>
      </c>
      <c r="F1156" s="17" t="s">
        <v>1250</v>
      </c>
      <c r="G1156" s="18" t="s">
        <v>28</v>
      </c>
      <c r="H1156" s="19">
        <v>150</v>
      </c>
      <c r="I1156" s="20" t="s">
        <v>3718</v>
      </c>
      <c r="J1156" s="20" t="s">
        <v>3719</v>
      </c>
      <c r="K1156" s="21" t="s">
        <v>3720</v>
      </c>
      <c r="L1156" s="20" t="s">
        <v>32</v>
      </c>
      <c r="M1156" t="str">
        <f>TEXT(A1156,"dddd")</f>
        <v>Thursday</v>
      </c>
      <c r="N1156" s="35">
        <f>DATE(Table4[[#This Row],[year]],Table4[[#This Row],[month2]],Table4[[#This Row],[day]])</f>
        <v>46027</v>
      </c>
    </row>
    <row r="1157" spans="1:14" ht="16" x14ac:dyDescent="0.35">
      <c r="A1157" t="str">
        <f t="shared" si="36"/>
        <v>05</v>
      </c>
      <c r="B1157">
        <f>_xlfn.SWITCH(Table4[[#This Row],[month]],"jan",1,"feb",2,"mar",3,"apr",4,"may",5,"jun",6,"jul",7,"aug",8,"sep",9,"oct",10,"nov",11,"dec",12,"no month")</f>
        <v>1</v>
      </c>
      <c r="C1157" s="12" t="str">
        <f>LEFT('All Transactions'!$E1157,3)</f>
        <v>Jan</v>
      </c>
      <c r="D1157" s="12" t="str">
        <f t="shared" si="37"/>
        <v>2026</v>
      </c>
      <c r="E1157" s="22" t="s">
        <v>3703</v>
      </c>
      <c r="F1157" s="23" t="s">
        <v>3464</v>
      </c>
      <c r="G1157" s="18" t="s">
        <v>28</v>
      </c>
      <c r="H1157" s="24">
        <v>15</v>
      </c>
      <c r="I1157" s="25" t="s">
        <v>2033</v>
      </c>
      <c r="J1157" s="25" t="s">
        <v>3721</v>
      </c>
      <c r="K1157" s="26" t="s">
        <v>3722</v>
      </c>
      <c r="L1157" s="25" t="s">
        <v>32</v>
      </c>
      <c r="M1157" t="str">
        <f>TEXT(A1157,"dddd")</f>
        <v>Thursday</v>
      </c>
      <c r="N1157" s="35">
        <f>DATE(Table4[[#This Row],[year]],Table4[[#This Row],[month2]],Table4[[#This Row],[day]])</f>
        <v>46027</v>
      </c>
    </row>
    <row r="1158" spans="1:14" ht="16" x14ac:dyDescent="0.35">
      <c r="A1158" t="str">
        <f t="shared" si="36"/>
        <v>05</v>
      </c>
      <c r="B1158">
        <f>_xlfn.SWITCH(Table4[[#This Row],[month]],"jan",1,"feb",2,"mar",3,"apr",4,"may",5,"jun",6,"jul",7,"aug",8,"sep",9,"oct",10,"nov",11,"dec",12,"no month")</f>
        <v>1</v>
      </c>
      <c r="C1158" s="12" t="str">
        <f>LEFT('All Transactions'!$E1158,3)</f>
        <v>Jan</v>
      </c>
      <c r="D1158" s="12" t="str">
        <f t="shared" si="37"/>
        <v>2026</v>
      </c>
      <c r="E1158" s="16" t="s">
        <v>3703</v>
      </c>
      <c r="F1158" s="17" t="s">
        <v>3275</v>
      </c>
      <c r="G1158" s="18" t="s">
        <v>28</v>
      </c>
      <c r="H1158" s="19">
        <v>40</v>
      </c>
      <c r="I1158" s="20" t="s">
        <v>3723</v>
      </c>
      <c r="J1158" s="20" t="s">
        <v>3724</v>
      </c>
      <c r="K1158" s="21" t="s">
        <v>3725</v>
      </c>
      <c r="L1158" s="20" t="s">
        <v>32</v>
      </c>
      <c r="M1158" t="str">
        <f>TEXT(A1158,"dddd")</f>
        <v>Thursday</v>
      </c>
      <c r="N1158" s="35">
        <f>DATE(Table4[[#This Row],[year]],Table4[[#This Row],[month2]],Table4[[#This Row],[day]])</f>
        <v>46027</v>
      </c>
    </row>
    <row r="1159" spans="1:14" ht="16" x14ac:dyDescent="0.35">
      <c r="A1159" t="str">
        <f t="shared" si="36"/>
        <v>05</v>
      </c>
      <c r="B1159">
        <f>_xlfn.SWITCH(Table4[[#This Row],[month]],"jan",1,"feb",2,"mar",3,"apr",4,"may",5,"jun",6,"jul",7,"aug",8,"sep",9,"oct",10,"nov",11,"dec",12,"no month")</f>
        <v>1</v>
      </c>
      <c r="C1159" s="12" t="str">
        <f>LEFT('All Transactions'!$E1159,3)</f>
        <v>Jan</v>
      </c>
      <c r="D1159" s="12" t="str">
        <f t="shared" si="37"/>
        <v>2026</v>
      </c>
      <c r="E1159" s="22" t="s">
        <v>3703</v>
      </c>
      <c r="F1159" s="23" t="s">
        <v>2255</v>
      </c>
      <c r="G1159" s="18" t="s">
        <v>28</v>
      </c>
      <c r="H1159" s="24">
        <v>60</v>
      </c>
      <c r="I1159" s="25" t="s">
        <v>919</v>
      </c>
      <c r="J1159" s="25" t="s">
        <v>3726</v>
      </c>
      <c r="K1159" s="26" t="s">
        <v>3727</v>
      </c>
      <c r="L1159" s="25" t="s">
        <v>32</v>
      </c>
      <c r="M1159" t="str">
        <f>TEXT(A1159,"dddd")</f>
        <v>Thursday</v>
      </c>
      <c r="N1159" s="35">
        <f>DATE(Table4[[#This Row],[year]],Table4[[#This Row],[month2]],Table4[[#This Row],[day]])</f>
        <v>46027</v>
      </c>
    </row>
    <row r="1160" spans="1:14" ht="16" x14ac:dyDescent="0.35">
      <c r="A1160" t="str">
        <f t="shared" si="36"/>
        <v>05</v>
      </c>
      <c r="B1160">
        <f>_xlfn.SWITCH(Table4[[#This Row],[month]],"jan",1,"feb",2,"mar",3,"apr",4,"may",5,"jun",6,"jul",7,"aug",8,"sep",9,"oct",10,"nov",11,"dec",12,"no month")</f>
        <v>1</v>
      </c>
      <c r="C1160" s="12" t="str">
        <f>LEFT('All Transactions'!$E1160,3)</f>
        <v>Jan</v>
      </c>
      <c r="D1160" s="12" t="str">
        <f t="shared" si="37"/>
        <v>2026</v>
      </c>
      <c r="E1160" s="16" t="s">
        <v>3703</v>
      </c>
      <c r="F1160" s="17" t="s">
        <v>3728</v>
      </c>
      <c r="G1160" s="27" t="s">
        <v>54</v>
      </c>
      <c r="H1160" s="19">
        <v>80</v>
      </c>
      <c r="I1160" s="20" t="s">
        <v>947</v>
      </c>
      <c r="J1160" s="20" t="s">
        <v>3729</v>
      </c>
      <c r="K1160" s="21" t="s">
        <v>3730</v>
      </c>
      <c r="L1160" s="20" t="s">
        <v>58</v>
      </c>
      <c r="M1160" t="str">
        <f>TEXT(A1160,"dddd")</f>
        <v>Thursday</v>
      </c>
      <c r="N1160" s="35">
        <f>DATE(Table4[[#This Row],[year]],Table4[[#This Row],[month2]],Table4[[#This Row],[day]])</f>
        <v>46027</v>
      </c>
    </row>
    <row r="1161" spans="1:14" ht="16" x14ac:dyDescent="0.35">
      <c r="A1161" t="str">
        <f t="shared" si="36"/>
        <v>04</v>
      </c>
      <c r="B1161">
        <f>_xlfn.SWITCH(Table4[[#This Row],[month]],"jan",1,"feb",2,"mar",3,"apr",4,"may",5,"jun",6,"jul",7,"aug",8,"sep",9,"oct",10,"nov",11,"dec",12,"no month")</f>
        <v>1</v>
      </c>
      <c r="C1161" s="12" t="str">
        <f>LEFT('All Transactions'!$E1161,3)</f>
        <v>Jan</v>
      </c>
      <c r="D1161" s="12" t="str">
        <f t="shared" si="37"/>
        <v>2026</v>
      </c>
      <c r="E1161" s="22" t="s">
        <v>3731</v>
      </c>
      <c r="F1161" s="23" t="s">
        <v>275</v>
      </c>
      <c r="G1161" s="18" t="s">
        <v>28</v>
      </c>
      <c r="H1161" s="24">
        <v>250</v>
      </c>
      <c r="I1161" s="25" t="s">
        <v>3732</v>
      </c>
      <c r="J1161" s="25" t="s">
        <v>3733</v>
      </c>
      <c r="K1161" s="26" t="s">
        <v>3734</v>
      </c>
      <c r="L1161" s="25" t="s">
        <v>32</v>
      </c>
      <c r="M1161" t="str">
        <f>TEXT(A1161,"dddd")</f>
        <v>Wednesday</v>
      </c>
      <c r="N1161" s="35">
        <f>DATE(Table4[[#This Row],[year]],Table4[[#This Row],[month2]],Table4[[#This Row],[day]])</f>
        <v>46026</v>
      </c>
    </row>
    <row r="1162" spans="1:14" ht="16" x14ac:dyDescent="0.35">
      <c r="A1162" t="str">
        <f t="shared" si="36"/>
        <v>04</v>
      </c>
      <c r="B1162">
        <f>_xlfn.SWITCH(Table4[[#This Row],[month]],"jan",1,"feb",2,"mar",3,"apr",4,"may",5,"jun",6,"jul",7,"aug",8,"sep",9,"oct",10,"nov",11,"dec",12,"no month")</f>
        <v>1</v>
      </c>
      <c r="C1162" s="12" t="str">
        <f>LEFT('All Transactions'!$E1162,3)</f>
        <v>Jan</v>
      </c>
      <c r="D1162" s="12" t="str">
        <f t="shared" si="37"/>
        <v>2026</v>
      </c>
      <c r="E1162" s="16" t="s">
        <v>3731</v>
      </c>
      <c r="F1162" s="17" t="s">
        <v>3042</v>
      </c>
      <c r="G1162" s="18" t="s">
        <v>28</v>
      </c>
      <c r="H1162" s="19">
        <v>20</v>
      </c>
      <c r="I1162" s="20" t="s">
        <v>3735</v>
      </c>
      <c r="J1162" s="20" t="s">
        <v>3736</v>
      </c>
      <c r="K1162" s="21" t="s">
        <v>3737</v>
      </c>
      <c r="L1162" s="20" t="s">
        <v>32</v>
      </c>
      <c r="M1162" t="str">
        <f>TEXT(A1162,"dddd")</f>
        <v>Wednesday</v>
      </c>
      <c r="N1162" s="35">
        <f>DATE(Table4[[#This Row],[year]],Table4[[#This Row],[month2]],Table4[[#This Row],[day]])</f>
        <v>46026</v>
      </c>
    </row>
    <row r="1163" spans="1:14" ht="16" x14ac:dyDescent="0.35">
      <c r="A1163" t="str">
        <f t="shared" si="36"/>
        <v>04</v>
      </c>
      <c r="B1163">
        <f>_xlfn.SWITCH(Table4[[#This Row],[month]],"jan",1,"feb",2,"mar",3,"apr",4,"may",5,"jun",6,"jul",7,"aug",8,"sep",9,"oct",10,"nov",11,"dec",12,"no month")</f>
        <v>1</v>
      </c>
      <c r="C1163" s="12" t="str">
        <f>LEFT('All Transactions'!$E1163,3)</f>
        <v>Jan</v>
      </c>
      <c r="D1163" s="12" t="str">
        <f t="shared" si="37"/>
        <v>2026</v>
      </c>
      <c r="E1163" s="22" t="s">
        <v>3731</v>
      </c>
      <c r="F1163" s="23" t="s">
        <v>565</v>
      </c>
      <c r="G1163" s="18" t="s">
        <v>28</v>
      </c>
      <c r="H1163" s="24">
        <v>40</v>
      </c>
      <c r="I1163" s="25" t="s">
        <v>3738</v>
      </c>
      <c r="J1163" s="25" t="s">
        <v>3739</v>
      </c>
      <c r="K1163" s="26" t="s">
        <v>3740</v>
      </c>
      <c r="L1163" s="25" t="s">
        <v>32</v>
      </c>
      <c r="M1163" t="str">
        <f>TEXT(A1163,"dddd")</f>
        <v>Wednesday</v>
      </c>
      <c r="N1163" s="35">
        <f>DATE(Table4[[#This Row],[year]],Table4[[#This Row],[month2]],Table4[[#This Row],[day]])</f>
        <v>46026</v>
      </c>
    </row>
    <row r="1164" spans="1:14" ht="16" x14ac:dyDescent="0.35">
      <c r="A1164" t="str">
        <f t="shared" si="36"/>
        <v>04</v>
      </c>
      <c r="B1164">
        <f>_xlfn.SWITCH(Table4[[#This Row],[month]],"jan",1,"feb",2,"mar",3,"apr",4,"may",5,"jun",6,"jul",7,"aug",8,"sep",9,"oct",10,"nov",11,"dec",12,"no month")</f>
        <v>1</v>
      </c>
      <c r="C1164" s="12" t="str">
        <f>LEFT('All Transactions'!$E1164,3)</f>
        <v>Jan</v>
      </c>
      <c r="D1164" s="12" t="str">
        <f t="shared" si="37"/>
        <v>2026</v>
      </c>
      <c r="E1164" s="16" t="s">
        <v>3731</v>
      </c>
      <c r="F1164" s="17" t="s">
        <v>2215</v>
      </c>
      <c r="G1164" s="18" t="s">
        <v>28</v>
      </c>
      <c r="H1164" s="19">
        <v>30</v>
      </c>
      <c r="I1164" s="20" t="s">
        <v>3450</v>
      </c>
      <c r="J1164" s="20" t="s">
        <v>3741</v>
      </c>
      <c r="K1164" s="21" t="s">
        <v>3742</v>
      </c>
      <c r="L1164" s="20" t="s">
        <v>32</v>
      </c>
      <c r="M1164" t="str">
        <f>TEXT(A1164,"dddd")</f>
        <v>Wednesday</v>
      </c>
      <c r="N1164" s="35">
        <f>DATE(Table4[[#This Row],[year]],Table4[[#This Row],[month2]],Table4[[#This Row],[day]])</f>
        <v>46026</v>
      </c>
    </row>
    <row r="1165" spans="1:14" ht="16" x14ac:dyDescent="0.35">
      <c r="A1165" t="str">
        <f t="shared" si="36"/>
        <v>04</v>
      </c>
      <c r="B1165">
        <f>_xlfn.SWITCH(Table4[[#This Row],[month]],"jan",1,"feb",2,"mar",3,"apr",4,"may",5,"jun",6,"jul",7,"aug",8,"sep",9,"oct",10,"nov",11,"dec",12,"no month")</f>
        <v>1</v>
      </c>
      <c r="C1165" s="12" t="str">
        <f>LEFT('All Transactions'!$E1165,3)</f>
        <v>Jan</v>
      </c>
      <c r="D1165" s="12" t="str">
        <f t="shared" si="37"/>
        <v>2026</v>
      </c>
      <c r="E1165" s="22" t="s">
        <v>3731</v>
      </c>
      <c r="F1165" s="23" t="s">
        <v>1868</v>
      </c>
      <c r="G1165" s="18" t="s">
        <v>28</v>
      </c>
      <c r="H1165" s="24">
        <v>40</v>
      </c>
      <c r="I1165" s="25" t="s">
        <v>915</v>
      </c>
      <c r="J1165" s="25" t="s">
        <v>3743</v>
      </c>
      <c r="K1165" s="26" t="s">
        <v>3744</v>
      </c>
      <c r="L1165" s="25" t="s">
        <v>32</v>
      </c>
      <c r="M1165" t="str">
        <f>TEXT(A1165,"dddd")</f>
        <v>Wednesday</v>
      </c>
      <c r="N1165" s="35">
        <f>DATE(Table4[[#This Row],[year]],Table4[[#This Row],[month2]],Table4[[#This Row],[day]])</f>
        <v>46026</v>
      </c>
    </row>
    <row r="1166" spans="1:14" ht="16" x14ac:dyDescent="0.35">
      <c r="A1166" t="str">
        <f t="shared" si="36"/>
        <v>04</v>
      </c>
      <c r="B1166">
        <f>_xlfn.SWITCH(Table4[[#This Row],[month]],"jan",1,"feb",2,"mar",3,"apr",4,"may",5,"jun",6,"jul",7,"aug",8,"sep",9,"oct",10,"nov",11,"dec",12,"no month")</f>
        <v>1</v>
      </c>
      <c r="C1166" s="12" t="str">
        <f>LEFT('All Transactions'!$E1166,3)</f>
        <v>Jan</v>
      </c>
      <c r="D1166" s="12" t="str">
        <f t="shared" si="37"/>
        <v>2026</v>
      </c>
      <c r="E1166" s="16" t="s">
        <v>3731</v>
      </c>
      <c r="F1166" s="17" t="s">
        <v>1393</v>
      </c>
      <c r="G1166" s="18" t="s">
        <v>28</v>
      </c>
      <c r="H1166" s="19">
        <v>3</v>
      </c>
      <c r="I1166" s="20" t="s">
        <v>3745</v>
      </c>
      <c r="J1166" s="20" t="s">
        <v>3746</v>
      </c>
      <c r="K1166" s="21" t="s">
        <v>3747</v>
      </c>
      <c r="L1166" s="20" t="s">
        <v>32</v>
      </c>
      <c r="M1166" t="str">
        <f>TEXT(A1166,"dddd")</f>
        <v>Wednesday</v>
      </c>
      <c r="N1166" s="35">
        <f>DATE(Table4[[#This Row],[year]],Table4[[#This Row],[month2]],Table4[[#This Row],[day]])</f>
        <v>46026</v>
      </c>
    </row>
    <row r="1167" spans="1:14" ht="16" x14ac:dyDescent="0.35">
      <c r="A1167" t="str">
        <f t="shared" si="36"/>
        <v>04</v>
      </c>
      <c r="B1167">
        <f>_xlfn.SWITCH(Table4[[#This Row],[month]],"jan",1,"feb",2,"mar",3,"apr",4,"may",5,"jun",6,"jul",7,"aug",8,"sep",9,"oct",10,"nov",11,"dec",12,"no month")</f>
        <v>1</v>
      </c>
      <c r="C1167" s="12" t="str">
        <f>LEFT('All Transactions'!$E1167,3)</f>
        <v>Jan</v>
      </c>
      <c r="D1167" s="12" t="str">
        <f t="shared" si="37"/>
        <v>2026</v>
      </c>
      <c r="E1167" s="22" t="s">
        <v>3731</v>
      </c>
      <c r="F1167" s="23" t="s">
        <v>1629</v>
      </c>
      <c r="G1167" s="18" t="s">
        <v>28</v>
      </c>
      <c r="H1167" s="24">
        <v>12</v>
      </c>
      <c r="I1167" s="25" t="s">
        <v>3748</v>
      </c>
      <c r="J1167" s="25" t="s">
        <v>3749</v>
      </c>
      <c r="K1167" s="26" t="s">
        <v>3750</v>
      </c>
      <c r="L1167" s="25" t="s">
        <v>32</v>
      </c>
      <c r="M1167" t="str">
        <f>TEXT(A1167,"dddd")</f>
        <v>Wednesday</v>
      </c>
      <c r="N1167" s="35">
        <f>DATE(Table4[[#This Row],[year]],Table4[[#This Row],[month2]],Table4[[#This Row],[day]])</f>
        <v>46026</v>
      </c>
    </row>
    <row r="1168" spans="1:14" ht="16" x14ac:dyDescent="0.35">
      <c r="A1168" t="str">
        <f t="shared" si="36"/>
        <v>04</v>
      </c>
      <c r="B1168">
        <f>_xlfn.SWITCH(Table4[[#This Row],[month]],"jan",1,"feb",2,"mar",3,"apr",4,"may",5,"jun",6,"jul",7,"aug",8,"sep",9,"oct",10,"nov",11,"dec",12,"no month")</f>
        <v>1</v>
      </c>
      <c r="C1168" s="12" t="str">
        <f>LEFT('All Transactions'!$E1168,3)</f>
        <v>Jan</v>
      </c>
      <c r="D1168" s="12" t="str">
        <f t="shared" si="37"/>
        <v>2026</v>
      </c>
      <c r="E1168" s="16" t="s">
        <v>3731</v>
      </c>
      <c r="F1168" s="17" t="s">
        <v>1581</v>
      </c>
      <c r="G1168" s="18" t="s">
        <v>28</v>
      </c>
      <c r="H1168" s="19">
        <v>2</v>
      </c>
      <c r="I1168" s="20" t="s">
        <v>3751</v>
      </c>
      <c r="J1168" s="20" t="s">
        <v>3752</v>
      </c>
      <c r="K1168" s="21" t="s">
        <v>3753</v>
      </c>
      <c r="L1168" s="20" t="s">
        <v>32</v>
      </c>
      <c r="M1168" t="str">
        <f>TEXT(A1168,"dddd")</f>
        <v>Wednesday</v>
      </c>
      <c r="N1168" s="35">
        <f>DATE(Table4[[#This Row],[year]],Table4[[#This Row],[month2]],Table4[[#This Row],[day]])</f>
        <v>46026</v>
      </c>
    </row>
    <row r="1169" spans="1:14" ht="16" x14ac:dyDescent="0.35">
      <c r="A1169" t="str">
        <f t="shared" si="36"/>
        <v>03</v>
      </c>
      <c r="B1169">
        <f>_xlfn.SWITCH(Table4[[#This Row],[month]],"jan",1,"feb",2,"mar",3,"apr",4,"may",5,"jun",6,"jul",7,"aug",8,"sep",9,"oct",10,"nov",11,"dec",12,"no month")</f>
        <v>1</v>
      </c>
      <c r="C1169" s="12" t="str">
        <f>LEFT('All Transactions'!$E1169,3)</f>
        <v>Jan</v>
      </c>
      <c r="D1169" s="12" t="str">
        <f t="shared" si="37"/>
        <v>2026</v>
      </c>
      <c r="E1169" s="22" t="s">
        <v>3754</v>
      </c>
      <c r="F1169" s="23" t="s">
        <v>1172</v>
      </c>
      <c r="G1169" s="27" t="s">
        <v>54</v>
      </c>
      <c r="H1169" s="24">
        <v>1500</v>
      </c>
      <c r="I1169" s="25" t="s">
        <v>2352</v>
      </c>
      <c r="J1169" s="25" t="s">
        <v>3755</v>
      </c>
      <c r="K1169" s="26" t="s">
        <v>3756</v>
      </c>
      <c r="L1169" s="25" t="s">
        <v>58</v>
      </c>
      <c r="M1169" t="str">
        <f>TEXT(A1169,"dddd")</f>
        <v>Tuesday</v>
      </c>
      <c r="N1169" s="35">
        <f>DATE(Table4[[#This Row],[year]],Table4[[#This Row],[month2]],Table4[[#This Row],[day]])</f>
        <v>46025</v>
      </c>
    </row>
    <row r="1170" spans="1:14" ht="16" x14ac:dyDescent="0.35">
      <c r="A1170" t="str">
        <f t="shared" si="36"/>
        <v>03</v>
      </c>
      <c r="B1170">
        <f>_xlfn.SWITCH(Table4[[#This Row],[month]],"jan",1,"feb",2,"mar",3,"apr",4,"may",5,"jun",6,"jul",7,"aug",8,"sep",9,"oct",10,"nov",11,"dec",12,"no month")</f>
        <v>1</v>
      </c>
      <c r="C1170" s="12" t="str">
        <f>LEFT('All Transactions'!$E1170,3)</f>
        <v>Jan</v>
      </c>
      <c r="D1170" s="12" t="str">
        <f t="shared" si="37"/>
        <v>2026</v>
      </c>
      <c r="E1170" s="16" t="s">
        <v>3754</v>
      </c>
      <c r="F1170" s="17" t="s">
        <v>173</v>
      </c>
      <c r="G1170" s="18" t="s">
        <v>28</v>
      </c>
      <c r="H1170" s="19">
        <v>20</v>
      </c>
      <c r="I1170" s="20" t="s">
        <v>3757</v>
      </c>
      <c r="J1170" s="20" t="s">
        <v>3758</v>
      </c>
      <c r="K1170" s="21" t="s">
        <v>3759</v>
      </c>
      <c r="L1170" s="20" t="s">
        <v>32</v>
      </c>
      <c r="M1170" t="str">
        <f>TEXT(A1170,"dddd")</f>
        <v>Tuesday</v>
      </c>
      <c r="N1170" s="35">
        <f>DATE(Table4[[#This Row],[year]],Table4[[#This Row],[month2]],Table4[[#This Row],[day]])</f>
        <v>46025</v>
      </c>
    </row>
    <row r="1171" spans="1:14" ht="16" x14ac:dyDescent="0.35">
      <c r="A1171" t="str">
        <f t="shared" si="36"/>
        <v>03</v>
      </c>
      <c r="B1171">
        <f>_xlfn.SWITCH(Table4[[#This Row],[month]],"jan",1,"feb",2,"mar",3,"apr",4,"may",5,"jun",6,"jul",7,"aug",8,"sep",9,"oct",10,"nov",11,"dec",12,"no month")</f>
        <v>1</v>
      </c>
      <c r="C1171" s="12" t="str">
        <f>LEFT('All Transactions'!$E1171,3)</f>
        <v>Jan</v>
      </c>
      <c r="D1171" s="12" t="str">
        <f t="shared" si="37"/>
        <v>2026</v>
      </c>
      <c r="E1171" s="22" t="s">
        <v>3754</v>
      </c>
      <c r="F1171" s="23" t="s">
        <v>104</v>
      </c>
      <c r="G1171" s="18" t="s">
        <v>28</v>
      </c>
      <c r="H1171" s="24">
        <v>40</v>
      </c>
      <c r="I1171" s="25" t="s">
        <v>3760</v>
      </c>
      <c r="J1171" s="25" t="s">
        <v>3761</v>
      </c>
      <c r="K1171" s="26" t="s">
        <v>3762</v>
      </c>
      <c r="L1171" s="25" t="s">
        <v>32</v>
      </c>
      <c r="M1171" t="str">
        <f>TEXT(A1171,"dddd")</f>
        <v>Tuesday</v>
      </c>
      <c r="N1171" s="35">
        <f>DATE(Table4[[#This Row],[year]],Table4[[#This Row],[month2]],Table4[[#This Row],[day]])</f>
        <v>46025</v>
      </c>
    </row>
    <row r="1172" spans="1:14" ht="16" x14ac:dyDescent="0.35">
      <c r="A1172" t="str">
        <f t="shared" si="36"/>
        <v>03</v>
      </c>
      <c r="B1172">
        <f>_xlfn.SWITCH(Table4[[#This Row],[month]],"jan",1,"feb",2,"mar",3,"apr",4,"may",5,"jun",6,"jul",7,"aug",8,"sep",9,"oct",10,"nov",11,"dec",12,"no month")</f>
        <v>1</v>
      </c>
      <c r="C1172" s="12" t="str">
        <f>LEFT('All Transactions'!$E1172,3)</f>
        <v>Jan</v>
      </c>
      <c r="D1172" s="12" t="str">
        <f t="shared" si="37"/>
        <v>2026</v>
      </c>
      <c r="E1172" s="16" t="s">
        <v>3754</v>
      </c>
      <c r="F1172" s="17" t="s">
        <v>180</v>
      </c>
      <c r="G1172" s="18" t="s">
        <v>28</v>
      </c>
      <c r="H1172" s="19">
        <v>925</v>
      </c>
      <c r="I1172" s="20" t="s">
        <v>256</v>
      </c>
      <c r="J1172" s="20" t="s">
        <v>3763</v>
      </c>
      <c r="K1172" s="21" t="s">
        <v>3764</v>
      </c>
      <c r="L1172" s="20" t="s">
        <v>32</v>
      </c>
      <c r="M1172" t="str">
        <f>TEXT(A1172,"dddd")</f>
        <v>Tuesday</v>
      </c>
      <c r="N1172" s="35">
        <f>DATE(Table4[[#This Row],[year]],Table4[[#This Row],[month2]],Table4[[#This Row],[day]])</f>
        <v>46025</v>
      </c>
    </row>
    <row r="1173" spans="1:14" ht="16" x14ac:dyDescent="0.35">
      <c r="A1173" t="str">
        <f t="shared" si="36"/>
        <v>03</v>
      </c>
      <c r="B1173">
        <f>_xlfn.SWITCH(Table4[[#This Row],[month]],"jan",1,"feb",2,"mar",3,"apr",4,"may",5,"jun",6,"jul",7,"aug",8,"sep",9,"oct",10,"nov",11,"dec",12,"no month")</f>
        <v>1</v>
      </c>
      <c r="C1173" s="12" t="str">
        <f>LEFT('All Transactions'!$E1173,3)</f>
        <v>Jan</v>
      </c>
      <c r="D1173" s="12" t="str">
        <f t="shared" si="37"/>
        <v>2026</v>
      </c>
      <c r="E1173" s="22" t="s">
        <v>3754</v>
      </c>
      <c r="F1173" s="23" t="s">
        <v>2995</v>
      </c>
      <c r="G1173" s="18" t="s">
        <v>28</v>
      </c>
      <c r="H1173" s="24">
        <v>10</v>
      </c>
      <c r="I1173" s="25" t="s">
        <v>3765</v>
      </c>
      <c r="J1173" s="25" t="s">
        <v>3766</v>
      </c>
      <c r="K1173" s="26" t="s">
        <v>3767</v>
      </c>
      <c r="L1173" s="25" t="s">
        <v>32</v>
      </c>
      <c r="M1173" t="str">
        <f>TEXT(A1173,"dddd")</f>
        <v>Tuesday</v>
      </c>
      <c r="N1173" s="35">
        <f>DATE(Table4[[#This Row],[year]],Table4[[#This Row],[month2]],Table4[[#This Row],[day]])</f>
        <v>46025</v>
      </c>
    </row>
    <row r="1174" spans="1:14" ht="16" x14ac:dyDescent="0.35">
      <c r="A1174" t="str">
        <f t="shared" si="36"/>
        <v>03</v>
      </c>
      <c r="B1174">
        <f>_xlfn.SWITCH(Table4[[#This Row],[month]],"jan",1,"feb",2,"mar",3,"apr",4,"may",5,"jun",6,"jul",7,"aug",8,"sep",9,"oct",10,"nov",11,"dec",12,"no month")</f>
        <v>1</v>
      </c>
      <c r="C1174" s="12" t="str">
        <f>LEFT('All Transactions'!$E1174,3)</f>
        <v>Jan</v>
      </c>
      <c r="D1174" s="12" t="str">
        <f t="shared" si="37"/>
        <v>2026</v>
      </c>
      <c r="E1174" s="16" t="s">
        <v>3754</v>
      </c>
      <c r="F1174" s="17" t="s">
        <v>44</v>
      </c>
      <c r="G1174" s="18" t="s">
        <v>28</v>
      </c>
      <c r="H1174" s="19">
        <v>4597</v>
      </c>
      <c r="I1174" s="20" t="s">
        <v>84</v>
      </c>
      <c r="J1174" s="20" t="s">
        <v>3768</v>
      </c>
      <c r="K1174" s="21" t="s">
        <v>3769</v>
      </c>
      <c r="L1174" s="20" t="s">
        <v>32</v>
      </c>
      <c r="M1174" t="str">
        <f>TEXT(A1174,"dddd")</f>
        <v>Tuesday</v>
      </c>
      <c r="N1174" s="35">
        <f>DATE(Table4[[#This Row],[year]],Table4[[#This Row],[month2]],Table4[[#This Row],[day]])</f>
        <v>46025</v>
      </c>
    </row>
    <row r="1175" spans="1:14" ht="16" x14ac:dyDescent="0.35">
      <c r="A1175" t="str">
        <f t="shared" si="36"/>
        <v>02</v>
      </c>
      <c r="B1175">
        <f>_xlfn.SWITCH(Table4[[#This Row],[month]],"jan",1,"feb",2,"mar",3,"apr",4,"may",5,"jun",6,"jul",7,"aug",8,"sep",9,"oct",10,"nov",11,"dec",12,"no month")</f>
        <v>1</v>
      </c>
      <c r="C1175" s="12" t="str">
        <f>LEFT('All Transactions'!$E1175,3)</f>
        <v>Jan</v>
      </c>
      <c r="D1175" s="12" t="str">
        <f t="shared" si="37"/>
        <v>2026</v>
      </c>
      <c r="E1175" s="22" t="s">
        <v>3770</v>
      </c>
      <c r="F1175" s="23" t="s">
        <v>3643</v>
      </c>
      <c r="G1175" s="27" t="s">
        <v>54</v>
      </c>
      <c r="H1175" s="24">
        <v>200</v>
      </c>
      <c r="I1175" s="25" t="s">
        <v>156</v>
      </c>
      <c r="J1175" s="25" t="s">
        <v>3771</v>
      </c>
      <c r="K1175" s="26" t="s">
        <v>3772</v>
      </c>
      <c r="L1175" s="25" t="s">
        <v>58</v>
      </c>
      <c r="M1175" t="str">
        <f>TEXT(A1175,"dddd")</f>
        <v>Monday</v>
      </c>
      <c r="N1175" s="35">
        <f>DATE(Table4[[#This Row],[year]],Table4[[#This Row],[month2]],Table4[[#This Row],[day]])</f>
        <v>46024</v>
      </c>
    </row>
    <row r="1176" spans="1:14" ht="16" x14ac:dyDescent="0.35">
      <c r="A1176" t="str">
        <f t="shared" si="36"/>
        <v>02</v>
      </c>
      <c r="B1176">
        <f>_xlfn.SWITCH(Table4[[#This Row],[month]],"jan",1,"feb",2,"mar",3,"apr",4,"may",5,"jun",6,"jul",7,"aug",8,"sep",9,"oct",10,"nov",11,"dec",12,"no month")</f>
        <v>1</v>
      </c>
      <c r="C1176" s="12" t="str">
        <f>LEFT('All Transactions'!$E1176,3)</f>
        <v>Jan</v>
      </c>
      <c r="D1176" s="12" t="str">
        <f t="shared" si="37"/>
        <v>2026</v>
      </c>
      <c r="E1176" s="16" t="s">
        <v>3770</v>
      </c>
      <c r="F1176" s="17" t="s">
        <v>3773</v>
      </c>
      <c r="G1176" s="18" t="s">
        <v>28</v>
      </c>
      <c r="H1176" s="19">
        <v>60</v>
      </c>
      <c r="I1176" s="20" t="s">
        <v>3700</v>
      </c>
      <c r="J1176" s="20" t="s">
        <v>3774</v>
      </c>
      <c r="K1176" s="21" t="s">
        <v>3775</v>
      </c>
      <c r="L1176" s="20" t="s">
        <v>32</v>
      </c>
      <c r="M1176" t="str">
        <f>TEXT(A1176,"dddd")</f>
        <v>Monday</v>
      </c>
      <c r="N1176" s="35">
        <f>DATE(Table4[[#This Row],[year]],Table4[[#This Row],[month2]],Table4[[#This Row],[day]])</f>
        <v>46024</v>
      </c>
    </row>
    <row r="1177" spans="1:14" ht="16" x14ac:dyDescent="0.35">
      <c r="A1177" t="str">
        <f t="shared" si="36"/>
        <v>01</v>
      </c>
      <c r="B1177">
        <f>_xlfn.SWITCH(Table4[[#This Row],[month]],"jan",1,"feb",2,"mar",3,"apr",4,"may",5,"jun",6,"jul",7,"aug",8,"sep",9,"oct",10,"nov",11,"dec",12,"no month")</f>
        <v>1</v>
      </c>
      <c r="C1177" s="12" t="str">
        <f>LEFT('All Transactions'!$E1177,3)</f>
        <v>Jan</v>
      </c>
      <c r="D1177" s="12" t="str">
        <f t="shared" si="37"/>
        <v>2026</v>
      </c>
      <c r="E1177" s="22" t="s">
        <v>3776</v>
      </c>
      <c r="F1177" s="23" t="s">
        <v>3777</v>
      </c>
      <c r="G1177" s="18" t="s">
        <v>28</v>
      </c>
      <c r="H1177" s="24">
        <v>200</v>
      </c>
      <c r="I1177" s="25" t="s">
        <v>12</v>
      </c>
      <c r="J1177" s="25" t="s">
        <v>3778</v>
      </c>
      <c r="K1177" s="26" t="s">
        <v>3779</v>
      </c>
      <c r="L1177" s="25" t="s">
        <v>32</v>
      </c>
      <c r="M1177" t="str">
        <f>TEXT(A1177,"dddd")</f>
        <v>Sunday</v>
      </c>
      <c r="N1177" s="35">
        <f>DATE(Table4[[#This Row],[year]],Table4[[#This Row],[month2]],Table4[[#This Row],[day]])</f>
        <v>46023</v>
      </c>
    </row>
    <row r="1178" spans="1:14" ht="16" x14ac:dyDescent="0.35">
      <c r="A1178" t="str">
        <f t="shared" si="36"/>
        <v>31</v>
      </c>
      <c r="B1178">
        <f>_xlfn.SWITCH(Table4[[#This Row],[month]],"jan",1,"feb",2,"mar",3,"apr",4,"may",5,"jun",6,"jul",7,"aug",8,"sep",9,"oct",10,"nov",11,"dec",12,"no month")</f>
        <v>12</v>
      </c>
      <c r="C1178" s="12" t="str">
        <f>LEFT('All Transactions'!$E1178,3)</f>
        <v>Dec</v>
      </c>
      <c r="D1178" s="12" t="str">
        <f t="shared" si="37"/>
        <v>2025</v>
      </c>
      <c r="E1178" s="16" t="s">
        <v>3780</v>
      </c>
      <c r="F1178" s="17" t="s">
        <v>787</v>
      </c>
      <c r="G1178" s="18" t="s">
        <v>28</v>
      </c>
      <c r="H1178" s="19">
        <v>240</v>
      </c>
      <c r="I1178" s="20" t="s">
        <v>3781</v>
      </c>
      <c r="J1178" s="20" t="s">
        <v>3782</v>
      </c>
      <c r="K1178" s="21" t="s">
        <v>3783</v>
      </c>
      <c r="L1178" s="20" t="s">
        <v>32</v>
      </c>
      <c r="M1178" t="str">
        <f>TEXT(A1178,"dddd")</f>
        <v>Tuesday</v>
      </c>
      <c r="N1178" s="35">
        <f>DATE(Table4[[#This Row],[year]],Table4[[#This Row],[month2]],Table4[[#This Row],[day]])</f>
        <v>46022</v>
      </c>
    </row>
    <row r="1179" spans="1:14" ht="16" x14ac:dyDescent="0.35">
      <c r="A1179" t="str">
        <f t="shared" si="36"/>
        <v>31</v>
      </c>
      <c r="B1179">
        <f>_xlfn.SWITCH(Table4[[#This Row],[month]],"jan",1,"feb",2,"mar",3,"apr",4,"may",5,"jun",6,"jul",7,"aug",8,"sep",9,"oct",10,"nov",11,"dec",12,"no month")</f>
        <v>12</v>
      </c>
      <c r="C1179" s="12" t="str">
        <f>LEFT('All Transactions'!$E1179,3)</f>
        <v>Dec</v>
      </c>
      <c r="D1179" s="12" t="str">
        <f t="shared" si="37"/>
        <v>2025</v>
      </c>
      <c r="E1179" s="22" t="s">
        <v>3780</v>
      </c>
      <c r="F1179" s="23" t="s">
        <v>2745</v>
      </c>
      <c r="G1179" s="27" t="s">
        <v>54</v>
      </c>
      <c r="H1179" s="24">
        <v>8800</v>
      </c>
      <c r="I1179" s="25" t="s">
        <v>143</v>
      </c>
      <c r="J1179" s="25" t="s">
        <v>3784</v>
      </c>
      <c r="K1179" s="26" t="s">
        <v>3785</v>
      </c>
      <c r="L1179" s="25" t="s">
        <v>58</v>
      </c>
      <c r="M1179" t="str">
        <f>TEXT(A1179,"dddd")</f>
        <v>Tuesday</v>
      </c>
      <c r="N1179" s="35">
        <f>DATE(Table4[[#This Row],[year]],Table4[[#This Row],[month2]],Table4[[#This Row],[day]])</f>
        <v>46022</v>
      </c>
    </row>
    <row r="1180" spans="1:14" ht="16" x14ac:dyDescent="0.35">
      <c r="A1180" t="str">
        <f t="shared" si="36"/>
        <v>29</v>
      </c>
      <c r="B1180">
        <f>_xlfn.SWITCH(Table4[[#This Row],[month]],"jan",1,"feb",2,"mar",3,"apr",4,"may",5,"jun",6,"jul",7,"aug",8,"sep",9,"oct",10,"nov",11,"dec",12,"no month")</f>
        <v>12</v>
      </c>
      <c r="C1180" s="12" t="str">
        <f>LEFT('All Transactions'!$E1180,3)</f>
        <v>Dec</v>
      </c>
      <c r="D1180" s="12" t="str">
        <f t="shared" si="37"/>
        <v>2025</v>
      </c>
      <c r="E1180" s="16" t="s">
        <v>3786</v>
      </c>
      <c r="F1180" s="17" t="s">
        <v>985</v>
      </c>
      <c r="G1180" s="18" t="s">
        <v>28</v>
      </c>
      <c r="H1180" s="19">
        <v>80</v>
      </c>
      <c r="I1180" s="20" t="s">
        <v>3787</v>
      </c>
      <c r="J1180" s="20" t="s">
        <v>3788</v>
      </c>
      <c r="K1180" s="21" t="s">
        <v>3789</v>
      </c>
      <c r="L1180" s="20" t="s">
        <v>32</v>
      </c>
      <c r="M1180" t="str">
        <f>TEXT(A1180,"dddd")</f>
        <v>Sunday</v>
      </c>
      <c r="N1180" s="35">
        <f>DATE(Table4[[#This Row],[year]],Table4[[#This Row],[month2]],Table4[[#This Row],[day]])</f>
        <v>46020</v>
      </c>
    </row>
    <row r="1181" spans="1:14" ht="16" x14ac:dyDescent="0.35">
      <c r="A1181" t="str">
        <f t="shared" si="36"/>
        <v>28</v>
      </c>
      <c r="B1181">
        <f>_xlfn.SWITCH(Table4[[#This Row],[month]],"jan",1,"feb",2,"mar",3,"apr",4,"may",5,"jun",6,"jul",7,"aug",8,"sep",9,"oct",10,"nov",11,"dec",12,"no month")</f>
        <v>12</v>
      </c>
      <c r="C1181" s="12" t="str">
        <f>LEFT('All Transactions'!$E1181,3)</f>
        <v>Dec</v>
      </c>
      <c r="D1181" s="12" t="str">
        <f t="shared" si="37"/>
        <v>2025</v>
      </c>
      <c r="E1181" s="22" t="s">
        <v>3790</v>
      </c>
      <c r="F1181" s="23" t="s">
        <v>1129</v>
      </c>
      <c r="G1181" s="18" t="s">
        <v>28</v>
      </c>
      <c r="H1181" s="24">
        <v>200</v>
      </c>
      <c r="I1181" s="25" t="s">
        <v>3791</v>
      </c>
      <c r="J1181" s="25" t="s">
        <v>3792</v>
      </c>
      <c r="K1181" s="26" t="s">
        <v>3793</v>
      </c>
      <c r="L1181" s="25" t="s">
        <v>32</v>
      </c>
      <c r="M1181" t="str">
        <f>TEXT(A1181,"dddd")</f>
        <v>Saturday</v>
      </c>
      <c r="N1181" s="35">
        <f>DATE(Table4[[#This Row],[year]],Table4[[#This Row],[month2]],Table4[[#This Row],[day]])</f>
        <v>46019</v>
      </c>
    </row>
    <row r="1182" spans="1:14" ht="16" x14ac:dyDescent="0.35">
      <c r="A1182" t="str">
        <f t="shared" si="36"/>
        <v>28</v>
      </c>
      <c r="B1182">
        <f>_xlfn.SWITCH(Table4[[#This Row],[month]],"jan",1,"feb",2,"mar",3,"apr",4,"may",5,"jun",6,"jul",7,"aug",8,"sep",9,"oct",10,"nov",11,"dec",12,"no month")</f>
        <v>12</v>
      </c>
      <c r="C1182" s="12" t="str">
        <f>LEFT('All Transactions'!$E1182,3)</f>
        <v>Dec</v>
      </c>
      <c r="D1182" s="12" t="str">
        <f t="shared" si="37"/>
        <v>2025</v>
      </c>
      <c r="E1182" s="16" t="s">
        <v>3790</v>
      </c>
      <c r="F1182" s="17" t="s">
        <v>1605</v>
      </c>
      <c r="G1182" s="18" t="s">
        <v>28</v>
      </c>
      <c r="H1182" s="19">
        <v>60</v>
      </c>
      <c r="I1182" s="20" t="s">
        <v>3791</v>
      </c>
      <c r="J1182" s="20" t="s">
        <v>3794</v>
      </c>
      <c r="K1182" s="21" t="s">
        <v>3795</v>
      </c>
      <c r="L1182" s="20" t="s">
        <v>32</v>
      </c>
      <c r="M1182" t="str">
        <f>TEXT(A1182,"dddd")</f>
        <v>Saturday</v>
      </c>
      <c r="N1182" s="35">
        <f>DATE(Table4[[#This Row],[year]],Table4[[#This Row],[month2]],Table4[[#This Row],[day]])</f>
        <v>46019</v>
      </c>
    </row>
    <row r="1183" spans="1:14" ht="16" x14ac:dyDescent="0.35">
      <c r="A1183" t="str">
        <f t="shared" si="36"/>
        <v>27</v>
      </c>
      <c r="B1183">
        <f>_xlfn.SWITCH(Table4[[#This Row],[month]],"jan",1,"feb",2,"mar",3,"apr",4,"may",5,"jun",6,"jul",7,"aug",8,"sep",9,"oct",10,"nov",11,"dec",12,"no month")</f>
        <v>12</v>
      </c>
      <c r="C1183" s="12" t="str">
        <f>LEFT('All Transactions'!$E1183,3)</f>
        <v>Dec</v>
      </c>
      <c r="D1183" s="12" t="str">
        <f t="shared" si="37"/>
        <v>2025</v>
      </c>
      <c r="E1183" s="22" t="s">
        <v>3796</v>
      </c>
      <c r="F1183" s="23" t="s">
        <v>1421</v>
      </c>
      <c r="G1183" s="18" t="s">
        <v>28</v>
      </c>
      <c r="H1183" s="24">
        <v>50</v>
      </c>
      <c r="I1183" s="25" t="s">
        <v>3797</v>
      </c>
      <c r="J1183" s="25" t="s">
        <v>3798</v>
      </c>
      <c r="K1183" s="26" t="s">
        <v>3799</v>
      </c>
      <c r="L1183" s="25" t="s">
        <v>32</v>
      </c>
      <c r="M1183" t="str">
        <f>TEXT(A1183,"dddd")</f>
        <v>Friday</v>
      </c>
      <c r="N1183" s="35">
        <f>DATE(Table4[[#This Row],[year]],Table4[[#This Row],[month2]],Table4[[#This Row],[day]])</f>
        <v>46018</v>
      </c>
    </row>
    <row r="1184" spans="1:14" ht="16" x14ac:dyDescent="0.35">
      <c r="A1184" t="str">
        <f t="shared" si="36"/>
        <v>27</v>
      </c>
      <c r="B1184">
        <f>_xlfn.SWITCH(Table4[[#This Row],[month]],"jan",1,"feb",2,"mar",3,"apr",4,"may",5,"jun",6,"jul",7,"aug",8,"sep",9,"oct",10,"nov",11,"dec",12,"no month")</f>
        <v>12</v>
      </c>
      <c r="C1184" s="12" t="str">
        <f>LEFT('All Transactions'!$E1184,3)</f>
        <v>Dec</v>
      </c>
      <c r="D1184" s="12" t="str">
        <f t="shared" si="37"/>
        <v>2025</v>
      </c>
      <c r="E1184" s="16" t="s">
        <v>3796</v>
      </c>
      <c r="F1184" s="17" t="s">
        <v>2020</v>
      </c>
      <c r="G1184" s="18" t="s">
        <v>28</v>
      </c>
      <c r="H1184" s="19">
        <v>35</v>
      </c>
      <c r="I1184" s="20" t="s">
        <v>3800</v>
      </c>
      <c r="J1184" s="20" t="s">
        <v>3801</v>
      </c>
      <c r="K1184" s="21" t="s">
        <v>3802</v>
      </c>
      <c r="L1184" s="20" t="s">
        <v>32</v>
      </c>
      <c r="M1184" t="str">
        <f>TEXT(A1184,"dddd")</f>
        <v>Friday</v>
      </c>
      <c r="N1184" s="35">
        <f>DATE(Table4[[#This Row],[year]],Table4[[#This Row],[month2]],Table4[[#This Row],[day]])</f>
        <v>46018</v>
      </c>
    </row>
    <row r="1185" spans="1:14" ht="16" x14ac:dyDescent="0.35">
      <c r="A1185" t="str">
        <f t="shared" si="36"/>
        <v>26</v>
      </c>
      <c r="B1185">
        <f>_xlfn.SWITCH(Table4[[#This Row],[month]],"jan",1,"feb",2,"mar",3,"apr",4,"may",5,"jun",6,"jul",7,"aug",8,"sep",9,"oct",10,"nov",11,"dec",12,"no month")</f>
        <v>12</v>
      </c>
      <c r="C1185" s="12" t="str">
        <f>LEFT('All Transactions'!$E1185,3)</f>
        <v>Dec</v>
      </c>
      <c r="D1185" s="12" t="str">
        <f t="shared" si="37"/>
        <v>2025</v>
      </c>
      <c r="E1185" s="22" t="s">
        <v>3803</v>
      </c>
      <c r="F1185" s="23" t="s">
        <v>1488</v>
      </c>
      <c r="G1185" s="18" t="s">
        <v>28</v>
      </c>
      <c r="H1185" s="24">
        <v>500</v>
      </c>
      <c r="I1185" s="25" t="s">
        <v>12</v>
      </c>
      <c r="J1185" s="25" t="s">
        <v>3804</v>
      </c>
      <c r="K1185" s="26" t="s">
        <v>3805</v>
      </c>
      <c r="L1185" s="25" t="s">
        <v>32</v>
      </c>
      <c r="M1185" t="str">
        <f>TEXT(A1185,"dddd")</f>
        <v>Thursday</v>
      </c>
      <c r="N1185" s="35">
        <f>DATE(Table4[[#This Row],[year]],Table4[[#This Row],[month2]],Table4[[#This Row],[day]])</f>
        <v>46017</v>
      </c>
    </row>
    <row r="1186" spans="1:14" ht="16" x14ac:dyDescent="0.35">
      <c r="A1186" t="str">
        <f t="shared" si="36"/>
        <v>26</v>
      </c>
      <c r="B1186">
        <f>_xlfn.SWITCH(Table4[[#This Row],[month]],"jan",1,"feb",2,"mar",3,"apr",4,"may",5,"jun",6,"jul",7,"aug",8,"sep",9,"oct",10,"nov",11,"dec",12,"no month")</f>
        <v>12</v>
      </c>
      <c r="C1186" s="12" t="str">
        <f>LEFT('All Transactions'!$E1186,3)</f>
        <v>Dec</v>
      </c>
      <c r="D1186" s="12" t="str">
        <f t="shared" si="37"/>
        <v>2025</v>
      </c>
      <c r="E1186" s="16" t="s">
        <v>3803</v>
      </c>
      <c r="F1186" s="17" t="s">
        <v>3806</v>
      </c>
      <c r="G1186" s="18" t="s">
        <v>28</v>
      </c>
      <c r="H1186" s="19">
        <v>10</v>
      </c>
      <c r="I1186" s="20" t="s">
        <v>3765</v>
      </c>
      <c r="J1186" s="20" t="s">
        <v>3807</v>
      </c>
      <c r="K1186" s="21" t="s">
        <v>3808</v>
      </c>
      <c r="L1186" s="20" t="s">
        <v>32</v>
      </c>
      <c r="M1186" t="str">
        <f>TEXT(A1186,"dddd")</f>
        <v>Thursday</v>
      </c>
      <c r="N1186" s="35">
        <f>DATE(Table4[[#This Row],[year]],Table4[[#This Row],[month2]],Table4[[#This Row],[day]])</f>
        <v>46017</v>
      </c>
    </row>
    <row r="1187" spans="1:14" ht="16" x14ac:dyDescent="0.35">
      <c r="A1187" t="str">
        <f t="shared" si="36"/>
        <v>26</v>
      </c>
      <c r="B1187">
        <f>_xlfn.SWITCH(Table4[[#This Row],[month]],"jan",1,"feb",2,"mar",3,"apr",4,"may",5,"jun",6,"jul",7,"aug",8,"sep",9,"oct",10,"nov",11,"dec",12,"no month")</f>
        <v>12</v>
      </c>
      <c r="C1187" s="12" t="str">
        <f>LEFT('All Transactions'!$E1187,3)</f>
        <v>Dec</v>
      </c>
      <c r="D1187" s="12" t="str">
        <f t="shared" si="37"/>
        <v>2025</v>
      </c>
      <c r="E1187" s="22" t="s">
        <v>3803</v>
      </c>
      <c r="F1187" s="23" t="s">
        <v>3244</v>
      </c>
      <c r="G1187" s="18" t="s">
        <v>28</v>
      </c>
      <c r="H1187" s="24">
        <v>105</v>
      </c>
      <c r="I1187" s="25" t="s">
        <v>3487</v>
      </c>
      <c r="J1187" s="25" t="s">
        <v>3809</v>
      </c>
      <c r="K1187" s="26" t="s">
        <v>3810</v>
      </c>
      <c r="L1187" s="25" t="s">
        <v>32</v>
      </c>
      <c r="M1187" t="str">
        <f>TEXT(A1187,"dddd")</f>
        <v>Thursday</v>
      </c>
      <c r="N1187" s="35">
        <f>DATE(Table4[[#This Row],[year]],Table4[[#This Row],[month2]],Table4[[#This Row],[day]])</f>
        <v>46017</v>
      </c>
    </row>
    <row r="1188" spans="1:14" ht="16" x14ac:dyDescent="0.35">
      <c r="A1188" t="str">
        <f t="shared" si="36"/>
        <v>26</v>
      </c>
      <c r="B1188">
        <f>_xlfn.SWITCH(Table4[[#This Row],[month]],"jan",1,"feb",2,"mar",3,"apr",4,"may",5,"jun",6,"jul",7,"aug",8,"sep",9,"oct",10,"nov",11,"dec",12,"no month")</f>
        <v>12</v>
      </c>
      <c r="C1188" s="12" t="str">
        <f>LEFT('All Transactions'!$E1188,3)</f>
        <v>Dec</v>
      </c>
      <c r="D1188" s="12" t="str">
        <f t="shared" si="37"/>
        <v>2025</v>
      </c>
      <c r="E1188" s="16" t="s">
        <v>3803</v>
      </c>
      <c r="F1188" s="17" t="s">
        <v>1399</v>
      </c>
      <c r="G1188" s="18" t="s">
        <v>28</v>
      </c>
      <c r="H1188" s="19">
        <v>12000</v>
      </c>
      <c r="I1188" s="20" t="s">
        <v>2871</v>
      </c>
      <c r="J1188" s="20" t="s">
        <v>3811</v>
      </c>
      <c r="K1188" s="21" t="s">
        <v>3812</v>
      </c>
      <c r="L1188" s="20" t="s">
        <v>32</v>
      </c>
      <c r="M1188" t="str">
        <f>TEXT(A1188,"dddd")</f>
        <v>Thursday</v>
      </c>
      <c r="N1188" s="35">
        <f>DATE(Table4[[#This Row],[year]],Table4[[#This Row],[month2]],Table4[[#This Row],[day]])</f>
        <v>46017</v>
      </c>
    </row>
    <row r="1189" spans="1:14" ht="16" x14ac:dyDescent="0.35">
      <c r="A1189" t="str">
        <f t="shared" si="36"/>
        <v>26</v>
      </c>
      <c r="B1189">
        <f>_xlfn.SWITCH(Table4[[#This Row],[month]],"jan",1,"feb",2,"mar",3,"apr",4,"may",5,"jun",6,"jul",7,"aug",8,"sep",9,"oct",10,"nov",11,"dec",12,"no month")</f>
        <v>12</v>
      </c>
      <c r="C1189" s="12" t="str">
        <f>LEFT('All Transactions'!$E1189,3)</f>
        <v>Dec</v>
      </c>
      <c r="D1189" s="12" t="str">
        <f t="shared" si="37"/>
        <v>2025</v>
      </c>
      <c r="E1189" s="22" t="s">
        <v>3803</v>
      </c>
      <c r="F1189" s="23" t="s">
        <v>3813</v>
      </c>
      <c r="G1189" s="27" t="s">
        <v>54</v>
      </c>
      <c r="H1189" s="24">
        <v>7000</v>
      </c>
      <c r="I1189" s="25" t="s">
        <v>1090</v>
      </c>
      <c r="J1189" s="25" t="s">
        <v>3814</v>
      </c>
      <c r="K1189" s="26" t="s">
        <v>3815</v>
      </c>
      <c r="L1189" s="25" t="s">
        <v>58</v>
      </c>
      <c r="M1189" t="str">
        <f>TEXT(A1189,"dddd")</f>
        <v>Thursday</v>
      </c>
      <c r="N1189" s="35">
        <f>DATE(Table4[[#This Row],[year]],Table4[[#This Row],[month2]],Table4[[#This Row],[day]])</f>
        <v>46017</v>
      </c>
    </row>
    <row r="1190" spans="1:14" ht="16" x14ac:dyDescent="0.35">
      <c r="A1190" t="str">
        <f t="shared" si="36"/>
        <v>26</v>
      </c>
      <c r="B1190">
        <f>_xlfn.SWITCH(Table4[[#This Row],[month]],"jan",1,"feb",2,"mar",3,"apr",4,"may",5,"jun",6,"jul",7,"aug",8,"sep",9,"oct",10,"nov",11,"dec",12,"no month")</f>
        <v>12</v>
      </c>
      <c r="C1190" s="12" t="str">
        <f>LEFT('All Transactions'!$E1190,3)</f>
        <v>Dec</v>
      </c>
      <c r="D1190" s="12" t="str">
        <f t="shared" si="37"/>
        <v>2025</v>
      </c>
      <c r="E1190" s="16" t="s">
        <v>3803</v>
      </c>
      <c r="F1190" s="17" t="s">
        <v>2692</v>
      </c>
      <c r="G1190" s="18" t="s">
        <v>28</v>
      </c>
      <c r="H1190" s="19">
        <v>30</v>
      </c>
      <c r="I1190" s="20" t="s">
        <v>3700</v>
      </c>
      <c r="J1190" s="20" t="s">
        <v>3816</v>
      </c>
      <c r="K1190" s="21" t="s">
        <v>3817</v>
      </c>
      <c r="L1190" s="20" t="s">
        <v>32</v>
      </c>
      <c r="M1190" t="str">
        <f>TEXT(A1190,"dddd")</f>
        <v>Thursday</v>
      </c>
      <c r="N1190" s="35">
        <f>DATE(Table4[[#This Row],[year]],Table4[[#This Row],[month2]],Table4[[#This Row],[day]])</f>
        <v>46017</v>
      </c>
    </row>
    <row r="1191" spans="1:14" ht="16" x14ac:dyDescent="0.35">
      <c r="A1191" t="str">
        <f t="shared" si="36"/>
        <v>25</v>
      </c>
      <c r="B1191">
        <f>_xlfn.SWITCH(Table4[[#This Row],[month]],"jan",1,"feb",2,"mar",3,"apr",4,"may",5,"jun",6,"jul",7,"aug",8,"sep",9,"oct",10,"nov",11,"dec",12,"no month")</f>
        <v>12</v>
      </c>
      <c r="C1191" s="12" t="str">
        <f>LEFT('All Transactions'!$E1191,3)</f>
        <v>Dec</v>
      </c>
      <c r="D1191" s="12" t="str">
        <f t="shared" si="37"/>
        <v>2025</v>
      </c>
      <c r="E1191" s="22" t="s">
        <v>3818</v>
      </c>
      <c r="F1191" s="23" t="s">
        <v>2242</v>
      </c>
      <c r="G1191" s="18" t="s">
        <v>28</v>
      </c>
      <c r="H1191" s="24">
        <v>750</v>
      </c>
      <c r="I1191" s="25" t="s">
        <v>3819</v>
      </c>
      <c r="J1191" s="25" t="s">
        <v>3820</v>
      </c>
      <c r="K1191" s="26" t="s">
        <v>3821</v>
      </c>
      <c r="L1191" s="25" t="s">
        <v>32</v>
      </c>
      <c r="M1191" t="str">
        <f>TEXT(A1191,"dddd")</f>
        <v>Wednesday</v>
      </c>
      <c r="N1191" s="35">
        <f>DATE(Table4[[#This Row],[year]],Table4[[#This Row],[month2]],Table4[[#This Row],[day]])</f>
        <v>46016</v>
      </c>
    </row>
    <row r="1192" spans="1:14" ht="16" x14ac:dyDescent="0.35">
      <c r="A1192" t="str">
        <f t="shared" si="36"/>
        <v>25</v>
      </c>
      <c r="B1192">
        <f>_xlfn.SWITCH(Table4[[#This Row],[month]],"jan",1,"feb",2,"mar",3,"apr",4,"may",5,"jun",6,"jul",7,"aug",8,"sep",9,"oct",10,"nov",11,"dec",12,"no month")</f>
        <v>12</v>
      </c>
      <c r="C1192" s="12" t="str">
        <f>LEFT('All Transactions'!$E1192,3)</f>
        <v>Dec</v>
      </c>
      <c r="D1192" s="12" t="str">
        <f t="shared" si="37"/>
        <v>2025</v>
      </c>
      <c r="E1192" s="16" t="s">
        <v>3818</v>
      </c>
      <c r="F1192" s="17" t="s">
        <v>3822</v>
      </c>
      <c r="G1192" s="27" t="s">
        <v>54</v>
      </c>
      <c r="H1192" s="19">
        <v>750</v>
      </c>
      <c r="I1192" s="20" t="s">
        <v>156</v>
      </c>
      <c r="J1192" s="20" t="s">
        <v>3823</v>
      </c>
      <c r="K1192" s="21" t="s">
        <v>3824</v>
      </c>
      <c r="L1192" s="20" t="s">
        <v>58</v>
      </c>
      <c r="M1192" t="str">
        <f>TEXT(A1192,"dddd")</f>
        <v>Wednesday</v>
      </c>
      <c r="N1192" s="35">
        <f>DATE(Table4[[#This Row],[year]],Table4[[#This Row],[month2]],Table4[[#This Row],[day]])</f>
        <v>46016</v>
      </c>
    </row>
    <row r="1193" spans="1:14" ht="16" x14ac:dyDescent="0.35">
      <c r="A1193" t="str">
        <f t="shared" si="36"/>
        <v>25</v>
      </c>
      <c r="B1193">
        <f>_xlfn.SWITCH(Table4[[#This Row],[month]],"jan",1,"feb",2,"mar",3,"apr",4,"may",5,"jun",6,"jul",7,"aug",8,"sep",9,"oct",10,"nov",11,"dec",12,"no month")</f>
        <v>12</v>
      </c>
      <c r="C1193" s="12" t="str">
        <f>LEFT('All Transactions'!$E1193,3)</f>
        <v>Dec</v>
      </c>
      <c r="D1193" s="12" t="str">
        <f t="shared" si="37"/>
        <v>2025</v>
      </c>
      <c r="E1193" s="22" t="s">
        <v>3818</v>
      </c>
      <c r="F1193" s="23" t="s">
        <v>368</v>
      </c>
      <c r="G1193" s="18" t="s">
        <v>28</v>
      </c>
      <c r="H1193" s="24">
        <v>180</v>
      </c>
      <c r="I1193" s="25" t="s">
        <v>3781</v>
      </c>
      <c r="J1193" s="25" t="s">
        <v>3825</v>
      </c>
      <c r="K1193" s="26" t="s">
        <v>3826</v>
      </c>
      <c r="L1193" s="25" t="s">
        <v>32</v>
      </c>
      <c r="M1193" t="str">
        <f>TEXT(A1193,"dddd")</f>
        <v>Wednesday</v>
      </c>
      <c r="N1193" s="35">
        <f>DATE(Table4[[#This Row],[year]],Table4[[#This Row],[month2]],Table4[[#This Row],[day]])</f>
        <v>46016</v>
      </c>
    </row>
    <row r="1194" spans="1:14" ht="16" x14ac:dyDescent="0.35">
      <c r="A1194" t="str">
        <f t="shared" si="36"/>
        <v>25</v>
      </c>
      <c r="B1194">
        <f>_xlfn.SWITCH(Table4[[#This Row],[month]],"jan",1,"feb",2,"mar",3,"apr",4,"may",5,"jun",6,"jul",7,"aug",8,"sep",9,"oct",10,"nov",11,"dec",12,"no month")</f>
        <v>12</v>
      </c>
      <c r="C1194" s="12" t="str">
        <f>LEFT('All Transactions'!$E1194,3)</f>
        <v>Dec</v>
      </c>
      <c r="D1194" s="12" t="str">
        <f t="shared" si="37"/>
        <v>2025</v>
      </c>
      <c r="E1194" s="16" t="s">
        <v>3818</v>
      </c>
      <c r="F1194" s="17" t="s">
        <v>2355</v>
      </c>
      <c r="G1194" s="27" t="s">
        <v>54</v>
      </c>
      <c r="H1194" s="19">
        <v>120</v>
      </c>
      <c r="I1194" s="20" t="s">
        <v>156</v>
      </c>
      <c r="J1194" s="20" t="s">
        <v>3827</v>
      </c>
      <c r="K1194" s="21" t="s">
        <v>3828</v>
      </c>
      <c r="L1194" s="20" t="s">
        <v>58</v>
      </c>
      <c r="M1194" t="str">
        <f>TEXT(A1194,"dddd")</f>
        <v>Wednesday</v>
      </c>
      <c r="N1194" s="35">
        <f>DATE(Table4[[#This Row],[year]],Table4[[#This Row],[month2]],Table4[[#This Row],[day]])</f>
        <v>46016</v>
      </c>
    </row>
    <row r="1195" spans="1:14" ht="16" x14ac:dyDescent="0.35">
      <c r="A1195" t="str">
        <f t="shared" si="36"/>
        <v>25</v>
      </c>
      <c r="B1195">
        <f>_xlfn.SWITCH(Table4[[#This Row],[month]],"jan",1,"feb",2,"mar",3,"apr",4,"may",5,"jun",6,"jul",7,"aug",8,"sep",9,"oct",10,"nov",11,"dec",12,"no month")</f>
        <v>12</v>
      </c>
      <c r="C1195" s="12" t="str">
        <f>LEFT('All Transactions'!$E1195,3)</f>
        <v>Dec</v>
      </c>
      <c r="D1195" s="12" t="str">
        <f t="shared" si="37"/>
        <v>2025</v>
      </c>
      <c r="E1195" s="22" t="s">
        <v>3818</v>
      </c>
      <c r="F1195" s="23" t="s">
        <v>956</v>
      </c>
      <c r="G1195" s="27" t="s">
        <v>54</v>
      </c>
      <c r="H1195" s="24">
        <v>8000</v>
      </c>
      <c r="I1195" s="25" t="s">
        <v>143</v>
      </c>
      <c r="J1195" s="25" t="s">
        <v>3829</v>
      </c>
      <c r="K1195" s="26" t="s">
        <v>3830</v>
      </c>
      <c r="L1195" s="25" t="s">
        <v>58</v>
      </c>
      <c r="M1195" t="str">
        <f>TEXT(A1195,"dddd")</f>
        <v>Wednesday</v>
      </c>
      <c r="N1195" s="35">
        <f>DATE(Table4[[#This Row],[year]],Table4[[#This Row],[month2]],Table4[[#This Row],[day]])</f>
        <v>46016</v>
      </c>
    </row>
    <row r="1196" spans="1:14" ht="16" x14ac:dyDescent="0.35">
      <c r="A1196" t="str">
        <f t="shared" si="36"/>
        <v>25</v>
      </c>
      <c r="B1196">
        <f>_xlfn.SWITCH(Table4[[#This Row],[month]],"jan",1,"feb",2,"mar",3,"apr",4,"may",5,"jun",6,"jul",7,"aug",8,"sep",9,"oct",10,"nov",11,"dec",12,"no month")</f>
        <v>12</v>
      </c>
      <c r="C1196" s="12" t="str">
        <f>LEFT('All Transactions'!$E1196,3)</f>
        <v>Dec</v>
      </c>
      <c r="D1196" s="12" t="str">
        <f t="shared" si="37"/>
        <v>2025</v>
      </c>
      <c r="E1196" s="16" t="s">
        <v>3818</v>
      </c>
      <c r="F1196" s="17" t="s">
        <v>3831</v>
      </c>
      <c r="G1196" s="18" t="s">
        <v>28</v>
      </c>
      <c r="H1196" s="19">
        <v>352</v>
      </c>
      <c r="I1196" s="20" t="s">
        <v>3832</v>
      </c>
      <c r="J1196" s="20" t="s">
        <v>3833</v>
      </c>
      <c r="K1196" s="21" t="s">
        <v>3834</v>
      </c>
      <c r="L1196" s="20" t="s">
        <v>32</v>
      </c>
      <c r="M1196" t="str">
        <f>TEXT(A1196,"dddd")</f>
        <v>Wednesday</v>
      </c>
      <c r="N1196" s="35">
        <f>DATE(Table4[[#This Row],[year]],Table4[[#This Row],[month2]],Table4[[#This Row],[day]])</f>
        <v>46016</v>
      </c>
    </row>
    <row r="1197" spans="1:14" ht="16" x14ac:dyDescent="0.35">
      <c r="A1197" t="str">
        <f t="shared" si="36"/>
        <v>25</v>
      </c>
      <c r="B1197">
        <f>_xlfn.SWITCH(Table4[[#This Row],[month]],"jan",1,"feb",2,"mar",3,"apr",4,"may",5,"jun",6,"jul",7,"aug",8,"sep",9,"oct",10,"nov",11,"dec",12,"no month")</f>
        <v>12</v>
      </c>
      <c r="C1197" s="12" t="str">
        <f>LEFT('All Transactions'!$E1197,3)</f>
        <v>Dec</v>
      </c>
      <c r="D1197" s="12" t="str">
        <f t="shared" si="37"/>
        <v>2025</v>
      </c>
      <c r="E1197" s="22" t="s">
        <v>3818</v>
      </c>
      <c r="F1197" s="23" t="s">
        <v>928</v>
      </c>
      <c r="G1197" s="18" t="s">
        <v>28</v>
      </c>
      <c r="H1197" s="24">
        <v>40</v>
      </c>
      <c r="I1197" s="25" t="s">
        <v>3835</v>
      </c>
      <c r="J1197" s="25" t="s">
        <v>3836</v>
      </c>
      <c r="K1197" s="26" t="s">
        <v>3837</v>
      </c>
      <c r="L1197" s="25" t="s">
        <v>32</v>
      </c>
      <c r="M1197" t="str">
        <f>TEXT(A1197,"dddd")</f>
        <v>Wednesday</v>
      </c>
      <c r="N1197" s="35">
        <f>DATE(Table4[[#This Row],[year]],Table4[[#This Row],[month2]],Table4[[#This Row],[day]])</f>
        <v>46016</v>
      </c>
    </row>
    <row r="1198" spans="1:14" ht="16" x14ac:dyDescent="0.35">
      <c r="A1198" t="str">
        <f t="shared" si="36"/>
        <v>24</v>
      </c>
      <c r="B1198">
        <f>_xlfn.SWITCH(Table4[[#This Row],[month]],"jan",1,"feb",2,"mar",3,"apr",4,"may",5,"jun",6,"jul",7,"aug",8,"sep",9,"oct",10,"nov",11,"dec",12,"no month")</f>
        <v>12</v>
      </c>
      <c r="C1198" s="12" t="str">
        <f>LEFT('All Transactions'!$E1198,3)</f>
        <v>Dec</v>
      </c>
      <c r="D1198" s="12" t="str">
        <f t="shared" si="37"/>
        <v>2025</v>
      </c>
      <c r="E1198" s="16" t="s">
        <v>3838</v>
      </c>
      <c r="F1198" s="17" t="s">
        <v>3839</v>
      </c>
      <c r="G1198" s="18" t="s">
        <v>28</v>
      </c>
      <c r="H1198" s="19">
        <v>30</v>
      </c>
      <c r="I1198" s="20" t="s">
        <v>2033</v>
      </c>
      <c r="J1198" s="20" t="s">
        <v>3840</v>
      </c>
      <c r="K1198" s="21" t="s">
        <v>3841</v>
      </c>
      <c r="L1198" s="20" t="s">
        <v>32</v>
      </c>
      <c r="M1198" t="str">
        <f>TEXT(A1198,"dddd")</f>
        <v>Tuesday</v>
      </c>
      <c r="N1198" s="35">
        <f>DATE(Table4[[#This Row],[year]],Table4[[#This Row],[month2]],Table4[[#This Row],[day]])</f>
        <v>46015</v>
      </c>
    </row>
    <row r="1199" spans="1:14" ht="16" x14ac:dyDescent="0.35">
      <c r="A1199" t="str">
        <f t="shared" si="36"/>
        <v>24</v>
      </c>
      <c r="B1199">
        <f>_xlfn.SWITCH(Table4[[#This Row],[month]],"jan",1,"feb",2,"mar",3,"apr",4,"may",5,"jun",6,"jul",7,"aug",8,"sep",9,"oct",10,"nov",11,"dec",12,"no month")</f>
        <v>12</v>
      </c>
      <c r="C1199" s="12" t="str">
        <f>LEFT('All Transactions'!$E1199,3)</f>
        <v>Dec</v>
      </c>
      <c r="D1199" s="12" t="str">
        <f t="shared" si="37"/>
        <v>2025</v>
      </c>
      <c r="E1199" s="22" t="s">
        <v>3838</v>
      </c>
      <c r="F1199" s="23" t="s">
        <v>3842</v>
      </c>
      <c r="G1199" s="18" t="s">
        <v>28</v>
      </c>
      <c r="H1199" s="24">
        <v>20</v>
      </c>
      <c r="I1199" s="25" t="s">
        <v>3843</v>
      </c>
      <c r="J1199" s="25" t="s">
        <v>3844</v>
      </c>
      <c r="K1199" s="26" t="s">
        <v>3845</v>
      </c>
      <c r="L1199" s="25" t="s">
        <v>32</v>
      </c>
      <c r="M1199" t="str">
        <f>TEXT(A1199,"dddd")</f>
        <v>Tuesday</v>
      </c>
      <c r="N1199" s="35">
        <f>DATE(Table4[[#This Row],[year]],Table4[[#This Row],[month2]],Table4[[#This Row],[day]])</f>
        <v>46015</v>
      </c>
    </row>
    <row r="1200" spans="1:14" ht="16" x14ac:dyDescent="0.35">
      <c r="A1200" t="str">
        <f t="shared" si="36"/>
        <v>23</v>
      </c>
      <c r="B1200">
        <f>_xlfn.SWITCH(Table4[[#This Row],[month]],"jan",1,"feb",2,"mar",3,"apr",4,"may",5,"jun",6,"jul",7,"aug",8,"sep",9,"oct",10,"nov",11,"dec",12,"no month")</f>
        <v>12</v>
      </c>
      <c r="C1200" s="12" t="str">
        <f>LEFT('All Transactions'!$E1200,3)</f>
        <v>Dec</v>
      </c>
      <c r="D1200" s="12" t="str">
        <f t="shared" si="37"/>
        <v>2025</v>
      </c>
      <c r="E1200" s="16" t="s">
        <v>3846</v>
      </c>
      <c r="F1200" s="17" t="s">
        <v>3607</v>
      </c>
      <c r="G1200" s="18" t="s">
        <v>28</v>
      </c>
      <c r="H1200" s="19">
        <v>19</v>
      </c>
      <c r="I1200" s="20" t="s">
        <v>3847</v>
      </c>
      <c r="J1200" s="20" t="s">
        <v>3848</v>
      </c>
      <c r="K1200" s="21" t="s">
        <v>3849</v>
      </c>
      <c r="L1200" s="20" t="s">
        <v>32</v>
      </c>
      <c r="M1200" t="str">
        <f>TEXT(A1200,"dddd")</f>
        <v>Monday</v>
      </c>
      <c r="N1200" s="35">
        <f>DATE(Table4[[#This Row],[year]],Table4[[#This Row],[month2]],Table4[[#This Row],[day]])</f>
        <v>46014</v>
      </c>
    </row>
    <row r="1201" spans="1:14" ht="16" x14ac:dyDescent="0.35">
      <c r="A1201" t="str">
        <f t="shared" si="36"/>
        <v>23</v>
      </c>
      <c r="B1201">
        <f>_xlfn.SWITCH(Table4[[#This Row],[month]],"jan",1,"feb",2,"mar",3,"apr",4,"may",5,"jun",6,"jul",7,"aug",8,"sep",9,"oct",10,"nov",11,"dec",12,"no month")</f>
        <v>12</v>
      </c>
      <c r="C1201" s="12" t="str">
        <f>LEFT('All Transactions'!$E1201,3)</f>
        <v>Dec</v>
      </c>
      <c r="D1201" s="12" t="str">
        <f t="shared" si="37"/>
        <v>2025</v>
      </c>
      <c r="E1201" s="22" t="s">
        <v>3846</v>
      </c>
      <c r="F1201" s="23" t="s">
        <v>3850</v>
      </c>
      <c r="G1201" s="18" t="s">
        <v>28</v>
      </c>
      <c r="H1201" s="24">
        <v>20</v>
      </c>
      <c r="I1201" s="25" t="s">
        <v>3851</v>
      </c>
      <c r="J1201" s="25" t="s">
        <v>3852</v>
      </c>
      <c r="K1201" s="26" t="s">
        <v>3853</v>
      </c>
      <c r="L1201" s="25" t="s">
        <v>32</v>
      </c>
      <c r="M1201" t="str">
        <f>TEXT(A1201,"dddd")</f>
        <v>Monday</v>
      </c>
      <c r="N1201" s="35">
        <f>DATE(Table4[[#This Row],[year]],Table4[[#This Row],[month2]],Table4[[#This Row],[day]])</f>
        <v>46014</v>
      </c>
    </row>
    <row r="1202" spans="1:14" ht="16" x14ac:dyDescent="0.35">
      <c r="A1202" t="str">
        <f t="shared" si="36"/>
        <v>23</v>
      </c>
      <c r="B1202">
        <f>_xlfn.SWITCH(Table4[[#This Row],[month]],"jan",1,"feb",2,"mar",3,"apr",4,"may",5,"jun",6,"jul",7,"aug",8,"sep",9,"oct",10,"nov",11,"dec",12,"no month")</f>
        <v>12</v>
      </c>
      <c r="C1202" s="12" t="str">
        <f>LEFT('All Transactions'!$E1202,3)</f>
        <v>Dec</v>
      </c>
      <c r="D1202" s="12" t="str">
        <f t="shared" si="37"/>
        <v>2025</v>
      </c>
      <c r="E1202" s="16" t="s">
        <v>3846</v>
      </c>
      <c r="F1202" s="17" t="s">
        <v>3854</v>
      </c>
      <c r="G1202" s="18" t="s">
        <v>28</v>
      </c>
      <c r="H1202" s="19">
        <v>10</v>
      </c>
      <c r="I1202" s="20" t="s">
        <v>3851</v>
      </c>
      <c r="J1202" s="20" t="s">
        <v>3855</v>
      </c>
      <c r="K1202" s="21" t="s">
        <v>3856</v>
      </c>
      <c r="L1202" s="20" t="s">
        <v>32</v>
      </c>
      <c r="M1202" t="str">
        <f>TEXT(A1202,"dddd")</f>
        <v>Monday</v>
      </c>
      <c r="N1202" s="35">
        <f>DATE(Table4[[#This Row],[year]],Table4[[#This Row],[month2]],Table4[[#This Row],[day]])</f>
        <v>46014</v>
      </c>
    </row>
    <row r="1203" spans="1:14" ht="16" x14ac:dyDescent="0.35">
      <c r="A1203" t="str">
        <f t="shared" si="36"/>
        <v>22</v>
      </c>
      <c r="B1203">
        <f>_xlfn.SWITCH(Table4[[#This Row],[month]],"jan",1,"feb",2,"mar",3,"apr",4,"may",5,"jun",6,"jul",7,"aug",8,"sep",9,"oct",10,"nov",11,"dec",12,"no month")</f>
        <v>12</v>
      </c>
      <c r="C1203" s="12" t="str">
        <f>LEFT('All Transactions'!$E1203,3)</f>
        <v>Dec</v>
      </c>
      <c r="D1203" s="12" t="str">
        <f t="shared" si="37"/>
        <v>2025</v>
      </c>
      <c r="E1203" s="22" t="s">
        <v>3857</v>
      </c>
      <c r="F1203" s="23" t="s">
        <v>880</v>
      </c>
      <c r="G1203" s="18" t="s">
        <v>28</v>
      </c>
      <c r="H1203" s="24">
        <v>5200</v>
      </c>
      <c r="I1203" s="25" t="s">
        <v>3858</v>
      </c>
      <c r="J1203" s="25" t="s">
        <v>3859</v>
      </c>
      <c r="K1203" s="26" t="s">
        <v>3860</v>
      </c>
      <c r="L1203" s="25" t="s">
        <v>32</v>
      </c>
      <c r="M1203" t="str">
        <f>TEXT(A1203,"dddd")</f>
        <v>Sunday</v>
      </c>
      <c r="N1203" s="35">
        <f>DATE(Table4[[#This Row],[year]],Table4[[#This Row],[month2]],Table4[[#This Row],[day]])</f>
        <v>46013</v>
      </c>
    </row>
    <row r="1204" spans="1:14" ht="16" x14ac:dyDescent="0.35">
      <c r="A1204" t="str">
        <f t="shared" si="36"/>
        <v>22</v>
      </c>
      <c r="B1204">
        <f>_xlfn.SWITCH(Table4[[#This Row],[month]],"jan",1,"feb",2,"mar",3,"apr",4,"may",5,"jun",6,"jul",7,"aug",8,"sep",9,"oct",10,"nov",11,"dec",12,"no month")</f>
        <v>12</v>
      </c>
      <c r="C1204" s="12" t="str">
        <f>LEFT('All Transactions'!$E1204,3)</f>
        <v>Dec</v>
      </c>
      <c r="D1204" s="12" t="str">
        <f t="shared" si="37"/>
        <v>2025</v>
      </c>
      <c r="E1204" s="16" t="s">
        <v>3857</v>
      </c>
      <c r="F1204" s="17" t="s">
        <v>116</v>
      </c>
      <c r="G1204" s="18" t="s">
        <v>28</v>
      </c>
      <c r="H1204" s="19">
        <v>200</v>
      </c>
      <c r="I1204" s="20" t="s">
        <v>3861</v>
      </c>
      <c r="J1204" s="20" t="s">
        <v>3862</v>
      </c>
      <c r="K1204" s="21" t="s">
        <v>3863</v>
      </c>
      <c r="L1204" s="20" t="s">
        <v>32</v>
      </c>
      <c r="M1204" t="str">
        <f>TEXT(A1204,"dddd")</f>
        <v>Sunday</v>
      </c>
      <c r="N1204" s="35">
        <f>DATE(Table4[[#This Row],[year]],Table4[[#This Row],[month2]],Table4[[#This Row],[day]])</f>
        <v>46013</v>
      </c>
    </row>
    <row r="1205" spans="1:14" ht="16" x14ac:dyDescent="0.35">
      <c r="A1205" t="str">
        <f t="shared" si="36"/>
        <v>22</v>
      </c>
      <c r="B1205">
        <f>_xlfn.SWITCH(Table4[[#This Row],[month]],"jan",1,"feb",2,"mar",3,"apr",4,"may",5,"jun",6,"jul",7,"aug",8,"sep",9,"oct",10,"nov",11,"dec",12,"no month")</f>
        <v>12</v>
      </c>
      <c r="C1205" s="12" t="str">
        <f>LEFT('All Transactions'!$E1205,3)</f>
        <v>Dec</v>
      </c>
      <c r="D1205" s="12" t="str">
        <f t="shared" si="37"/>
        <v>2025</v>
      </c>
      <c r="E1205" s="22" t="s">
        <v>3857</v>
      </c>
      <c r="F1205" s="23" t="s">
        <v>190</v>
      </c>
      <c r="G1205" s="18" t="s">
        <v>28</v>
      </c>
      <c r="H1205" s="24">
        <v>60</v>
      </c>
      <c r="I1205" s="25" t="s">
        <v>3864</v>
      </c>
      <c r="J1205" s="25" t="s">
        <v>3865</v>
      </c>
      <c r="K1205" s="26" t="s">
        <v>3866</v>
      </c>
      <c r="L1205" s="25" t="s">
        <v>32</v>
      </c>
      <c r="M1205" t="str">
        <f>TEXT(A1205,"dddd")</f>
        <v>Sunday</v>
      </c>
      <c r="N1205" s="35">
        <f>DATE(Table4[[#This Row],[year]],Table4[[#This Row],[month2]],Table4[[#This Row],[day]])</f>
        <v>46013</v>
      </c>
    </row>
    <row r="1206" spans="1:14" ht="16" x14ac:dyDescent="0.35">
      <c r="A1206" t="str">
        <f t="shared" si="36"/>
        <v>22</v>
      </c>
      <c r="B1206">
        <f>_xlfn.SWITCH(Table4[[#This Row],[month]],"jan",1,"feb",2,"mar",3,"apr",4,"may",5,"jun",6,"jul",7,"aug",8,"sep",9,"oct",10,"nov",11,"dec",12,"no month")</f>
        <v>12</v>
      </c>
      <c r="C1206" s="12" t="str">
        <f>LEFT('All Transactions'!$E1206,3)</f>
        <v>Dec</v>
      </c>
      <c r="D1206" s="12" t="str">
        <f t="shared" si="37"/>
        <v>2025</v>
      </c>
      <c r="E1206" s="16" t="s">
        <v>3857</v>
      </c>
      <c r="F1206" s="17" t="s">
        <v>2251</v>
      </c>
      <c r="G1206" s="18" t="s">
        <v>28</v>
      </c>
      <c r="H1206" s="19">
        <v>30</v>
      </c>
      <c r="I1206" s="20" t="s">
        <v>3867</v>
      </c>
      <c r="J1206" s="20" t="s">
        <v>3868</v>
      </c>
      <c r="K1206" s="21" t="s">
        <v>3869</v>
      </c>
      <c r="L1206" s="20" t="s">
        <v>32</v>
      </c>
      <c r="M1206" t="str">
        <f>TEXT(A1206,"dddd")</f>
        <v>Sunday</v>
      </c>
      <c r="N1206" s="35">
        <f>DATE(Table4[[#This Row],[year]],Table4[[#This Row],[month2]],Table4[[#This Row],[day]])</f>
        <v>46013</v>
      </c>
    </row>
    <row r="1207" spans="1:14" ht="16" x14ac:dyDescent="0.35">
      <c r="A1207" t="str">
        <f t="shared" si="36"/>
        <v>22</v>
      </c>
      <c r="B1207">
        <f>_xlfn.SWITCH(Table4[[#This Row],[month]],"jan",1,"feb",2,"mar",3,"apr",4,"may",5,"jun",6,"jul",7,"aug",8,"sep",9,"oct",10,"nov",11,"dec",12,"no month")</f>
        <v>12</v>
      </c>
      <c r="C1207" s="12" t="str">
        <f>LEFT('All Transactions'!$E1207,3)</f>
        <v>Dec</v>
      </c>
      <c r="D1207" s="12" t="str">
        <f t="shared" si="37"/>
        <v>2025</v>
      </c>
      <c r="E1207" s="22" t="s">
        <v>3857</v>
      </c>
      <c r="F1207" s="23" t="s">
        <v>3870</v>
      </c>
      <c r="G1207" s="18" t="s">
        <v>28</v>
      </c>
      <c r="H1207" s="24">
        <v>25</v>
      </c>
      <c r="I1207" s="25" t="s">
        <v>3871</v>
      </c>
      <c r="J1207" s="25" t="s">
        <v>3872</v>
      </c>
      <c r="K1207" s="26" t="s">
        <v>3873</v>
      </c>
      <c r="L1207" s="25" t="s">
        <v>32</v>
      </c>
      <c r="M1207" t="str">
        <f>TEXT(A1207,"dddd")</f>
        <v>Sunday</v>
      </c>
      <c r="N1207" s="35">
        <f>DATE(Table4[[#This Row],[year]],Table4[[#This Row],[month2]],Table4[[#This Row],[day]])</f>
        <v>46013</v>
      </c>
    </row>
    <row r="1208" spans="1:14" ht="16" x14ac:dyDescent="0.35">
      <c r="A1208" t="str">
        <f t="shared" si="36"/>
        <v>21</v>
      </c>
      <c r="B1208">
        <f>_xlfn.SWITCH(Table4[[#This Row],[month]],"jan",1,"feb",2,"mar",3,"apr",4,"may",5,"jun",6,"jul",7,"aug",8,"sep",9,"oct",10,"nov",11,"dec",12,"no month")</f>
        <v>12</v>
      </c>
      <c r="C1208" s="12" t="str">
        <f>LEFT('All Transactions'!$E1208,3)</f>
        <v>Dec</v>
      </c>
      <c r="D1208" s="12" t="str">
        <f t="shared" si="37"/>
        <v>2025</v>
      </c>
      <c r="E1208" s="16" t="s">
        <v>3874</v>
      </c>
      <c r="F1208" s="17" t="s">
        <v>282</v>
      </c>
      <c r="G1208" s="18" t="s">
        <v>28</v>
      </c>
      <c r="H1208" s="19">
        <v>120</v>
      </c>
      <c r="I1208" s="20" t="s">
        <v>3875</v>
      </c>
      <c r="J1208" s="20" t="s">
        <v>3876</v>
      </c>
      <c r="K1208" s="21" t="s">
        <v>3877</v>
      </c>
      <c r="L1208" s="20" t="s">
        <v>32</v>
      </c>
      <c r="M1208" t="str">
        <f>TEXT(A1208,"dddd")</f>
        <v>Saturday</v>
      </c>
      <c r="N1208" s="35">
        <f>DATE(Table4[[#This Row],[year]],Table4[[#This Row],[month2]],Table4[[#This Row],[day]])</f>
        <v>46012</v>
      </c>
    </row>
    <row r="1209" spans="1:14" ht="16" x14ac:dyDescent="0.35">
      <c r="A1209" t="str">
        <f t="shared" si="36"/>
        <v>21</v>
      </c>
      <c r="B1209">
        <f>_xlfn.SWITCH(Table4[[#This Row],[month]],"jan",1,"feb",2,"mar",3,"apr",4,"may",5,"jun",6,"jul",7,"aug",8,"sep",9,"oct",10,"nov",11,"dec",12,"no month")</f>
        <v>12</v>
      </c>
      <c r="C1209" s="12" t="str">
        <f>LEFT('All Transactions'!$E1209,3)</f>
        <v>Dec</v>
      </c>
      <c r="D1209" s="12" t="str">
        <f t="shared" si="37"/>
        <v>2025</v>
      </c>
      <c r="E1209" s="22" t="s">
        <v>3874</v>
      </c>
      <c r="F1209" s="23" t="s">
        <v>706</v>
      </c>
      <c r="G1209" s="18" t="s">
        <v>28</v>
      </c>
      <c r="H1209" s="24">
        <v>46</v>
      </c>
      <c r="I1209" s="25" t="s">
        <v>3878</v>
      </c>
      <c r="J1209" s="25" t="s">
        <v>3879</v>
      </c>
      <c r="K1209" s="26" t="s">
        <v>3880</v>
      </c>
      <c r="L1209" s="25" t="s">
        <v>32</v>
      </c>
      <c r="M1209" t="str">
        <f>TEXT(A1209,"dddd")</f>
        <v>Saturday</v>
      </c>
      <c r="N1209" s="35">
        <f>DATE(Table4[[#This Row],[year]],Table4[[#This Row],[month2]],Table4[[#This Row],[day]])</f>
        <v>46012</v>
      </c>
    </row>
    <row r="1210" spans="1:14" ht="16" x14ac:dyDescent="0.35">
      <c r="A1210" t="str">
        <f t="shared" si="36"/>
        <v>21</v>
      </c>
      <c r="B1210">
        <f>_xlfn.SWITCH(Table4[[#This Row],[month]],"jan",1,"feb",2,"mar",3,"apr",4,"may",5,"jun",6,"jul",7,"aug",8,"sep",9,"oct",10,"nov",11,"dec",12,"no month")</f>
        <v>12</v>
      </c>
      <c r="C1210" s="12" t="str">
        <f>LEFT('All Transactions'!$E1210,3)</f>
        <v>Dec</v>
      </c>
      <c r="D1210" s="12" t="str">
        <f t="shared" si="37"/>
        <v>2025</v>
      </c>
      <c r="E1210" s="16" t="s">
        <v>3874</v>
      </c>
      <c r="F1210" s="17" t="s">
        <v>3881</v>
      </c>
      <c r="G1210" s="18" t="s">
        <v>28</v>
      </c>
      <c r="H1210" s="19">
        <v>966.72</v>
      </c>
      <c r="I1210" s="20" t="s">
        <v>3125</v>
      </c>
      <c r="J1210" s="20" t="s">
        <v>3882</v>
      </c>
      <c r="K1210" s="21" t="s">
        <v>3883</v>
      </c>
      <c r="L1210" s="20" t="s">
        <v>32</v>
      </c>
      <c r="M1210" t="str">
        <f>TEXT(A1210,"dddd")</f>
        <v>Saturday</v>
      </c>
      <c r="N1210" s="35">
        <f>DATE(Table4[[#This Row],[year]],Table4[[#This Row],[month2]],Table4[[#This Row],[day]])</f>
        <v>46012</v>
      </c>
    </row>
    <row r="1211" spans="1:14" ht="16" x14ac:dyDescent="0.35">
      <c r="A1211" t="str">
        <f t="shared" si="36"/>
        <v>21</v>
      </c>
      <c r="B1211">
        <f>_xlfn.SWITCH(Table4[[#This Row],[month]],"jan",1,"feb",2,"mar",3,"apr",4,"may",5,"jun",6,"jul",7,"aug",8,"sep",9,"oct",10,"nov",11,"dec",12,"no month")</f>
        <v>12</v>
      </c>
      <c r="C1211" s="12" t="str">
        <f>LEFT('All Transactions'!$E1211,3)</f>
        <v>Dec</v>
      </c>
      <c r="D1211" s="12" t="str">
        <f t="shared" si="37"/>
        <v>2025</v>
      </c>
      <c r="E1211" s="22" t="s">
        <v>3874</v>
      </c>
      <c r="F1211" s="23" t="s">
        <v>652</v>
      </c>
      <c r="G1211" s="18" t="s">
        <v>28</v>
      </c>
      <c r="H1211" s="24">
        <v>750</v>
      </c>
      <c r="I1211" s="25" t="s">
        <v>1294</v>
      </c>
      <c r="J1211" s="25" t="s">
        <v>3884</v>
      </c>
      <c r="K1211" s="26" t="s">
        <v>3885</v>
      </c>
      <c r="L1211" s="25" t="s">
        <v>32</v>
      </c>
      <c r="M1211" t="str">
        <f>TEXT(A1211,"dddd")</f>
        <v>Saturday</v>
      </c>
      <c r="N1211" s="35">
        <f>DATE(Table4[[#This Row],[year]],Table4[[#This Row],[month2]],Table4[[#This Row],[day]])</f>
        <v>46012</v>
      </c>
    </row>
    <row r="1212" spans="1:14" ht="16" x14ac:dyDescent="0.35">
      <c r="A1212" t="str">
        <f t="shared" si="36"/>
        <v>20</v>
      </c>
      <c r="B1212">
        <f>_xlfn.SWITCH(Table4[[#This Row],[month]],"jan",1,"feb",2,"mar",3,"apr",4,"may",5,"jun",6,"jul",7,"aug",8,"sep",9,"oct",10,"nov",11,"dec",12,"no month")</f>
        <v>12</v>
      </c>
      <c r="C1212" s="12" t="str">
        <f>LEFT('All Transactions'!$E1212,3)</f>
        <v>Dec</v>
      </c>
      <c r="D1212" s="12" t="str">
        <f t="shared" si="37"/>
        <v>2025</v>
      </c>
      <c r="E1212" s="16" t="s">
        <v>3886</v>
      </c>
      <c r="F1212" s="17" t="s">
        <v>282</v>
      </c>
      <c r="G1212" s="18" t="s">
        <v>28</v>
      </c>
      <c r="H1212" s="19">
        <v>694.48</v>
      </c>
      <c r="I1212" s="20" t="s">
        <v>3125</v>
      </c>
      <c r="J1212" s="20" t="s">
        <v>3887</v>
      </c>
      <c r="K1212" s="21" t="s">
        <v>3888</v>
      </c>
      <c r="L1212" s="20" t="s">
        <v>32</v>
      </c>
      <c r="M1212" t="str">
        <f>TEXT(A1212,"dddd")</f>
        <v>Friday</v>
      </c>
      <c r="N1212" s="35">
        <f>DATE(Table4[[#This Row],[year]],Table4[[#This Row],[month2]],Table4[[#This Row],[day]])</f>
        <v>46011</v>
      </c>
    </row>
    <row r="1213" spans="1:14" ht="16" x14ac:dyDescent="0.35">
      <c r="A1213" t="str">
        <f t="shared" si="36"/>
        <v>20</v>
      </c>
      <c r="B1213">
        <f>_xlfn.SWITCH(Table4[[#This Row],[month]],"jan",1,"feb",2,"mar",3,"apr",4,"may",5,"jun",6,"jul",7,"aug",8,"sep",9,"oct",10,"nov",11,"dec",12,"no month")</f>
        <v>12</v>
      </c>
      <c r="C1213" s="12" t="str">
        <f>LEFT('All Transactions'!$E1213,3)</f>
        <v>Dec</v>
      </c>
      <c r="D1213" s="12" t="str">
        <f t="shared" si="37"/>
        <v>2025</v>
      </c>
      <c r="E1213" s="22" t="s">
        <v>3886</v>
      </c>
      <c r="F1213" s="23" t="s">
        <v>641</v>
      </c>
      <c r="G1213" s="18" t="s">
        <v>28</v>
      </c>
      <c r="H1213" s="24">
        <v>30</v>
      </c>
      <c r="I1213" s="25" t="s">
        <v>3889</v>
      </c>
      <c r="J1213" s="25" t="s">
        <v>3890</v>
      </c>
      <c r="K1213" s="26" t="s">
        <v>3891</v>
      </c>
      <c r="L1213" s="25" t="s">
        <v>32</v>
      </c>
      <c r="M1213" t="str">
        <f>TEXT(A1213,"dddd")</f>
        <v>Friday</v>
      </c>
      <c r="N1213" s="35">
        <f>DATE(Table4[[#This Row],[year]],Table4[[#This Row],[month2]],Table4[[#This Row],[day]])</f>
        <v>46011</v>
      </c>
    </row>
    <row r="1214" spans="1:14" ht="16" x14ac:dyDescent="0.35">
      <c r="A1214" t="str">
        <f t="shared" si="36"/>
        <v>20</v>
      </c>
      <c r="B1214">
        <f>_xlfn.SWITCH(Table4[[#This Row],[month]],"jan",1,"feb",2,"mar",3,"apr",4,"may",5,"jun",6,"jul",7,"aug",8,"sep",9,"oct",10,"nov",11,"dec",12,"no month")</f>
        <v>12</v>
      </c>
      <c r="C1214" s="12" t="str">
        <f>LEFT('All Transactions'!$E1214,3)</f>
        <v>Dec</v>
      </c>
      <c r="D1214" s="12" t="str">
        <f t="shared" si="37"/>
        <v>2025</v>
      </c>
      <c r="E1214" s="16" t="s">
        <v>3886</v>
      </c>
      <c r="F1214" s="17" t="s">
        <v>441</v>
      </c>
      <c r="G1214" s="18" t="s">
        <v>28</v>
      </c>
      <c r="H1214" s="19">
        <v>1500</v>
      </c>
      <c r="I1214" s="20" t="s">
        <v>3118</v>
      </c>
      <c r="J1214" s="20" t="s">
        <v>3892</v>
      </c>
      <c r="K1214" s="21" t="s">
        <v>3893</v>
      </c>
      <c r="L1214" s="20" t="s">
        <v>32</v>
      </c>
      <c r="M1214" t="str">
        <f>TEXT(A1214,"dddd")</f>
        <v>Friday</v>
      </c>
      <c r="N1214" s="35">
        <f>DATE(Table4[[#This Row],[year]],Table4[[#This Row],[month2]],Table4[[#This Row],[day]])</f>
        <v>46011</v>
      </c>
    </row>
    <row r="1215" spans="1:14" ht="16" x14ac:dyDescent="0.35">
      <c r="A1215" t="str">
        <f t="shared" si="36"/>
        <v>20</v>
      </c>
      <c r="B1215">
        <f>_xlfn.SWITCH(Table4[[#This Row],[month]],"jan",1,"feb",2,"mar",3,"apr",4,"may",5,"jun",6,"jul",7,"aug",8,"sep",9,"oct",10,"nov",11,"dec",12,"no month")</f>
        <v>12</v>
      </c>
      <c r="C1215" s="12" t="str">
        <f>LEFT('All Transactions'!$E1215,3)</f>
        <v>Dec</v>
      </c>
      <c r="D1215" s="12" t="str">
        <f t="shared" si="37"/>
        <v>2025</v>
      </c>
      <c r="E1215" s="22" t="s">
        <v>3886</v>
      </c>
      <c r="F1215" s="23" t="s">
        <v>3894</v>
      </c>
      <c r="G1215" s="18" t="s">
        <v>28</v>
      </c>
      <c r="H1215" s="24">
        <v>25</v>
      </c>
      <c r="I1215" s="25" t="s">
        <v>3895</v>
      </c>
      <c r="J1215" s="25" t="s">
        <v>3896</v>
      </c>
      <c r="K1215" s="26" t="s">
        <v>3897</v>
      </c>
      <c r="L1215" s="25" t="s">
        <v>32</v>
      </c>
      <c r="M1215" t="str">
        <f>TEXT(A1215,"dddd")</f>
        <v>Friday</v>
      </c>
      <c r="N1215" s="35">
        <f>DATE(Table4[[#This Row],[year]],Table4[[#This Row],[month2]],Table4[[#This Row],[day]])</f>
        <v>46011</v>
      </c>
    </row>
    <row r="1216" spans="1:14" ht="16" x14ac:dyDescent="0.35">
      <c r="A1216" t="str">
        <f t="shared" si="36"/>
        <v>19</v>
      </c>
      <c r="B1216">
        <f>_xlfn.SWITCH(Table4[[#This Row],[month]],"jan",1,"feb",2,"mar",3,"apr",4,"may",5,"jun",6,"jul",7,"aug",8,"sep",9,"oct",10,"nov",11,"dec",12,"no month")</f>
        <v>12</v>
      </c>
      <c r="C1216" s="12" t="str">
        <f>LEFT('All Transactions'!$E1216,3)</f>
        <v>Dec</v>
      </c>
      <c r="D1216" s="12" t="str">
        <f t="shared" si="37"/>
        <v>2025</v>
      </c>
      <c r="E1216" s="16" t="s">
        <v>3898</v>
      </c>
      <c r="F1216" s="17" t="s">
        <v>1481</v>
      </c>
      <c r="G1216" s="18" t="s">
        <v>28</v>
      </c>
      <c r="H1216" s="19">
        <v>40</v>
      </c>
      <c r="I1216" s="20" t="s">
        <v>3899</v>
      </c>
      <c r="J1216" s="20" t="s">
        <v>3900</v>
      </c>
      <c r="K1216" s="21" t="s">
        <v>3901</v>
      </c>
      <c r="L1216" s="20" t="s">
        <v>32</v>
      </c>
      <c r="M1216" t="str">
        <f>TEXT(A1216,"dddd")</f>
        <v>Thursday</v>
      </c>
      <c r="N1216" s="35">
        <f>DATE(Table4[[#This Row],[year]],Table4[[#This Row],[month2]],Table4[[#This Row],[day]])</f>
        <v>46010</v>
      </c>
    </row>
    <row r="1217" spans="1:14" ht="16" x14ac:dyDescent="0.35">
      <c r="A1217" t="str">
        <f t="shared" si="36"/>
        <v>19</v>
      </c>
      <c r="B1217">
        <f>_xlfn.SWITCH(Table4[[#This Row],[month]],"jan",1,"feb",2,"mar",3,"apr",4,"may",5,"jun",6,"jul",7,"aug",8,"sep",9,"oct",10,"nov",11,"dec",12,"no month")</f>
        <v>12</v>
      </c>
      <c r="C1217" s="12" t="str">
        <f>LEFT('All Transactions'!$E1217,3)</f>
        <v>Dec</v>
      </c>
      <c r="D1217" s="12" t="str">
        <f t="shared" si="37"/>
        <v>2025</v>
      </c>
      <c r="E1217" s="22" t="s">
        <v>3898</v>
      </c>
      <c r="F1217" s="23" t="s">
        <v>3902</v>
      </c>
      <c r="G1217" s="18" t="s">
        <v>28</v>
      </c>
      <c r="H1217" s="24">
        <v>20</v>
      </c>
      <c r="I1217" s="25" t="s">
        <v>3903</v>
      </c>
      <c r="J1217" s="25" t="s">
        <v>3904</v>
      </c>
      <c r="K1217" s="26" t="s">
        <v>3905</v>
      </c>
      <c r="L1217" s="25" t="s">
        <v>32</v>
      </c>
      <c r="M1217" t="str">
        <f>TEXT(A1217,"dddd")</f>
        <v>Thursday</v>
      </c>
      <c r="N1217" s="35">
        <f>DATE(Table4[[#This Row],[year]],Table4[[#This Row],[month2]],Table4[[#This Row],[day]])</f>
        <v>46010</v>
      </c>
    </row>
    <row r="1218" spans="1:14" ht="16" x14ac:dyDescent="0.35">
      <c r="A1218" t="str">
        <f t="shared" si="36"/>
        <v>18</v>
      </c>
      <c r="B1218">
        <f>_xlfn.SWITCH(Table4[[#This Row],[month]],"jan",1,"feb",2,"mar",3,"apr",4,"may",5,"jun",6,"jul",7,"aug",8,"sep",9,"oct",10,"nov",11,"dec",12,"no month")</f>
        <v>12</v>
      </c>
      <c r="C1218" s="12" t="str">
        <f>LEFT('All Transactions'!$E1218,3)</f>
        <v>Dec</v>
      </c>
      <c r="D1218" s="12" t="str">
        <f t="shared" si="37"/>
        <v>2025</v>
      </c>
      <c r="E1218" s="16" t="s">
        <v>3906</v>
      </c>
      <c r="F1218" s="17" t="s">
        <v>1862</v>
      </c>
      <c r="G1218" s="18" t="s">
        <v>28</v>
      </c>
      <c r="H1218" s="19">
        <v>10</v>
      </c>
      <c r="I1218" s="20" t="s">
        <v>3907</v>
      </c>
      <c r="J1218" s="20" t="s">
        <v>3908</v>
      </c>
      <c r="K1218" s="21" t="s">
        <v>3909</v>
      </c>
      <c r="L1218" s="20" t="s">
        <v>32</v>
      </c>
      <c r="M1218" t="str">
        <f>TEXT(A1218,"dddd")</f>
        <v>Wednesday</v>
      </c>
      <c r="N1218" s="35">
        <f>DATE(Table4[[#This Row],[year]],Table4[[#This Row],[month2]],Table4[[#This Row],[day]])</f>
        <v>46009</v>
      </c>
    </row>
    <row r="1219" spans="1:14" ht="16" x14ac:dyDescent="0.35">
      <c r="A1219" t="str">
        <f t="shared" ref="A1219:A1282" si="38">MID(E1219,5,2)</f>
        <v>18</v>
      </c>
      <c r="B1219">
        <f>_xlfn.SWITCH(Table4[[#This Row],[month]],"jan",1,"feb",2,"mar",3,"apr",4,"may",5,"jun",6,"jul",7,"aug",8,"sep",9,"oct",10,"nov",11,"dec",12,"no month")</f>
        <v>12</v>
      </c>
      <c r="C1219" s="12" t="str">
        <f>LEFT('All Transactions'!$E1219,3)</f>
        <v>Dec</v>
      </c>
      <c r="D1219" s="12" t="str">
        <f t="shared" ref="D1219:D1282" si="39">RIGHT(E1219,4)</f>
        <v>2025</v>
      </c>
      <c r="E1219" s="22" t="s">
        <v>3906</v>
      </c>
      <c r="F1219" s="23" t="s">
        <v>932</v>
      </c>
      <c r="G1219" s="18" t="s">
        <v>28</v>
      </c>
      <c r="H1219" s="24">
        <v>210</v>
      </c>
      <c r="I1219" s="25" t="s">
        <v>3910</v>
      </c>
      <c r="J1219" s="25" t="s">
        <v>3911</v>
      </c>
      <c r="K1219" s="26" t="s">
        <v>3912</v>
      </c>
      <c r="L1219" s="25" t="s">
        <v>32</v>
      </c>
      <c r="M1219" t="str">
        <f>TEXT(A1219,"dddd")</f>
        <v>Wednesday</v>
      </c>
      <c r="N1219" s="35">
        <f>DATE(Table4[[#This Row],[year]],Table4[[#This Row],[month2]],Table4[[#This Row],[day]])</f>
        <v>46009</v>
      </c>
    </row>
    <row r="1220" spans="1:14" ht="16" x14ac:dyDescent="0.35">
      <c r="A1220" t="str">
        <f t="shared" si="38"/>
        <v>18</v>
      </c>
      <c r="B1220">
        <f>_xlfn.SWITCH(Table4[[#This Row],[month]],"jan",1,"feb",2,"mar",3,"apr",4,"may",5,"jun",6,"jul",7,"aug",8,"sep",9,"oct",10,"nov",11,"dec",12,"no month")</f>
        <v>12</v>
      </c>
      <c r="C1220" s="12" t="str">
        <f>LEFT('All Transactions'!$E1220,3)</f>
        <v>Dec</v>
      </c>
      <c r="D1220" s="12" t="str">
        <f t="shared" si="39"/>
        <v>2025</v>
      </c>
      <c r="E1220" s="16" t="s">
        <v>3906</v>
      </c>
      <c r="F1220" s="17" t="s">
        <v>637</v>
      </c>
      <c r="G1220" s="27" t="s">
        <v>54</v>
      </c>
      <c r="H1220" s="19">
        <v>200</v>
      </c>
      <c r="I1220" s="20" t="s">
        <v>1090</v>
      </c>
      <c r="J1220" s="20" t="s">
        <v>3913</v>
      </c>
      <c r="K1220" s="21" t="s">
        <v>3914</v>
      </c>
      <c r="L1220" s="20" t="s">
        <v>58</v>
      </c>
      <c r="M1220" t="str">
        <f>TEXT(A1220,"dddd")</f>
        <v>Wednesday</v>
      </c>
      <c r="N1220" s="35">
        <f>DATE(Table4[[#This Row],[year]],Table4[[#This Row],[month2]],Table4[[#This Row],[day]])</f>
        <v>46009</v>
      </c>
    </row>
    <row r="1221" spans="1:14" ht="16" x14ac:dyDescent="0.35">
      <c r="A1221" t="str">
        <f t="shared" si="38"/>
        <v>18</v>
      </c>
      <c r="B1221">
        <f>_xlfn.SWITCH(Table4[[#This Row],[month]],"jan",1,"feb",2,"mar",3,"apr",4,"may",5,"jun",6,"jul",7,"aug",8,"sep",9,"oct",10,"nov",11,"dec",12,"no month")</f>
        <v>12</v>
      </c>
      <c r="C1221" s="12" t="str">
        <f>LEFT('All Transactions'!$E1221,3)</f>
        <v>Dec</v>
      </c>
      <c r="D1221" s="12" t="str">
        <f t="shared" si="39"/>
        <v>2025</v>
      </c>
      <c r="E1221" s="22" t="s">
        <v>3906</v>
      </c>
      <c r="F1221" s="23" t="s">
        <v>3517</v>
      </c>
      <c r="G1221" s="18" t="s">
        <v>28</v>
      </c>
      <c r="H1221" s="24">
        <v>10</v>
      </c>
      <c r="I1221" s="25" t="s">
        <v>3915</v>
      </c>
      <c r="J1221" s="25" t="s">
        <v>3916</v>
      </c>
      <c r="K1221" s="26" t="s">
        <v>3917</v>
      </c>
      <c r="L1221" s="25" t="s">
        <v>32</v>
      </c>
      <c r="M1221" t="str">
        <f>TEXT(A1221,"dddd")</f>
        <v>Wednesday</v>
      </c>
      <c r="N1221" s="35">
        <f>DATE(Table4[[#This Row],[year]],Table4[[#This Row],[month2]],Table4[[#This Row],[day]])</f>
        <v>46009</v>
      </c>
    </row>
    <row r="1222" spans="1:14" ht="16" x14ac:dyDescent="0.35">
      <c r="A1222" t="str">
        <f t="shared" si="38"/>
        <v>18</v>
      </c>
      <c r="B1222">
        <f>_xlfn.SWITCH(Table4[[#This Row],[month]],"jan",1,"feb",2,"mar",3,"apr",4,"may",5,"jun",6,"jul",7,"aug",8,"sep",9,"oct",10,"nov",11,"dec",12,"no month")</f>
        <v>12</v>
      </c>
      <c r="C1222" s="12" t="str">
        <f>LEFT('All Transactions'!$E1222,3)</f>
        <v>Dec</v>
      </c>
      <c r="D1222" s="12" t="str">
        <f t="shared" si="39"/>
        <v>2025</v>
      </c>
      <c r="E1222" s="16" t="s">
        <v>3906</v>
      </c>
      <c r="F1222" s="17" t="s">
        <v>3918</v>
      </c>
      <c r="G1222" s="18" t="s">
        <v>28</v>
      </c>
      <c r="H1222" s="19">
        <v>330</v>
      </c>
      <c r="I1222" s="20" t="s">
        <v>3919</v>
      </c>
      <c r="J1222" s="20" t="s">
        <v>3920</v>
      </c>
      <c r="K1222" s="21" t="s">
        <v>3921</v>
      </c>
      <c r="L1222" s="20" t="s">
        <v>32</v>
      </c>
      <c r="M1222" t="str">
        <f>TEXT(A1222,"dddd")</f>
        <v>Wednesday</v>
      </c>
      <c r="N1222" s="35">
        <f>DATE(Table4[[#This Row],[year]],Table4[[#This Row],[month2]],Table4[[#This Row],[day]])</f>
        <v>46009</v>
      </c>
    </row>
    <row r="1223" spans="1:14" ht="16" x14ac:dyDescent="0.35">
      <c r="A1223" t="str">
        <f t="shared" si="38"/>
        <v>18</v>
      </c>
      <c r="B1223">
        <f>_xlfn.SWITCH(Table4[[#This Row],[month]],"jan",1,"feb",2,"mar",3,"apr",4,"may",5,"jun",6,"jul",7,"aug",8,"sep",9,"oct",10,"nov",11,"dec",12,"no month")</f>
        <v>12</v>
      </c>
      <c r="C1223" s="12" t="str">
        <f>LEFT('All Transactions'!$E1223,3)</f>
        <v>Dec</v>
      </c>
      <c r="D1223" s="12" t="str">
        <f t="shared" si="39"/>
        <v>2025</v>
      </c>
      <c r="E1223" s="22" t="s">
        <v>3906</v>
      </c>
      <c r="F1223" s="23" t="s">
        <v>1615</v>
      </c>
      <c r="G1223" s="27" t="s">
        <v>54</v>
      </c>
      <c r="H1223" s="24">
        <v>110</v>
      </c>
      <c r="I1223" s="25" t="s">
        <v>3922</v>
      </c>
      <c r="J1223" s="25" t="s">
        <v>3923</v>
      </c>
      <c r="K1223" s="26" t="s">
        <v>3924</v>
      </c>
      <c r="L1223" s="25" t="s">
        <v>58</v>
      </c>
      <c r="M1223" t="str">
        <f>TEXT(A1223,"dddd")</f>
        <v>Wednesday</v>
      </c>
      <c r="N1223" s="35">
        <f>DATE(Table4[[#This Row],[year]],Table4[[#This Row],[month2]],Table4[[#This Row],[day]])</f>
        <v>46009</v>
      </c>
    </row>
    <row r="1224" spans="1:14" ht="16" x14ac:dyDescent="0.35">
      <c r="A1224" t="str">
        <f t="shared" si="38"/>
        <v>18</v>
      </c>
      <c r="B1224">
        <f>_xlfn.SWITCH(Table4[[#This Row],[month]],"jan",1,"feb",2,"mar",3,"apr",4,"may",5,"jun",6,"jul",7,"aug",8,"sep",9,"oct",10,"nov",11,"dec",12,"no month")</f>
        <v>12</v>
      </c>
      <c r="C1224" s="12" t="str">
        <f>LEFT('All Transactions'!$E1224,3)</f>
        <v>Dec</v>
      </c>
      <c r="D1224" s="12" t="str">
        <f t="shared" si="39"/>
        <v>2025</v>
      </c>
      <c r="E1224" s="16" t="s">
        <v>3906</v>
      </c>
      <c r="F1224" s="17" t="s">
        <v>1615</v>
      </c>
      <c r="G1224" s="27" t="s">
        <v>54</v>
      </c>
      <c r="H1224" s="19">
        <v>110</v>
      </c>
      <c r="I1224" s="20" t="s">
        <v>947</v>
      </c>
      <c r="J1224" s="20" t="s">
        <v>3925</v>
      </c>
      <c r="K1224" s="21" t="s">
        <v>3926</v>
      </c>
      <c r="L1224" s="20" t="s">
        <v>58</v>
      </c>
      <c r="M1224" t="str">
        <f>TEXT(A1224,"dddd")</f>
        <v>Wednesday</v>
      </c>
      <c r="N1224" s="35">
        <f>DATE(Table4[[#This Row],[year]],Table4[[#This Row],[month2]],Table4[[#This Row],[day]])</f>
        <v>46009</v>
      </c>
    </row>
    <row r="1225" spans="1:14" ht="16" x14ac:dyDescent="0.35">
      <c r="A1225" t="str">
        <f t="shared" si="38"/>
        <v>18</v>
      </c>
      <c r="B1225">
        <f>_xlfn.SWITCH(Table4[[#This Row],[month]],"jan",1,"feb",2,"mar",3,"apr",4,"may",5,"jun",6,"jul",7,"aug",8,"sep",9,"oct",10,"nov",11,"dec",12,"no month")</f>
        <v>12</v>
      </c>
      <c r="C1225" s="12" t="str">
        <f>LEFT('All Transactions'!$E1225,3)</f>
        <v>Dec</v>
      </c>
      <c r="D1225" s="12" t="str">
        <f t="shared" si="39"/>
        <v>2025</v>
      </c>
      <c r="E1225" s="22" t="s">
        <v>3906</v>
      </c>
      <c r="F1225" s="23" t="s">
        <v>3927</v>
      </c>
      <c r="G1225" s="27" t="s">
        <v>54</v>
      </c>
      <c r="H1225" s="24">
        <v>12000</v>
      </c>
      <c r="I1225" s="25" t="s">
        <v>1642</v>
      </c>
      <c r="J1225" s="25" t="s">
        <v>3928</v>
      </c>
      <c r="K1225" s="26" t="s">
        <v>3929</v>
      </c>
      <c r="L1225" s="25" t="s">
        <v>58</v>
      </c>
      <c r="M1225" t="str">
        <f>TEXT(A1225,"dddd")</f>
        <v>Wednesday</v>
      </c>
      <c r="N1225" s="35">
        <f>DATE(Table4[[#This Row],[year]],Table4[[#This Row],[month2]],Table4[[#This Row],[day]])</f>
        <v>46009</v>
      </c>
    </row>
    <row r="1226" spans="1:14" ht="16" x14ac:dyDescent="0.35">
      <c r="A1226" t="str">
        <f t="shared" si="38"/>
        <v>18</v>
      </c>
      <c r="B1226">
        <f>_xlfn.SWITCH(Table4[[#This Row],[month]],"jan",1,"feb",2,"mar",3,"apr",4,"may",5,"jun",6,"jul",7,"aug",8,"sep",9,"oct",10,"nov",11,"dec",12,"no month")</f>
        <v>12</v>
      </c>
      <c r="C1226" s="12" t="str">
        <f>LEFT('All Transactions'!$E1226,3)</f>
        <v>Dec</v>
      </c>
      <c r="D1226" s="12" t="str">
        <f t="shared" si="39"/>
        <v>2025</v>
      </c>
      <c r="E1226" s="16" t="s">
        <v>3906</v>
      </c>
      <c r="F1226" s="17" t="s">
        <v>3930</v>
      </c>
      <c r="G1226" s="18" t="s">
        <v>28</v>
      </c>
      <c r="H1226" s="19">
        <v>564.45000000000005</v>
      </c>
      <c r="I1226" s="20" t="s">
        <v>1294</v>
      </c>
      <c r="J1226" s="20" t="s">
        <v>3931</v>
      </c>
      <c r="K1226" s="21" t="s">
        <v>3932</v>
      </c>
      <c r="L1226" s="20" t="s">
        <v>32</v>
      </c>
      <c r="M1226" t="str">
        <f>TEXT(A1226,"dddd")</f>
        <v>Wednesday</v>
      </c>
      <c r="N1226" s="35">
        <f>DATE(Table4[[#This Row],[year]],Table4[[#This Row],[month2]],Table4[[#This Row],[day]])</f>
        <v>46009</v>
      </c>
    </row>
    <row r="1227" spans="1:14" ht="16" x14ac:dyDescent="0.35">
      <c r="A1227" t="str">
        <f t="shared" si="38"/>
        <v>18</v>
      </c>
      <c r="B1227">
        <f>_xlfn.SWITCH(Table4[[#This Row],[month]],"jan",1,"feb",2,"mar",3,"apr",4,"may",5,"jun",6,"jul",7,"aug",8,"sep",9,"oct",10,"nov",11,"dec",12,"no month")</f>
        <v>12</v>
      </c>
      <c r="C1227" s="12" t="str">
        <f>LEFT('All Transactions'!$E1227,3)</f>
        <v>Dec</v>
      </c>
      <c r="D1227" s="12" t="str">
        <f t="shared" si="39"/>
        <v>2025</v>
      </c>
      <c r="E1227" s="22" t="s">
        <v>3906</v>
      </c>
      <c r="F1227" s="23" t="s">
        <v>2698</v>
      </c>
      <c r="G1227" s="18" t="s">
        <v>28</v>
      </c>
      <c r="H1227" s="24">
        <v>392.86</v>
      </c>
      <c r="I1227" s="25" t="s">
        <v>3933</v>
      </c>
      <c r="J1227" s="25" t="s">
        <v>3934</v>
      </c>
      <c r="K1227" s="26" t="s">
        <v>3935</v>
      </c>
      <c r="L1227" s="25" t="s">
        <v>32</v>
      </c>
      <c r="M1227" t="str">
        <f>TEXT(A1227,"dddd")</f>
        <v>Wednesday</v>
      </c>
      <c r="N1227" s="35">
        <f>DATE(Table4[[#This Row],[year]],Table4[[#This Row],[month2]],Table4[[#This Row],[day]])</f>
        <v>46009</v>
      </c>
    </row>
    <row r="1228" spans="1:14" ht="16" x14ac:dyDescent="0.35">
      <c r="A1228" t="str">
        <f t="shared" si="38"/>
        <v>17</v>
      </c>
      <c r="B1228">
        <f>_xlfn.SWITCH(Table4[[#This Row],[month]],"jan",1,"feb",2,"mar",3,"apr",4,"may",5,"jun",6,"jul",7,"aug",8,"sep",9,"oct",10,"nov",11,"dec",12,"no month")</f>
        <v>12</v>
      </c>
      <c r="C1228" s="12" t="str">
        <f>LEFT('All Transactions'!$E1228,3)</f>
        <v>Dec</v>
      </c>
      <c r="D1228" s="12" t="str">
        <f t="shared" si="39"/>
        <v>2025</v>
      </c>
      <c r="E1228" s="16" t="s">
        <v>3936</v>
      </c>
      <c r="F1228" s="17" t="s">
        <v>1388</v>
      </c>
      <c r="G1228" s="18" t="s">
        <v>28</v>
      </c>
      <c r="H1228" s="19">
        <v>90</v>
      </c>
      <c r="I1228" s="20" t="s">
        <v>3937</v>
      </c>
      <c r="J1228" s="20" t="s">
        <v>3938</v>
      </c>
      <c r="K1228" s="21" t="s">
        <v>3939</v>
      </c>
      <c r="L1228" s="20" t="s">
        <v>32</v>
      </c>
      <c r="M1228" t="str">
        <f>TEXT(A1228,"dddd")</f>
        <v>Tuesday</v>
      </c>
      <c r="N1228" s="35">
        <f>DATE(Table4[[#This Row],[year]],Table4[[#This Row],[month2]],Table4[[#This Row],[day]])</f>
        <v>46008</v>
      </c>
    </row>
    <row r="1229" spans="1:14" ht="16" x14ac:dyDescent="0.35">
      <c r="A1229" t="str">
        <f t="shared" si="38"/>
        <v>17</v>
      </c>
      <c r="B1229">
        <f>_xlfn.SWITCH(Table4[[#This Row],[month]],"jan",1,"feb",2,"mar",3,"apr",4,"may",5,"jun",6,"jul",7,"aug",8,"sep",9,"oct",10,"nov",11,"dec",12,"no month")</f>
        <v>12</v>
      </c>
      <c r="C1229" s="12" t="str">
        <f>LEFT('All Transactions'!$E1229,3)</f>
        <v>Dec</v>
      </c>
      <c r="D1229" s="12" t="str">
        <f t="shared" si="39"/>
        <v>2025</v>
      </c>
      <c r="E1229" s="22" t="s">
        <v>3936</v>
      </c>
      <c r="F1229" s="23" t="s">
        <v>3940</v>
      </c>
      <c r="G1229" s="18" t="s">
        <v>28</v>
      </c>
      <c r="H1229" s="24">
        <v>19</v>
      </c>
      <c r="I1229" s="25" t="s">
        <v>3941</v>
      </c>
      <c r="J1229" s="25" t="s">
        <v>3942</v>
      </c>
      <c r="K1229" s="26" t="s">
        <v>3943</v>
      </c>
      <c r="L1229" s="25" t="s">
        <v>32</v>
      </c>
      <c r="M1229" t="str">
        <f>TEXT(A1229,"dddd")</f>
        <v>Tuesday</v>
      </c>
      <c r="N1229" s="35">
        <f>DATE(Table4[[#This Row],[year]],Table4[[#This Row],[month2]],Table4[[#This Row],[day]])</f>
        <v>46008</v>
      </c>
    </row>
    <row r="1230" spans="1:14" ht="16" x14ac:dyDescent="0.35">
      <c r="A1230" t="str">
        <f t="shared" si="38"/>
        <v>17</v>
      </c>
      <c r="B1230">
        <f>_xlfn.SWITCH(Table4[[#This Row],[month]],"jan",1,"feb",2,"mar",3,"apr",4,"may",5,"jun",6,"jul",7,"aug",8,"sep",9,"oct",10,"nov",11,"dec",12,"no month")</f>
        <v>12</v>
      </c>
      <c r="C1230" s="12" t="str">
        <f>LEFT('All Transactions'!$E1230,3)</f>
        <v>Dec</v>
      </c>
      <c r="D1230" s="12" t="str">
        <f t="shared" si="39"/>
        <v>2025</v>
      </c>
      <c r="E1230" s="16" t="s">
        <v>3936</v>
      </c>
      <c r="F1230" s="17" t="s">
        <v>2506</v>
      </c>
      <c r="G1230" s="18" t="s">
        <v>28</v>
      </c>
      <c r="H1230" s="19">
        <v>1000</v>
      </c>
      <c r="I1230" s="20" t="s">
        <v>3944</v>
      </c>
      <c r="J1230" s="20" t="s">
        <v>3945</v>
      </c>
      <c r="K1230" s="21" t="s">
        <v>3946</v>
      </c>
      <c r="L1230" s="20" t="s">
        <v>32</v>
      </c>
      <c r="M1230" t="str">
        <f>TEXT(A1230,"dddd")</f>
        <v>Tuesday</v>
      </c>
      <c r="N1230" s="35">
        <f>DATE(Table4[[#This Row],[year]],Table4[[#This Row],[month2]],Table4[[#This Row],[day]])</f>
        <v>46008</v>
      </c>
    </row>
    <row r="1231" spans="1:14" ht="16" x14ac:dyDescent="0.35">
      <c r="A1231" t="str">
        <f t="shared" si="38"/>
        <v>17</v>
      </c>
      <c r="B1231">
        <f>_xlfn.SWITCH(Table4[[#This Row],[month]],"jan",1,"feb",2,"mar",3,"apr",4,"may",5,"jun",6,"jul",7,"aug",8,"sep",9,"oct",10,"nov",11,"dec",12,"no month")</f>
        <v>12</v>
      </c>
      <c r="C1231" s="12" t="str">
        <f>LEFT('All Transactions'!$E1231,3)</f>
        <v>Dec</v>
      </c>
      <c r="D1231" s="12" t="str">
        <f t="shared" si="39"/>
        <v>2025</v>
      </c>
      <c r="E1231" s="22" t="s">
        <v>3936</v>
      </c>
      <c r="F1231" s="23" t="s">
        <v>3947</v>
      </c>
      <c r="G1231" s="27" t="s">
        <v>54</v>
      </c>
      <c r="H1231" s="24">
        <v>1000</v>
      </c>
      <c r="I1231" s="25" t="s">
        <v>1090</v>
      </c>
      <c r="J1231" s="25" t="s">
        <v>3948</v>
      </c>
      <c r="K1231" s="26" t="s">
        <v>3949</v>
      </c>
      <c r="L1231" s="25" t="s">
        <v>58</v>
      </c>
      <c r="M1231" t="str">
        <f>TEXT(A1231,"dddd")</f>
        <v>Tuesday</v>
      </c>
      <c r="N1231" s="35">
        <f>DATE(Table4[[#This Row],[year]],Table4[[#This Row],[month2]],Table4[[#This Row],[day]])</f>
        <v>46008</v>
      </c>
    </row>
    <row r="1232" spans="1:14" ht="16" x14ac:dyDescent="0.35">
      <c r="A1232" t="str">
        <f t="shared" si="38"/>
        <v>17</v>
      </c>
      <c r="B1232">
        <f>_xlfn.SWITCH(Table4[[#This Row],[month]],"jan",1,"feb",2,"mar",3,"apr",4,"may",5,"jun",6,"jul",7,"aug",8,"sep",9,"oct",10,"nov",11,"dec",12,"no month")</f>
        <v>12</v>
      </c>
      <c r="C1232" s="12" t="str">
        <f>LEFT('All Transactions'!$E1232,3)</f>
        <v>Dec</v>
      </c>
      <c r="D1232" s="12" t="str">
        <f t="shared" si="39"/>
        <v>2025</v>
      </c>
      <c r="E1232" s="16" t="s">
        <v>3936</v>
      </c>
      <c r="F1232" s="17" t="s">
        <v>3950</v>
      </c>
      <c r="G1232" s="18" t="s">
        <v>28</v>
      </c>
      <c r="H1232" s="19">
        <v>20</v>
      </c>
      <c r="I1232" s="20" t="s">
        <v>3951</v>
      </c>
      <c r="J1232" s="20" t="s">
        <v>3952</v>
      </c>
      <c r="K1232" s="21" t="s">
        <v>3953</v>
      </c>
      <c r="L1232" s="20" t="s">
        <v>32</v>
      </c>
      <c r="M1232" t="str">
        <f>TEXT(A1232,"dddd")</f>
        <v>Tuesday</v>
      </c>
      <c r="N1232" s="35">
        <f>DATE(Table4[[#This Row],[year]],Table4[[#This Row],[month2]],Table4[[#This Row],[day]])</f>
        <v>46008</v>
      </c>
    </row>
    <row r="1233" spans="1:14" ht="16" x14ac:dyDescent="0.35">
      <c r="A1233" t="str">
        <f t="shared" si="38"/>
        <v>16</v>
      </c>
      <c r="B1233">
        <f>_xlfn.SWITCH(Table4[[#This Row],[month]],"jan",1,"feb",2,"mar",3,"apr",4,"may",5,"jun",6,"jul",7,"aug",8,"sep",9,"oct",10,"nov",11,"dec",12,"no month")</f>
        <v>12</v>
      </c>
      <c r="C1233" s="12" t="str">
        <f>LEFT('All Transactions'!$E1233,3)</f>
        <v>Dec</v>
      </c>
      <c r="D1233" s="12" t="str">
        <f t="shared" si="39"/>
        <v>2025</v>
      </c>
      <c r="E1233" s="22" t="s">
        <v>3954</v>
      </c>
      <c r="F1233" s="23" t="s">
        <v>1779</v>
      </c>
      <c r="G1233" s="18" t="s">
        <v>28</v>
      </c>
      <c r="H1233" s="24">
        <v>63</v>
      </c>
      <c r="I1233" s="25" t="s">
        <v>3955</v>
      </c>
      <c r="J1233" s="25" t="s">
        <v>3956</v>
      </c>
      <c r="K1233" s="26" t="s">
        <v>3957</v>
      </c>
      <c r="L1233" s="25" t="s">
        <v>32</v>
      </c>
      <c r="M1233" t="str">
        <f>TEXT(A1233,"dddd")</f>
        <v>Monday</v>
      </c>
      <c r="N1233" s="35">
        <f>DATE(Table4[[#This Row],[year]],Table4[[#This Row],[month2]],Table4[[#This Row],[day]])</f>
        <v>46007</v>
      </c>
    </row>
    <row r="1234" spans="1:14" ht="16" x14ac:dyDescent="0.35">
      <c r="A1234" t="str">
        <f t="shared" si="38"/>
        <v>14</v>
      </c>
      <c r="B1234">
        <f>_xlfn.SWITCH(Table4[[#This Row],[month]],"jan",1,"feb",2,"mar",3,"apr",4,"may",5,"jun",6,"jul",7,"aug",8,"sep",9,"oct",10,"nov",11,"dec",12,"no month")</f>
        <v>12</v>
      </c>
      <c r="C1234" s="12" t="str">
        <f>LEFT('All Transactions'!$E1234,3)</f>
        <v>Dec</v>
      </c>
      <c r="D1234" s="12" t="str">
        <f t="shared" si="39"/>
        <v>2025</v>
      </c>
      <c r="E1234" s="16" t="s">
        <v>3958</v>
      </c>
      <c r="F1234" s="17" t="s">
        <v>3161</v>
      </c>
      <c r="G1234" s="18" t="s">
        <v>28</v>
      </c>
      <c r="H1234" s="19">
        <v>40</v>
      </c>
      <c r="I1234" s="20" t="s">
        <v>2033</v>
      </c>
      <c r="J1234" s="20" t="s">
        <v>3959</v>
      </c>
      <c r="K1234" s="21" t="s">
        <v>3960</v>
      </c>
      <c r="L1234" s="20" t="s">
        <v>32</v>
      </c>
      <c r="M1234" t="str">
        <f>TEXT(A1234,"dddd")</f>
        <v>Saturday</v>
      </c>
      <c r="N1234" s="35">
        <f>DATE(Table4[[#This Row],[year]],Table4[[#This Row],[month2]],Table4[[#This Row],[day]])</f>
        <v>46005</v>
      </c>
    </row>
    <row r="1235" spans="1:14" ht="16" x14ac:dyDescent="0.35">
      <c r="A1235" t="str">
        <f t="shared" si="38"/>
        <v>14</v>
      </c>
      <c r="B1235">
        <f>_xlfn.SWITCH(Table4[[#This Row],[month]],"jan",1,"feb",2,"mar",3,"apr",4,"may",5,"jun",6,"jul",7,"aug",8,"sep",9,"oct",10,"nov",11,"dec",12,"no month")</f>
        <v>12</v>
      </c>
      <c r="C1235" s="12" t="str">
        <f>LEFT('All Transactions'!$E1235,3)</f>
        <v>Dec</v>
      </c>
      <c r="D1235" s="12" t="str">
        <f t="shared" si="39"/>
        <v>2025</v>
      </c>
      <c r="E1235" s="22" t="s">
        <v>3958</v>
      </c>
      <c r="F1235" s="23" t="s">
        <v>2768</v>
      </c>
      <c r="G1235" s="18" t="s">
        <v>28</v>
      </c>
      <c r="H1235" s="24">
        <v>149</v>
      </c>
      <c r="I1235" s="25" t="s">
        <v>3961</v>
      </c>
      <c r="J1235" s="25" t="s">
        <v>3962</v>
      </c>
      <c r="K1235" s="26" t="s">
        <v>3963</v>
      </c>
      <c r="L1235" s="25" t="s">
        <v>32</v>
      </c>
      <c r="M1235" t="str">
        <f>TEXT(A1235,"dddd")</f>
        <v>Saturday</v>
      </c>
      <c r="N1235" s="35">
        <f>DATE(Table4[[#This Row],[year]],Table4[[#This Row],[month2]],Table4[[#This Row],[day]])</f>
        <v>46005</v>
      </c>
    </row>
    <row r="1236" spans="1:14" ht="16" x14ac:dyDescent="0.35">
      <c r="A1236" t="str">
        <f t="shared" si="38"/>
        <v>13</v>
      </c>
      <c r="B1236">
        <f>_xlfn.SWITCH(Table4[[#This Row],[month]],"jan",1,"feb",2,"mar",3,"apr",4,"may",5,"jun",6,"jul",7,"aug",8,"sep",9,"oct",10,"nov",11,"dec",12,"no month")</f>
        <v>12</v>
      </c>
      <c r="C1236" s="12" t="str">
        <f>LEFT('All Transactions'!$E1236,3)</f>
        <v>Dec</v>
      </c>
      <c r="D1236" s="12" t="str">
        <f t="shared" si="39"/>
        <v>2025</v>
      </c>
      <c r="E1236" s="16" t="s">
        <v>3964</v>
      </c>
      <c r="F1236" s="17" t="s">
        <v>3965</v>
      </c>
      <c r="G1236" s="18" t="s">
        <v>28</v>
      </c>
      <c r="H1236" s="19">
        <v>19</v>
      </c>
      <c r="I1236" s="20" t="s">
        <v>3966</v>
      </c>
      <c r="J1236" s="20" t="s">
        <v>3967</v>
      </c>
      <c r="K1236" s="21" t="s">
        <v>3968</v>
      </c>
      <c r="L1236" s="20" t="s">
        <v>32</v>
      </c>
      <c r="M1236" t="str">
        <f>TEXT(A1236,"dddd")</f>
        <v>Friday</v>
      </c>
      <c r="N1236" s="35">
        <f>DATE(Table4[[#This Row],[year]],Table4[[#This Row],[month2]],Table4[[#This Row],[day]])</f>
        <v>46004</v>
      </c>
    </row>
    <row r="1237" spans="1:14" ht="16" x14ac:dyDescent="0.35">
      <c r="A1237" t="str">
        <f t="shared" si="38"/>
        <v>13</v>
      </c>
      <c r="B1237">
        <f>_xlfn.SWITCH(Table4[[#This Row],[month]],"jan",1,"feb",2,"mar",3,"apr",4,"may",5,"jun",6,"jul",7,"aug",8,"sep",9,"oct",10,"nov",11,"dec",12,"no month")</f>
        <v>12</v>
      </c>
      <c r="C1237" s="12" t="str">
        <f>LEFT('All Transactions'!$E1237,3)</f>
        <v>Dec</v>
      </c>
      <c r="D1237" s="12" t="str">
        <f t="shared" si="39"/>
        <v>2025</v>
      </c>
      <c r="E1237" s="22" t="s">
        <v>3964</v>
      </c>
      <c r="F1237" s="23" t="s">
        <v>2073</v>
      </c>
      <c r="G1237" s="18" t="s">
        <v>28</v>
      </c>
      <c r="H1237" s="24">
        <v>73.47</v>
      </c>
      <c r="I1237" s="25" t="s">
        <v>3969</v>
      </c>
      <c r="J1237" s="25" t="s">
        <v>3970</v>
      </c>
      <c r="K1237" s="26" t="s">
        <v>3971</v>
      </c>
      <c r="L1237" s="25" t="s">
        <v>32</v>
      </c>
      <c r="M1237" t="str">
        <f>TEXT(A1237,"dddd")</f>
        <v>Friday</v>
      </c>
      <c r="N1237" s="35">
        <f>DATE(Table4[[#This Row],[year]],Table4[[#This Row],[month2]],Table4[[#This Row],[day]])</f>
        <v>46004</v>
      </c>
    </row>
    <row r="1238" spans="1:14" ht="16" x14ac:dyDescent="0.35">
      <c r="A1238" t="str">
        <f t="shared" si="38"/>
        <v>13</v>
      </c>
      <c r="B1238">
        <f>_xlfn.SWITCH(Table4[[#This Row],[month]],"jan",1,"feb",2,"mar",3,"apr",4,"may",5,"jun",6,"jul",7,"aug",8,"sep",9,"oct",10,"nov",11,"dec",12,"no month")</f>
        <v>12</v>
      </c>
      <c r="C1238" s="12" t="str">
        <f>LEFT('All Transactions'!$E1238,3)</f>
        <v>Dec</v>
      </c>
      <c r="D1238" s="12" t="str">
        <f t="shared" si="39"/>
        <v>2025</v>
      </c>
      <c r="E1238" s="16" t="s">
        <v>3964</v>
      </c>
      <c r="F1238" s="17" t="s">
        <v>3894</v>
      </c>
      <c r="G1238" s="18" t="s">
        <v>28</v>
      </c>
      <c r="H1238" s="19">
        <v>300</v>
      </c>
      <c r="I1238" s="20" t="s">
        <v>3588</v>
      </c>
      <c r="J1238" s="20" t="s">
        <v>3972</v>
      </c>
      <c r="K1238" s="21" t="s">
        <v>3973</v>
      </c>
      <c r="L1238" s="20" t="s">
        <v>32</v>
      </c>
      <c r="M1238" t="str">
        <f>TEXT(A1238,"dddd")</f>
        <v>Friday</v>
      </c>
      <c r="N1238" s="35">
        <f>DATE(Table4[[#This Row],[year]],Table4[[#This Row],[month2]],Table4[[#This Row],[day]])</f>
        <v>46004</v>
      </c>
    </row>
    <row r="1239" spans="1:14" ht="16" x14ac:dyDescent="0.35">
      <c r="A1239" t="str">
        <f t="shared" si="38"/>
        <v>13</v>
      </c>
      <c r="B1239">
        <f>_xlfn.SWITCH(Table4[[#This Row],[month]],"jan",1,"feb",2,"mar",3,"apr",4,"may",5,"jun",6,"jul",7,"aug",8,"sep",9,"oct",10,"nov",11,"dec",12,"no month")</f>
        <v>12</v>
      </c>
      <c r="C1239" s="12" t="str">
        <f>LEFT('All Transactions'!$E1239,3)</f>
        <v>Dec</v>
      </c>
      <c r="D1239" s="12" t="str">
        <f t="shared" si="39"/>
        <v>2025</v>
      </c>
      <c r="E1239" s="22" t="s">
        <v>3964</v>
      </c>
      <c r="F1239" s="23" t="s">
        <v>3314</v>
      </c>
      <c r="G1239" s="27" t="s">
        <v>54</v>
      </c>
      <c r="H1239" s="24">
        <v>300</v>
      </c>
      <c r="I1239" s="25" t="s">
        <v>156</v>
      </c>
      <c r="J1239" s="25" t="s">
        <v>3974</v>
      </c>
      <c r="K1239" s="26" t="s">
        <v>3975</v>
      </c>
      <c r="L1239" s="25" t="s">
        <v>58</v>
      </c>
      <c r="M1239" t="str">
        <f>TEXT(A1239,"dddd")</f>
        <v>Friday</v>
      </c>
      <c r="N1239" s="35">
        <f>DATE(Table4[[#This Row],[year]],Table4[[#This Row],[month2]],Table4[[#This Row],[day]])</f>
        <v>46004</v>
      </c>
    </row>
    <row r="1240" spans="1:14" ht="16" x14ac:dyDescent="0.35">
      <c r="A1240" t="str">
        <f t="shared" si="38"/>
        <v>10</v>
      </c>
      <c r="B1240">
        <f>_xlfn.SWITCH(Table4[[#This Row],[month]],"jan",1,"feb",2,"mar",3,"apr",4,"may",5,"jun",6,"jul",7,"aug",8,"sep",9,"oct",10,"nov",11,"dec",12,"no month")</f>
        <v>12</v>
      </c>
      <c r="C1240" s="12" t="str">
        <f>LEFT('All Transactions'!$E1240,3)</f>
        <v>Dec</v>
      </c>
      <c r="D1240" s="12" t="str">
        <f t="shared" si="39"/>
        <v>2025</v>
      </c>
      <c r="E1240" s="16" t="s">
        <v>3976</v>
      </c>
      <c r="F1240" s="17" t="s">
        <v>3977</v>
      </c>
      <c r="G1240" s="18" t="s">
        <v>28</v>
      </c>
      <c r="H1240" s="19">
        <v>3</v>
      </c>
      <c r="I1240" s="20" t="s">
        <v>2033</v>
      </c>
      <c r="J1240" s="20" t="s">
        <v>3978</v>
      </c>
      <c r="K1240" s="21" t="s">
        <v>3979</v>
      </c>
      <c r="L1240" s="20" t="s">
        <v>32</v>
      </c>
      <c r="M1240" t="str">
        <f>TEXT(A1240,"dddd")</f>
        <v>Tuesday</v>
      </c>
      <c r="N1240" s="35">
        <f>DATE(Table4[[#This Row],[year]],Table4[[#This Row],[month2]],Table4[[#This Row],[day]])</f>
        <v>46001</v>
      </c>
    </row>
    <row r="1241" spans="1:14" ht="16" x14ac:dyDescent="0.35">
      <c r="A1241" t="str">
        <f t="shared" si="38"/>
        <v>09</v>
      </c>
      <c r="B1241">
        <f>_xlfn.SWITCH(Table4[[#This Row],[month]],"jan",1,"feb",2,"mar",3,"apr",4,"may",5,"jun",6,"jul",7,"aug",8,"sep",9,"oct",10,"nov",11,"dec",12,"no month")</f>
        <v>12</v>
      </c>
      <c r="C1241" s="12" t="str">
        <f>LEFT('All Transactions'!$E1241,3)</f>
        <v>Dec</v>
      </c>
      <c r="D1241" s="12" t="str">
        <f t="shared" si="39"/>
        <v>2025</v>
      </c>
      <c r="E1241" s="22" t="s">
        <v>3980</v>
      </c>
      <c r="F1241" s="23" t="s">
        <v>2995</v>
      </c>
      <c r="G1241" s="18" t="s">
        <v>28</v>
      </c>
      <c r="H1241" s="24">
        <v>15</v>
      </c>
      <c r="I1241" s="25" t="s">
        <v>3610</v>
      </c>
      <c r="J1241" s="25" t="s">
        <v>3981</v>
      </c>
      <c r="K1241" s="26" t="s">
        <v>3982</v>
      </c>
      <c r="L1241" s="25" t="s">
        <v>32</v>
      </c>
      <c r="M1241" t="str">
        <f>TEXT(A1241,"dddd")</f>
        <v>Monday</v>
      </c>
      <c r="N1241" s="35">
        <f>DATE(Table4[[#This Row],[year]],Table4[[#This Row],[month2]],Table4[[#This Row],[day]])</f>
        <v>46000</v>
      </c>
    </row>
    <row r="1242" spans="1:14" ht="16" x14ac:dyDescent="0.35">
      <c r="A1242" t="str">
        <f t="shared" si="38"/>
        <v>09</v>
      </c>
      <c r="B1242">
        <f>_xlfn.SWITCH(Table4[[#This Row],[month]],"jan",1,"feb",2,"mar",3,"apr",4,"may",5,"jun",6,"jul",7,"aug",8,"sep",9,"oct",10,"nov",11,"dec",12,"no month")</f>
        <v>12</v>
      </c>
      <c r="C1242" s="12" t="str">
        <f>LEFT('All Transactions'!$E1242,3)</f>
        <v>Dec</v>
      </c>
      <c r="D1242" s="12" t="str">
        <f t="shared" si="39"/>
        <v>2025</v>
      </c>
      <c r="E1242" s="16" t="s">
        <v>3980</v>
      </c>
      <c r="F1242" s="17" t="s">
        <v>2114</v>
      </c>
      <c r="G1242" s="18" t="s">
        <v>28</v>
      </c>
      <c r="H1242" s="19">
        <v>70</v>
      </c>
      <c r="I1242" s="20" t="s">
        <v>3983</v>
      </c>
      <c r="J1242" s="20" t="s">
        <v>3984</v>
      </c>
      <c r="K1242" s="21" t="s">
        <v>3985</v>
      </c>
      <c r="L1242" s="20" t="s">
        <v>32</v>
      </c>
      <c r="M1242" t="str">
        <f>TEXT(A1242,"dddd")</f>
        <v>Monday</v>
      </c>
      <c r="N1242" s="35">
        <f>DATE(Table4[[#This Row],[year]],Table4[[#This Row],[month2]],Table4[[#This Row],[day]])</f>
        <v>46000</v>
      </c>
    </row>
    <row r="1243" spans="1:14" ht="16" x14ac:dyDescent="0.35">
      <c r="A1243" t="str">
        <f t="shared" si="38"/>
        <v>09</v>
      </c>
      <c r="B1243">
        <f>_xlfn.SWITCH(Table4[[#This Row],[month]],"jan",1,"feb",2,"mar",3,"apr",4,"may",5,"jun",6,"jul",7,"aug",8,"sep",9,"oct",10,"nov",11,"dec",12,"no month")</f>
        <v>12</v>
      </c>
      <c r="C1243" s="12" t="str">
        <f>LEFT('All Transactions'!$E1243,3)</f>
        <v>Dec</v>
      </c>
      <c r="D1243" s="12" t="str">
        <f t="shared" si="39"/>
        <v>2025</v>
      </c>
      <c r="E1243" s="22" t="s">
        <v>3980</v>
      </c>
      <c r="F1243" s="23" t="s">
        <v>2114</v>
      </c>
      <c r="G1243" s="18" t="s">
        <v>28</v>
      </c>
      <c r="H1243" s="24">
        <v>90</v>
      </c>
      <c r="I1243" s="25" t="s">
        <v>3619</v>
      </c>
      <c r="J1243" s="25" t="s">
        <v>3986</v>
      </c>
      <c r="K1243" s="26" t="s">
        <v>3987</v>
      </c>
      <c r="L1243" s="25" t="s">
        <v>32</v>
      </c>
      <c r="M1243" t="str">
        <f>TEXT(A1243,"dddd")</f>
        <v>Monday</v>
      </c>
      <c r="N1243" s="35">
        <f>DATE(Table4[[#This Row],[year]],Table4[[#This Row],[month2]],Table4[[#This Row],[day]])</f>
        <v>46000</v>
      </c>
    </row>
    <row r="1244" spans="1:14" ht="16" x14ac:dyDescent="0.35">
      <c r="A1244" t="str">
        <f t="shared" si="38"/>
        <v>09</v>
      </c>
      <c r="B1244">
        <f>_xlfn.SWITCH(Table4[[#This Row],[month]],"jan",1,"feb",2,"mar",3,"apr",4,"may",5,"jun",6,"jul",7,"aug",8,"sep",9,"oct",10,"nov",11,"dec",12,"no month")</f>
        <v>12</v>
      </c>
      <c r="C1244" s="12" t="str">
        <f>LEFT('All Transactions'!$E1244,3)</f>
        <v>Dec</v>
      </c>
      <c r="D1244" s="12" t="str">
        <f t="shared" si="39"/>
        <v>2025</v>
      </c>
      <c r="E1244" s="16" t="s">
        <v>3980</v>
      </c>
      <c r="F1244" s="17" t="s">
        <v>3988</v>
      </c>
      <c r="G1244" s="27" t="s">
        <v>54</v>
      </c>
      <c r="H1244" s="19">
        <v>150</v>
      </c>
      <c r="I1244" s="20" t="s">
        <v>3631</v>
      </c>
      <c r="J1244" s="20" t="s">
        <v>3989</v>
      </c>
      <c r="K1244" s="21" t="s">
        <v>3990</v>
      </c>
      <c r="L1244" s="20" t="s">
        <v>58</v>
      </c>
      <c r="M1244" t="str">
        <f>TEXT(A1244,"dddd")</f>
        <v>Monday</v>
      </c>
      <c r="N1244" s="35">
        <f>DATE(Table4[[#This Row],[year]],Table4[[#This Row],[month2]],Table4[[#This Row],[day]])</f>
        <v>46000</v>
      </c>
    </row>
    <row r="1245" spans="1:14" ht="16" x14ac:dyDescent="0.35">
      <c r="A1245" t="str">
        <f t="shared" si="38"/>
        <v>09</v>
      </c>
      <c r="B1245">
        <f>_xlfn.SWITCH(Table4[[#This Row],[month]],"jan",1,"feb",2,"mar",3,"apr",4,"may",5,"jun",6,"jul",7,"aug",8,"sep",9,"oct",10,"nov",11,"dec",12,"no month")</f>
        <v>12</v>
      </c>
      <c r="C1245" s="12" t="str">
        <f>LEFT('All Transactions'!$E1245,3)</f>
        <v>Dec</v>
      </c>
      <c r="D1245" s="12" t="str">
        <f t="shared" si="39"/>
        <v>2025</v>
      </c>
      <c r="E1245" s="22" t="s">
        <v>3980</v>
      </c>
      <c r="F1245" s="23" t="s">
        <v>3991</v>
      </c>
      <c r="G1245" s="18" t="s">
        <v>28</v>
      </c>
      <c r="H1245" s="24">
        <v>60</v>
      </c>
      <c r="I1245" s="25" t="s">
        <v>3992</v>
      </c>
      <c r="J1245" s="25" t="s">
        <v>3993</v>
      </c>
      <c r="K1245" s="26" t="s">
        <v>3994</v>
      </c>
      <c r="L1245" s="25" t="s">
        <v>32</v>
      </c>
      <c r="M1245" t="str">
        <f>TEXT(A1245,"dddd")</f>
        <v>Monday</v>
      </c>
      <c r="N1245" s="35">
        <f>DATE(Table4[[#This Row],[year]],Table4[[#This Row],[month2]],Table4[[#This Row],[day]])</f>
        <v>46000</v>
      </c>
    </row>
    <row r="1246" spans="1:14" ht="16" x14ac:dyDescent="0.35">
      <c r="A1246" t="str">
        <f t="shared" si="38"/>
        <v>09</v>
      </c>
      <c r="B1246">
        <f>_xlfn.SWITCH(Table4[[#This Row],[month]],"jan",1,"feb",2,"mar",3,"apr",4,"may",5,"jun",6,"jul",7,"aug",8,"sep",9,"oct",10,"nov",11,"dec",12,"no month")</f>
        <v>12</v>
      </c>
      <c r="C1246" s="12" t="str">
        <f>LEFT('All Transactions'!$E1246,3)</f>
        <v>Dec</v>
      </c>
      <c r="D1246" s="12" t="str">
        <f t="shared" si="39"/>
        <v>2025</v>
      </c>
      <c r="E1246" s="16" t="s">
        <v>3980</v>
      </c>
      <c r="F1246" s="17" t="s">
        <v>3995</v>
      </c>
      <c r="G1246" s="18" t="s">
        <v>28</v>
      </c>
      <c r="H1246" s="19">
        <v>35</v>
      </c>
      <c r="I1246" s="20" t="s">
        <v>3996</v>
      </c>
      <c r="J1246" s="20" t="s">
        <v>3997</v>
      </c>
      <c r="K1246" s="21" t="s">
        <v>3998</v>
      </c>
      <c r="L1246" s="20" t="s">
        <v>32</v>
      </c>
      <c r="M1246" t="str">
        <f>TEXT(A1246,"dddd")</f>
        <v>Monday</v>
      </c>
      <c r="N1246" s="35">
        <f>DATE(Table4[[#This Row],[year]],Table4[[#This Row],[month2]],Table4[[#This Row],[day]])</f>
        <v>46000</v>
      </c>
    </row>
    <row r="1247" spans="1:14" ht="16" x14ac:dyDescent="0.35">
      <c r="A1247" t="str">
        <f t="shared" si="38"/>
        <v>08</v>
      </c>
      <c r="B1247">
        <f>_xlfn.SWITCH(Table4[[#This Row],[month]],"jan",1,"feb",2,"mar",3,"apr",4,"may",5,"jun",6,"jul",7,"aug",8,"sep",9,"oct",10,"nov",11,"dec",12,"no month")</f>
        <v>12</v>
      </c>
      <c r="C1247" s="12" t="str">
        <f>LEFT('All Transactions'!$E1247,3)</f>
        <v>Dec</v>
      </c>
      <c r="D1247" s="12" t="str">
        <f t="shared" si="39"/>
        <v>2025</v>
      </c>
      <c r="E1247" s="22" t="s">
        <v>3999</v>
      </c>
      <c r="F1247" s="23" t="s">
        <v>3392</v>
      </c>
      <c r="G1247" s="27" t="s">
        <v>54</v>
      </c>
      <c r="H1247" s="24">
        <v>7</v>
      </c>
      <c r="I1247" s="25" t="s">
        <v>1586</v>
      </c>
      <c r="J1247" s="25" t="s">
        <v>4000</v>
      </c>
      <c r="K1247" s="26" t="s">
        <v>4001</v>
      </c>
      <c r="L1247" s="25" t="s">
        <v>58</v>
      </c>
      <c r="M1247" t="str">
        <f>TEXT(A1247,"dddd")</f>
        <v>Sunday</v>
      </c>
      <c r="N1247" s="35">
        <f>DATE(Table4[[#This Row],[year]],Table4[[#This Row],[month2]],Table4[[#This Row],[day]])</f>
        <v>45999</v>
      </c>
    </row>
    <row r="1248" spans="1:14" ht="16" x14ac:dyDescent="0.35">
      <c r="A1248" t="str">
        <f t="shared" si="38"/>
        <v>08</v>
      </c>
      <c r="B1248">
        <f>_xlfn.SWITCH(Table4[[#This Row],[month]],"jan",1,"feb",2,"mar",3,"apr",4,"may",5,"jun",6,"jul",7,"aug",8,"sep",9,"oct",10,"nov",11,"dec",12,"no month")</f>
        <v>12</v>
      </c>
      <c r="C1248" s="12" t="str">
        <f>LEFT('All Transactions'!$E1248,3)</f>
        <v>Dec</v>
      </c>
      <c r="D1248" s="12" t="str">
        <f t="shared" si="39"/>
        <v>2025</v>
      </c>
      <c r="E1248" s="16" t="s">
        <v>3999</v>
      </c>
      <c r="F1248" s="17" t="s">
        <v>1738</v>
      </c>
      <c r="G1248" s="18" t="s">
        <v>28</v>
      </c>
      <c r="H1248" s="19">
        <v>29</v>
      </c>
      <c r="I1248" s="20" t="s">
        <v>4002</v>
      </c>
      <c r="J1248" s="20" t="s">
        <v>4003</v>
      </c>
      <c r="K1248" s="21" t="s">
        <v>4004</v>
      </c>
      <c r="L1248" s="20" t="s">
        <v>32</v>
      </c>
      <c r="M1248" t="str">
        <f>TEXT(A1248,"dddd")</f>
        <v>Sunday</v>
      </c>
      <c r="N1248" s="35">
        <f>DATE(Table4[[#This Row],[year]],Table4[[#This Row],[month2]],Table4[[#This Row],[day]])</f>
        <v>45999</v>
      </c>
    </row>
    <row r="1249" spans="1:14" ht="16" x14ac:dyDescent="0.35">
      <c r="A1249" t="str">
        <f t="shared" si="38"/>
        <v>07</v>
      </c>
      <c r="B1249">
        <f>_xlfn.SWITCH(Table4[[#This Row],[month]],"jan",1,"feb",2,"mar",3,"apr",4,"may",5,"jun",6,"jul",7,"aug",8,"sep",9,"oct",10,"nov",11,"dec",12,"no month")</f>
        <v>12</v>
      </c>
      <c r="C1249" s="12" t="str">
        <f>LEFT('All Transactions'!$E1249,3)</f>
        <v>Dec</v>
      </c>
      <c r="D1249" s="12" t="str">
        <f t="shared" si="39"/>
        <v>2025</v>
      </c>
      <c r="E1249" s="22" t="s">
        <v>4005</v>
      </c>
      <c r="F1249" s="23" t="s">
        <v>1265</v>
      </c>
      <c r="G1249" s="18" t="s">
        <v>28</v>
      </c>
      <c r="H1249" s="24">
        <v>400</v>
      </c>
      <c r="I1249" s="25" t="s">
        <v>12</v>
      </c>
      <c r="J1249" s="25" t="s">
        <v>4006</v>
      </c>
      <c r="K1249" s="26" t="s">
        <v>4007</v>
      </c>
      <c r="L1249" s="25" t="s">
        <v>32</v>
      </c>
      <c r="M1249" t="str">
        <f>TEXT(A1249,"dddd")</f>
        <v>Saturday</v>
      </c>
      <c r="N1249" s="35">
        <f>DATE(Table4[[#This Row],[year]],Table4[[#This Row],[month2]],Table4[[#This Row],[day]])</f>
        <v>45998</v>
      </c>
    </row>
    <row r="1250" spans="1:14" ht="16" x14ac:dyDescent="0.35">
      <c r="A1250" t="str">
        <f t="shared" si="38"/>
        <v>06</v>
      </c>
      <c r="B1250">
        <f>_xlfn.SWITCH(Table4[[#This Row],[month]],"jan",1,"feb",2,"mar",3,"apr",4,"may",5,"jun",6,"jul",7,"aug",8,"sep",9,"oct",10,"nov",11,"dec",12,"no month")</f>
        <v>12</v>
      </c>
      <c r="C1250" s="12" t="str">
        <f>LEFT('All Transactions'!$E1250,3)</f>
        <v>Dec</v>
      </c>
      <c r="D1250" s="12" t="str">
        <f t="shared" si="39"/>
        <v>2025</v>
      </c>
      <c r="E1250" s="16" t="s">
        <v>4008</v>
      </c>
      <c r="F1250" s="17" t="s">
        <v>1925</v>
      </c>
      <c r="G1250" s="18" t="s">
        <v>28</v>
      </c>
      <c r="H1250" s="19">
        <v>30</v>
      </c>
      <c r="I1250" s="20" t="s">
        <v>4009</v>
      </c>
      <c r="J1250" s="20" t="s">
        <v>4010</v>
      </c>
      <c r="K1250" s="21" t="s">
        <v>4011</v>
      </c>
      <c r="L1250" s="20" t="s">
        <v>32</v>
      </c>
      <c r="M1250" t="str">
        <f>TEXT(A1250,"dddd")</f>
        <v>Friday</v>
      </c>
      <c r="N1250" s="35">
        <f>DATE(Table4[[#This Row],[year]],Table4[[#This Row],[month2]],Table4[[#This Row],[day]])</f>
        <v>45997</v>
      </c>
    </row>
    <row r="1251" spans="1:14" ht="16" x14ac:dyDescent="0.35">
      <c r="A1251" t="str">
        <f t="shared" si="38"/>
        <v>06</v>
      </c>
      <c r="B1251">
        <f>_xlfn.SWITCH(Table4[[#This Row],[month]],"jan",1,"feb",2,"mar",3,"apr",4,"may",5,"jun",6,"jul",7,"aug",8,"sep",9,"oct",10,"nov",11,"dec",12,"no month")</f>
        <v>12</v>
      </c>
      <c r="C1251" s="12" t="str">
        <f>LEFT('All Transactions'!$E1251,3)</f>
        <v>Dec</v>
      </c>
      <c r="D1251" s="12" t="str">
        <f t="shared" si="39"/>
        <v>2025</v>
      </c>
      <c r="E1251" s="22" t="s">
        <v>4008</v>
      </c>
      <c r="F1251" s="23" t="s">
        <v>4012</v>
      </c>
      <c r="G1251" s="18" t="s">
        <v>28</v>
      </c>
      <c r="H1251" s="24">
        <v>50</v>
      </c>
      <c r="I1251" s="25" t="s">
        <v>4013</v>
      </c>
      <c r="J1251" s="25" t="s">
        <v>4014</v>
      </c>
      <c r="K1251" s="26" t="s">
        <v>4015</v>
      </c>
      <c r="L1251" s="25" t="s">
        <v>32</v>
      </c>
      <c r="M1251" t="str">
        <f>TEXT(A1251,"dddd")</f>
        <v>Friday</v>
      </c>
      <c r="N1251" s="35">
        <f>DATE(Table4[[#This Row],[year]],Table4[[#This Row],[month2]],Table4[[#This Row],[day]])</f>
        <v>45997</v>
      </c>
    </row>
    <row r="1252" spans="1:14" ht="16" x14ac:dyDescent="0.35">
      <c r="A1252" t="str">
        <f t="shared" si="38"/>
        <v>06</v>
      </c>
      <c r="B1252">
        <f>_xlfn.SWITCH(Table4[[#This Row],[month]],"jan",1,"feb",2,"mar",3,"apr",4,"may",5,"jun",6,"jul",7,"aug",8,"sep",9,"oct",10,"nov",11,"dec",12,"no month")</f>
        <v>12</v>
      </c>
      <c r="C1252" s="12" t="str">
        <f>LEFT('All Transactions'!$E1252,3)</f>
        <v>Dec</v>
      </c>
      <c r="D1252" s="12" t="str">
        <f t="shared" si="39"/>
        <v>2025</v>
      </c>
      <c r="E1252" s="16" t="s">
        <v>4008</v>
      </c>
      <c r="F1252" s="17" t="s">
        <v>2407</v>
      </c>
      <c r="G1252" s="18" t="s">
        <v>28</v>
      </c>
      <c r="H1252" s="19">
        <v>55</v>
      </c>
      <c r="I1252" s="20" t="s">
        <v>3619</v>
      </c>
      <c r="J1252" s="20" t="s">
        <v>4016</v>
      </c>
      <c r="K1252" s="21" t="s">
        <v>4017</v>
      </c>
      <c r="L1252" s="20" t="s">
        <v>32</v>
      </c>
      <c r="M1252" t="str">
        <f>TEXT(A1252,"dddd")</f>
        <v>Friday</v>
      </c>
      <c r="N1252" s="35">
        <f>DATE(Table4[[#This Row],[year]],Table4[[#This Row],[month2]],Table4[[#This Row],[day]])</f>
        <v>45997</v>
      </c>
    </row>
    <row r="1253" spans="1:14" ht="16" x14ac:dyDescent="0.35">
      <c r="A1253" t="str">
        <f t="shared" si="38"/>
        <v>06</v>
      </c>
      <c r="B1253">
        <f>_xlfn.SWITCH(Table4[[#This Row],[month]],"jan",1,"feb",2,"mar",3,"apr",4,"may",5,"jun",6,"jul",7,"aug",8,"sep",9,"oct",10,"nov",11,"dec",12,"no month")</f>
        <v>12</v>
      </c>
      <c r="C1253" s="12" t="str">
        <f>LEFT('All Transactions'!$E1253,3)</f>
        <v>Dec</v>
      </c>
      <c r="D1253" s="12" t="str">
        <f t="shared" si="39"/>
        <v>2025</v>
      </c>
      <c r="E1253" s="22" t="s">
        <v>4008</v>
      </c>
      <c r="F1253" s="23" t="s">
        <v>4018</v>
      </c>
      <c r="G1253" s="18" t="s">
        <v>28</v>
      </c>
      <c r="H1253" s="24">
        <v>20</v>
      </c>
      <c r="I1253" s="25" t="s">
        <v>461</v>
      </c>
      <c r="J1253" s="25" t="s">
        <v>4019</v>
      </c>
      <c r="K1253" s="26" t="s">
        <v>4020</v>
      </c>
      <c r="L1253" s="25" t="s">
        <v>32</v>
      </c>
      <c r="M1253" t="str">
        <f>TEXT(A1253,"dddd")</f>
        <v>Friday</v>
      </c>
      <c r="N1253" s="35">
        <f>DATE(Table4[[#This Row],[year]],Table4[[#This Row],[month2]],Table4[[#This Row],[day]])</f>
        <v>45997</v>
      </c>
    </row>
    <row r="1254" spans="1:14" ht="16" x14ac:dyDescent="0.35">
      <c r="A1254" t="str">
        <f t="shared" si="38"/>
        <v>05</v>
      </c>
      <c r="B1254">
        <f>_xlfn.SWITCH(Table4[[#This Row],[month]],"jan",1,"feb",2,"mar",3,"apr",4,"may",5,"jun",6,"jul",7,"aug",8,"sep",9,"oct",10,"nov",11,"dec",12,"no month")</f>
        <v>12</v>
      </c>
      <c r="C1254" s="12" t="str">
        <f>LEFT('All Transactions'!$E1254,3)</f>
        <v>Dec</v>
      </c>
      <c r="D1254" s="12" t="str">
        <f t="shared" si="39"/>
        <v>2025</v>
      </c>
      <c r="E1254" s="16" t="s">
        <v>4021</v>
      </c>
      <c r="F1254" s="17" t="s">
        <v>873</v>
      </c>
      <c r="G1254" s="18" t="s">
        <v>28</v>
      </c>
      <c r="H1254" s="19">
        <v>180</v>
      </c>
      <c r="I1254" s="20" t="s">
        <v>4022</v>
      </c>
      <c r="J1254" s="20" t="s">
        <v>4023</v>
      </c>
      <c r="K1254" s="21" t="s">
        <v>4024</v>
      </c>
      <c r="L1254" s="20" t="s">
        <v>32</v>
      </c>
      <c r="M1254" t="str">
        <f>TEXT(A1254,"dddd")</f>
        <v>Thursday</v>
      </c>
      <c r="N1254" s="35">
        <f>DATE(Table4[[#This Row],[year]],Table4[[#This Row],[month2]],Table4[[#This Row],[day]])</f>
        <v>45996</v>
      </c>
    </row>
    <row r="1255" spans="1:14" ht="16" x14ac:dyDescent="0.35">
      <c r="A1255" t="str">
        <f t="shared" si="38"/>
        <v>05</v>
      </c>
      <c r="B1255">
        <f>_xlfn.SWITCH(Table4[[#This Row],[month]],"jan",1,"feb",2,"mar",3,"apr",4,"may",5,"jun",6,"jul",7,"aug",8,"sep",9,"oct",10,"nov",11,"dec",12,"no month")</f>
        <v>12</v>
      </c>
      <c r="C1255" s="12" t="str">
        <f>LEFT('All Transactions'!$E1255,3)</f>
        <v>Dec</v>
      </c>
      <c r="D1255" s="12" t="str">
        <f t="shared" si="39"/>
        <v>2025</v>
      </c>
      <c r="E1255" s="22" t="s">
        <v>4021</v>
      </c>
      <c r="F1255" s="23" t="s">
        <v>1438</v>
      </c>
      <c r="G1255" s="27" t="s">
        <v>54</v>
      </c>
      <c r="H1255" s="24">
        <v>190</v>
      </c>
      <c r="I1255" s="25" t="s">
        <v>4025</v>
      </c>
      <c r="J1255" s="25" t="s">
        <v>4026</v>
      </c>
      <c r="K1255" s="26" t="s">
        <v>4027</v>
      </c>
      <c r="L1255" s="25" t="s">
        <v>58</v>
      </c>
      <c r="M1255" t="str">
        <f>TEXT(A1255,"dddd")</f>
        <v>Thursday</v>
      </c>
      <c r="N1255" s="35">
        <f>DATE(Table4[[#This Row],[year]],Table4[[#This Row],[month2]],Table4[[#This Row],[day]])</f>
        <v>45996</v>
      </c>
    </row>
    <row r="1256" spans="1:14" ht="16" x14ac:dyDescent="0.35">
      <c r="A1256" t="str">
        <f t="shared" si="38"/>
        <v>05</v>
      </c>
      <c r="B1256">
        <f>_xlfn.SWITCH(Table4[[#This Row],[month]],"jan",1,"feb",2,"mar",3,"apr",4,"may",5,"jun",6,"jul",7,"aug",8,"sep",9,"oct",10,"nov",11,"dec",12,"no month")</f>
        <v>12</v>
      </c>
      <c r="C1256" s="12" t="str">
        <f>LEFT('All Transactions'!$E1256,3)</f>
        <v>Dec</v>
      </c>
      <c r="D1256" s="12" t="str">
        <f t="shared" si="39"/>
        <v>2025</v>
      </c>
      <c r="E1256" s="16" t="s">
        <v>4021</v>
      </c>
      <c r="F1256" s="17" t="s">
        <v>995</v>
      </c>
      <c r="G1256" s="18" t="s">
        <v>28</v>
      </c>
      <c r="H1256" s="19">
        <v>20</v>
      </c>
      <c r="I1256" s="20" t="s">
        <v>4013</v>
      </c>
      <c r="J1256" s="20" t="s">
        <v>4028</v>
      </c>
      <c r="K1256" s="21" t="s">
        <v>4029</v>
      </c>
      <c r="L1256" s="20" t="s">
        <v>32</v>
      </c>
      <c r="M1256" t="str">
        <f>TEXT(A1256,"dddd")</f>
        <v>Thursday</v>
      </c>
      <c r="N1256" s="35">
        <f>DATE(Table4[[#This Row],[year]],Table4[[#This Row],[month2]],Table4[[#This Row],[day]])</f>
        <v>45996</v>
      </c>
    </row>
    <row r="1257" spans="1:14" ht="16" x14ac:dyDescent="0.35">
      <c r="A1257" t="str">
        <f t="shared" si="38"/>
        <v>05</v>
      </c>
      <c r="B1257">
        <f>_xlfn.SWITCH(Table4[[#This Row],[month]],"jan",1,"feb",2,"mar",3,"apr",4,"may",5,"jun",6,"jul",7,"aug",8,"sep",9,"oct",10,"nov",11,"dec",12,"no month")</f>
        <v>12</v>
      </c>
      <c r="C1257" s="12" t="str">
        <f>LEFT('All Transactions'!$E1257,3)</f>
        <v>Dec</v>
      </c>
      <c r="D1257" s="12" t="str">
        <f t="shared" si="39"/>
        <v>2025</v>
      </c>
      <c r="E1257" s="22" t="s">
        <v>4021</v>
      </c>
      <c r="F1257" s="23" t="s">
        <v>2774</v>
      </c>
      <c r="G1257" s="18" t="s">
        <v>28</v>
      </c>
      <c r="H1257" s="24">
        <v>50</v>
      </c>
      <c r="I1257" s="25" t="s">
        <v>4030</v>
      </c>
      <c r="J1257" s="25" t="s">
        <v>4031</v>
      </c>
      <c r="K1257" s="26" t="s">
        <v>4032</v>
      </c>
      <c r="L1257" s="25" t="s">
        <v>32</v>
      </c>
      <c r="M1257" t="str">
        <f>TEXT(A1257,"dddd")</f>
        <v>Thursday</v>
      </c>
      <c r="N1257" s="35">
        <f>DATE(Table4[[#This Row],[year]],Table4[[#This Row],[month2]],Table4[[#This Row],[day]])</f>
        <v>45996</v>
      </c>
    </row>
    <row r="1258" spans="1:14" ht="16" x14ac:dyDescent="0.35">
      <c r="A1258" t="str">
        <f t="shared" si="38"/>
        <v>05</v>
      </c>
      <c r="B1258">
        <f>_xlfn.SWITCH(Table4[[#This Row],[month]],"jan",1,"feb",2,"mar",3,"apr",4,"may",5,"jun",6,"jul",7,"aug",8,"sep",9,"oct",10,"nov",11,"dec",12,"no month")</f>
        <v>12</v>
      </c>
      <c r="C1258" s="12" t="str">
        <f>LEFT('All Transactions'!$E1258,3)</f>
        <v>Dec</v>
      </c>
      <c r="D1258" s="12" t="str">
        <f t="shared" si="39"/>
        <v>2025</v>
      </c>
      <c r="E1258" s="16" t="s">
        <v>4021</v>
      </c>
      <c r="F1258" s="17" t="s">
        <v>1464</v>
      </c>
      <c r="G1258" s="18" t="s">
        <v>28</v>
      </c>
      <c r="H1258" s="19">
        <v>39</v>
      </c>
      <c r="I1258" s="20" t="s">
        <v>4033</v>
      </c>
      <c r="J1258" s="20" t="s">
        <v>4034</v>
      </c>
      <c r="K1258" s="21" t="s">
        <v>4035</v>
      </c>
      <c r="L1258" s="20" t="s">
        <v>32</v>
      </c>
      <c r="M1258" t="str">
        <f>TEXT(A1258,"dddd")</f>
        <v>Thursday</v>
      </c>
      <c r="N1258" s="35">
        <f>DATE(Table4[[#This Row],[year]],Table4[[#This Row],[month2]],Table4[[#This Row],[day]])</f>
        <v>45996</v>
      </c>
    </row>
    <row r="1259" spans="1:14" ht="16" x14ac:dyDescent="0.35">
      <c r="A1259" t="str">
        <f t="shared" si="38"/>
        <v>05</v>
      </c>
      <c r="B1259">
        <f>_xlfn.SWITCH(Table4[[#This Row],[month]],"jan",1,"feb",2,"mar",3,"apr",4,"may",5,"jun",6,"jul",7,"aug",8,"sep",9,"oct",10,"nov",11,"dec",12,"no month")</f>
        <v>12</v>
      </c>
      <c r="C1259" s="12" t="str">
        <f>LEFT('All Transactions'!$E1259,3)</f>
        <v>Dec</v>
      </c>
      <c r="D1259" s="12" t="str">
        <f t="shared" si="39"/>
        <v>2025</v>
      </c>
      <c r="E1259" s="22" t="s">
        <v>4021</v>
      </c>
      <c r="F1259" s="23" t="s">
        <v>2695</v>
      </c>
      <c r="G1259" s="18" t="s">
        <v>28</v>
      </c>
      <c r="H1259" s="24">
        <v>20</v>
      </c>
      <c r="I1259" s="25" t="s">
        <v>4036</v>
      </c>
      <c r="J1259" s="25" t="s">
        <v>4037</v>
      </c>
      <c r="K1259" s="26" t="s">
        <v>4038</v>
      </c>
      <c r="L1259" s="25" t="s">
        <v>32</v>
      </c>
      <c r="M1259" t="str">
        <f>TEXT(A1259,"dddd")</f>
        <v>Thursday</v>
      </c>
      <c r="N1259" s="35">
        <f>DATE(Table4[[#This Row],[year]],Table4[[#This Row],[month2]],Table4[[#This Row],[day]])</f>
        <v>45996</v>
      </c>
    </row>
    <row r="1260" spans="1:14" ht="16" x14ac:dyDescent="0.35">
      <c r="A1260" t="str">
        <f t="shared" si="38"/>
        <v>05</v>
      </c>
      <c r="B1260">
        <f>_xlfn.SWITCH(Table4[[#This Row],[month]],"jan",1,"feb",2,"mar",3,"apr",4,"may",5,"jun",6,"jul",7,"aug",8,"sep",9,"oct",10,"nov",11,"dec",12,"no month")</f>
        <v>12</v>
      </c>
      <c r="C1260" s="12" t="str">
        <f>LEFT('All Transactions'!$E1260,3)</f>
        <v>Dec</v>
      </c>
      <c r="D1260" s="12" t="str">
        <f t="shared" si="39"/>
        <v>2025</v>
      </c>
      <c r="E1260" s="16" t="s">
        <v>4021</v>
      </c>
      <c r="F1260" s="17" t="s">
        <v>4039</v>
      </c>
      <c r="G1260" s="18" t="s">
        <v>28</v>
      </c>
      <c r="H1260" s="19">
        <v>97</v>
      </c>
      <c r="I1260" s="20" t="s">
        <v>4040</v>
      </c>
      <c r="J1260" s="20" t="s">
        <v>4041</v>
      </c>
      <c r="K1260" s="21" t="s">
        <v>4042</v>
      </c>
      <c r="L1260" s="20" t="s">
        <v>32</v>
      </c>
      <c r="M1260" t="str">
        <f>TEXT(A1260,"dddd")</f>
        <v>Thursday</v>
      </c>
      <c r="N1260" s="35">
        <f>DATE(Table4[[#This Row],[year]],Table4[[#This Row],[month2]],Table4[[#This Row],[day]])</f>
        <v>45996</v>
      </c>
    </row>
    <row r="1261" spans="1:14" ht="16" x14ac:dyDescent="0.35">
      <c r="A1261" t="str">
        <f t="shared" si="38"/>
        <v>04</v>
      </c>
      <c r="B1261">
        <f>_xlfn.SWITCH(Table4[[#This Row],[month]],"jan",1,"feb",2,"mar",3,"apr",4,"may",5,"jun",6,"jul",7,"aug",8,"sep",9,"oct",10,"nov",11,"dec",12,"no month")</f>
        <v>12</v>
      </c>
      <c r="C1261" s="12" t="str">
        <f>LEFT('All Transactions'!$E1261,3)</f>
        <v>Dec</v>
      </c>
      <c r="D1261" s="12" t="str">
        <f t="shared" si="39"/>
        <v>2025</v>
      </c>
      <c r="E1261" s="22" t="s">
        <v>4043</v>
      </c>
      <c r="F1261" s="23" t="s">
        <v>1615</v>
      </c>
      <c r="G1261" s="18" t="s">
        <v>28</v>
      </c>
      <c r="H1261" s="24">
        <v>5</v>
      </c>
      <c r="I1261" s="25" t="s">
        <v>4044</v>
      </c>
      <c r="J1261" s="25" t="s">
        <v>4045</v>
      </c>
      <c r="K1261" s="26" t="s">
        <v>4046</v>
      </c>
      <c r="L1261" s="25" t="s">
        <v>32</v>
      </c>
      <c r="M1261" t="str">
        <f>TEXT(A1261,"dddd")</f>
        <v>Wednesday</v>
      </c>
      <c r="N1261" s="35">
        <f>DATE(Table4[[#This Row],[year]],Table4[[#This Row],[month2]],Table4[[#This Row],[day]])</f>
        <v>45995</v>
      </c>
    </row>
    <row r="1262" spans="1:14" ht="16" x14ac:dyDescent="0.35">
      <c r="A1262" t="str">
        <f t="shared" si="38"/>
        <v>03</v>
      </c>
      <c r="B1262">
        <f>_xlfn.SWITCH(Table4[[#This Row],[month]],"jan",1,"feb",2,"mar",3,"apr",4,"may",5,"jun",6,"jul",7,"aug",8,"sep",9,"oct",10,"nov",11,"dec",12,"no month")</f>
        <v>12</v>
      </c>
      <c r="C1262" s="12" t="str">
        <f>LEFT('All Transactions'!$E1262,3)</f>
        <v>Dec</v>
      </c>
      <c r="D1262" s="12" t="str">
        <f t="shared" si="39"/>
        <v>2025</v>
      </c>
      <c r="E1262" s="16" t="s">
        <v>4047</v>
      </c>
      <c r="F1262" s="17" t="s">
        <v>565</v>
      </c>
      <c r="G1262" s="18" t="s">
        <v>28</v>
      </c>
      <c r="H1262" s="19">
        <v>548</v>
      </c>
      <c r="I1262" s="20" t="s">
        <v>4048</v>
      </c>
      <c r="J1262" s="20" t="s">
        <v>4049</v>
      </c>
      <c r="K1262" s="21" t="s">
        <v>4050</v>
      </c>
      <c r="L1262" s="20" t="s">
        <v>32</v>
      </c>
      <c r="M1262" t="str">
        <f>TEXT(A1262,"dddd")</f>
        <v>Tuesday</v>
      </c>
      <c r="N1262" s="35">
        <f>DATE(Table4[[#This Row],[year]],Table4[[#This Row],[month2]],Table4[[#This Row],[day]])</f>
        <v>45994</v>
      </c>
    </row>
    <row r="1263" spans="1:14" ht="16" x14ac:dyDescent="0.35">
      <c r="A1263" t="str">
        <f t="shared" si="38"/>
        <v>03</v>
      </c>
      <c r="B1263">
        <f>_xlfn.SWITCH(Table4[[#This Row],[month]],"jan",1,"feb",2,"mar",3,"apr",4,"may",5,"jun",6,"jul",7,"aug",8,"sep",9,"oct",10,"nov",11,"dec",12,"no month")</f>
        <v>12</v>
      </c>
      <c r="C1263" s="12" t="str">
        <f>LEFT('All Transactions'!$E1263,3)</f>
        <v>Dec</v>
      </c>
      <c r="D1263" s="12" t="str">
        <f t="shared" si="39"/>
        <v>2025</v>
      </c>
      <c r="E1263" s="22" t="s">
        <v>4047</v>
      </c>
      <c r="F1263" s="23" t="s">
        <v>2036</v>
      </c>
      <c r="G1263" s="27" t="s">
        <v>54</v>
      </c>
      <c r="H1263" s="24">
        <v>500</v>
      </c>
      <c r="I1263" s="25" t="s">
        <v>89</v>
      </c>
      <c r="J1263" s="25" t="s">
        <v>4051</v>
      </c>
      <c r="K1263" s="26" t="s">
        <v>4052</v>
      </c>
      <c r="L1263" s="25" t="s">
        <v>58</v>
      </c>
      <c r="M1263" t="str">
        <f>TEXT(A1263,"dddd")</f>
        <v>Tuesday</v>
      </c>
      <c r="N1263" s="35">
        <f>DATE(Table4[[#This Row],[year]],Table4[[#This Row],[month2]],Table4[[#This Row],[day]])</f>
        <v>45994</v>
      </c>
    </row>
    <row r="1264" spans="1:14" ht="16" x14ac:dyDescent="0.35">
      <c r="A1264" t="str">
        <f t="shared" si="38"/>
        <v>03</v>
      </c>
      <c r="B1264">
        <f>_xlfn.SWITCH(Table4[[#This Row],[month]],"jan",1,"feb",2,"mar",3,"apr",4,"may",5,"jun",6,"jul",7,"aug",8,"sep",9,"oct",10,"nov",11,"dec",12,"no month")</f>
        <v>12</v>
      </c>
      <c r="C1264" s="12" t="str">
        <f>LEFT('All Transactions'!$E1264,3)</f>
        <v>Dec</v>
      </c>
      <c r="D1264" s="12" t="str">
        <f t="shared" si="39"/>
        <v>2025</v>
      </c>
      <c r="E1264" s="16" t="s">
        <v>4047</v>
      </c>
      <c r="F1264" s="17" t="s">
        <v>886</v>
      </c>
      <c r="G1264" s="27" t="s">
        <v>54</v>
      </c>
      <c r="H1264" s="19">
        <v>75</v>
      </c>
      <c r="I1264" s="20" t="s">
        <v>4053</v>
      </c>
      <c r="J1264" s="20" t="s">
        <v>4054</v>
      </c>
      <c r="K1264" s="21" t="s">
        <v>4055</v>
      </c>
      <c r="L1264" s="20" t="s">
        <v>58</v>
      </c>
      <c r="M1264" t="str">
        <f>TEXT(A1264,"dddd")</f>
        <v>Tuesday</v>
      </c>
      <c r="N1264" s="35">
        <f>DATE(Table4[[#This Row],[year]],Table4[[#This Row],[month2]],Table4[[#This Row],[day]])</f>
        <v>45994</v>
      </c>
    </row>
    <row r="1265" spans="1:14" ht="16" x14ac:dyDescent="0.35">
      <c r="A1265" t="str">
        <f t="shared" si="38"/>
        <v>03</v>
      </c>
      <c r="B1265">
        <f>_xlfn.SWITCH(Table4[[#This Row],[month]],"jan",1,"feb",2,"mar",3,"apr",4,"may",5,"jun",6,"jul",7,"aug",8,"sep",9,"oct",10,"nov",11,"dec",12,"no month")</f>
        <v>12</v>
      </c>
      <c r="C1265" s="12" t="str">
        <f>LEFT('All Transactions'!$E1265,3)</f>
        <v>Dec</v>
      </c>
      <c r="D1265" s="12" t="str">
        <f t="shared" si="39"/>
        <v>2025</v>
      </c>
      <c r="E1265" s="22" t="s">
        <v>4047</v>
      </c>
      <c r="F1265" s="23" t="s">
        <v>2139</v>
      </c>
      <c r="G1265" s="18" t="s">
        <v>28</v>
      </c>
      <c r="H1265" s="24">
        <v>1000</v>
      </c>
      <c r="I1265" s="25" t="s">
        <v>4056</v>
      </c>
      <c r="J1265" s="25" t="s">
        <v>4057</v>
      </c>
      <c r="K1265" s="26" t="s">
        <v>4058</v>
      </c>
      <c r="L1265" s="25" t="s">
        <v>32</v>
      </c>
      <c r="M1265" t="str">
        <f>TEXT(A1265,"dddd")</f>
        <v>Tuesday</v>
      </c>
      <c r="N1265" s="35">
        <f>DATE(Table4[[#This Row],[year]],Table4[[#This Row],[month2]],Table4[[#This Row],[day]])</f>
        <v>45994</v>
      </c>
    </row>
    <row r="1266" spans="1:14" ht="16" x14ac:dyDescent="0.35">
      <c r="A1266" t="str">
        <f t="shared" si="38"/>
        <v>03</v>
      </c>
      <c r="B1266">
        <f>_xlfn.SWITCH(Table4[[#This Row],[month]],"jan",1,"feb",2,"mar",3,"apr",4,"may",5,"jun",6,"jul",7,"aug",8,"sep",9,"oct",10,"nov",11,"dec",12,"no month")</f>
        <v>12</v>
      </c>
      <c r="C1266" s="12" t="str">
        <f>LEFT('All Transactions'!$E1266,3)</f>
        <v>Dec</v>
      </c>
      <c r="D1266" s="12" t="str">
        <f t="shared" si="39"/>
        <v>2025</v>
      </c>
      <c r="E1266" s="16" t="s">
        <v>4047</v>
      </c>
      <c r="F1266" s="17" t="s">
        <v>4059</v>
      </c>
      <c r="G1266" s="27" t="s">
        <v>54</v>
      </c>
      <c r="H1266" s="19">
        <v>130</v>
      </c>
      <c r="I1266" s="20" t="s">
        <v>4060</v>
      </c>
      <c r="J1266" s="20" t="s">
        <v>4061</v>
      </c>
      <c r="K1266" s="21" t="s">
        <v>4062</v>
      </c>
      <c r="L1266" s="20" t="s">
        <v>58</v>
      </c>
      <c r="M1266" t="str">
        <f>TEXT(A1266,"dddd")</f>
        <v>Tuesday</v>
      </c>
      <c r="N1266" s="35">
        <f>DATE(Table4[[#This Row],[year]],Table4[[#This Row],[month2]],Table4[[#This Row],[day]])</f>
        <v>45994</v>
      </c>
    </row>
    <row r="1267" spans="1:14" ht="16" x14ac:dyDescent="0.35">
      <c r="A1267" t="str">
        <f t="shared" si="38"/>
        <v>03</v>
      </c>
      <c r="B1267">
        <f>_xlfn.SWITCH(Table4[[#This Row],[month]],"jan",1,"feb",2,"mar",3,"apr",4,"may",5,"jun",6,"jul",7,"aug",8,"sep",9,"oct",10,"nov",11,"dec",12,"no month")</f>
        <v>12</v>
      </c>
      <c r="C1267" s="12" t="str">
        <f>LEFT('All Transactions'!$E1267,3)</f>
        <v>Dec</v>
      </c>
      <c r="D1267" s="12" t="str">
        <f t="shared" si="39"/>
        <v>2025</v>
      </c>
      <c r="E1267" s="22" t="s">
        <v>4047</v>
      </c>
      <c r="F1267" s="23" t="s">
        <v>4063</v>
      </c>
      <c r="G1267" s="27" t="s">
        <v>54</v>
      </c>
      <c r="H1267" s="24">
        <v>200</v>
      </c>
      <c r="I1267" s="25" t="s">
        <v>1090</v>
      </c>
      <c r="J1267" s="25" t="s">
        <v>4064</v>
      </c>
      <c r="K1267" s="26" t="s">
        <v>4065</v>
      </c>
      <c r="L1267" s="25" t="s">
        <v>58</v>
      </c>
      <c r="M1267" t="str">
        <f>TEXT(A1267,"dddd")</f>
        <v>Tuesday</v>
      </c>
      <c r="N1267" s="35">
        <f>DATE(Table4[[#This Row],[year]],Table4[[#This Row],[month2]],Table4[[#This Row],[day]])</f>
        <v>45994</v>
      </c>
    </row>
    <row r="1268" spans="1:14" ht="16" x14ac:dyDescent="0.35">
      <c r="A1268" t="str">
        <f t="shared" si="38"/>
        <v>03</v>
      </c>
      <c r="B1268">
        <f>_xlfn.SWITCH(Table4[[#This Row],[month]],"jan",1,"feb",2,"mar",3,"apr",4,"may",5,"jun",6,"jul",7,"aug",8,"sep",9,"oct",10,"nov",11,"dec",12,"no month")</f>
        <v>12</v>
      </c>
      <c r="C1268" s="12" t="str">
        <f>LEFT('All Transactions'!$E1268,3)</f>
        <v>Dec</v>
      </c>
      <c r="D1268" s="12" t="str">
        <f t="shared" si="39"/>
        <v>2025</v>
      </c>
      <c r="E1268" s="16" t="s">
        <v>4047</v>
      </c>
      <c r="F1268" s="17" t="s">
        <v>4066</v>
      </c>
      <c r="G1268" s="18" t="s">
        <v>28</v>
      </c>
      <c r="H1268" s="19">
        <v>4597</v>
      </c>
      <c r="I1268" s="20" t="s">
        <v>84</v>
      </c>
      <c r="J1268" s="20" t="s">
        <v>4067</v>
      </c>
      <c r="K1268" s="21" t="s">
        <v>4068</v>
      </c>
      <c r="L1268" s="20" t="s">
        <v>32</v>
      </c>
      <c r="M1268" t="str">
        <f>TEXT(A1268,"dddd")</f>
        <v>Tuesday</v>
      </c>
      <c r="N1268" s="35">
        <f>DATE(Table4[[#This Row],[year]],Table4[[#This Row],[month2]],Table4[[#This Row],[day]])</f>
        <v>45994</v>
      </c>
    </row>
    <row r="1269" spans="1:14" ht="16" x14ac:dyDescent="0.35">
      <c r="A1269" t="str">
        <f t="shared" si="38"/>
        <v>02</v>
      </c>
      <c r="B1269">
        <f>_xlfn.SWITCH(Table4[[#This Row],[month]],"jan",1,"feb",2,"mar",3,"apr",4,"may",5,"jun",6,"jul",7,"aug",8,"sep",9,"oct",10,"nov",11,"dec",12,"no month")</f>
        <v>12</v>
      </c>
      <c r="C1269" s="12" t="str">
        <f>LEFT('All Transactions'!$E1269,3)</f>
        <v>Dec</v>
      </c>
      <c r="D1269" s="12" t="str">
        <f t="shared" si="39"/>
        <v>2025</v>
      </c>
      <c r="E1269" s="22" t="s">
        <v>4069</v>
      </c>
      <c r="F1269" s="23" t="s">
        <v>2042</v>
      </c>
      <c r="G1269" s="18" t="s">
        <v>28</v>
      </c>
      <c r="H1269" s="24">
        <v>10</v>
      </c>
      <c r="I1269" s="25" t="s">
        <v>4070</v>
      </c>
      <c r="J1269" s="25" t="s">
        <v>4071</v>
      </c>
      <c r="K1269" s="26" t="s">
        <v>4072</v>
      </c>
      <c r="L1269" s="25" t="s">
        <v>32</v>
      </c>
      <c r="M1269" t="str">
        <f>TEXT(A1269,"dddd")</f>
        <v>Monday</v>
      </c>
      <c r="N1269" s="35">
        <f>DATE(Table4[[#This Row],[year]],Table4[[#This Row],[month2]],Table4[[#This Row],[day]])</f>
        <v>45993</v>
      </c>
    </row>
    <row r="1270" spans="1:14" ht="16" x14ac:dyDescent="0.35">
      <c r="A1270" t="str">
        <f t="shared" si="38"/>
        <v>02</v>
      </c>
      <c r="B1270">
        <f>_xlfn.SWITCH(Table4[[#This Row],[month]],"jan",1,"feb",2,"mar",3,"apr",4,"may",5,"jun",6,"jul",7,"aug",8,"sep",9,"oct",10,"nov",11,"dec",12,"no month")</f>
        <v>12</v>
      </c>
      <c r="C1270" s="12" t="str">
        <f>LEFT('All Transactions'!$E1270,3)</f>
        <v>Dec</v>
      </c>
      <c r="D1270" s="12" t="str">
        <f t="shared" si="39"/>
        <v>2025</v>
      </c>
      <c r="E1270" s="16" t="s">
        <v>4069</v>
      </c>
      <c r="F1270" s="17" t="s">
        <v>2610</v>
      </c>
      <c r="G1270" s="18" t="s">
        <v>28</v>
      </c>
      <c r="H1270" s="19">
        <v>40</v>
      </c>
      <c r="I1270" s="20" t="s">
        <v>4070</v>
      </c>
      <c r="J1270" s="20" t="s">
        <v>4073</v>
      </c>
      <c r="K1270" s="21" t="s">
        <v>4074</v>
      </c>
      <c r="L1270" s="20" t="s">
        <v>32</v>
      </c>
      <c r="M1270" t="str">
        <f>TEXT(A1270,"dddd")</f>
        <v>Monday</v>
      </c>
      <c r="N1270" s="35">
        <f>DATE(Table4[[#This Row],[year]],Table4[[#This Row],[month2]],Table4[[#This Row],[day]])</f>
        <v>45993</v>
      </c>
    </row>
    <row r="1271" spans="1:14" ht="16" x14ac:dyDescent="0.35">
      <c r="A1271" t="str">
        <f t="shared" si="38"/>
        <v>02</v>
      </c>
      <c r="B1271">
        <f>_xlfn.SWITCH(Table4[[#This Row],[month]],"jan",1,"feb",2,"mar",3,"apr",4,"may",5,"jun",6,"jul",7,"aug",8,"sep",9,"oct",10,"nov",11,"dec",12,"no month")</f>
        <v>12</v>
      </c>
      <c r="C1271" s="12" t="str">
        <f>LEFT('All Transactions'!$E1271,3)</f>
        <v>Dec</v>
      </c>
      <c r="D1271" s="12" t="str">
        <f t="shared" si="39"/>
        <v>2025</v>
      </c>
      <c r="E1271" s="22" t="s">
        <v>4069</v>
      </c>
      <c r="F1271" s="23" t="s">
        <v>142</v>
      </c>
      <c r="G1271" s="18" t="s">
        <v>28</v>
      </c>
      <c r="H1271" s="24">
        <v>20</v>
      </c>
      <c r="I1271" s="25" t="s">
        <v>4075</v>
      </c>
      <c r="J1271" s="25" t="s">
        <v>4076</v>
      </c>
      <c r="K1271" s="26" t="s">
        <v>4077</v>
      </c>
      <c r="L1271" s="25" t="s">
        <v>32</v>
      </c>
      <c r="M1271" t="str">
        <f>TEXT(A1271,"dddd")</f>
        <v>Monday</v>
      </c>
      <c r="N1271" s="35">
        <f>DATE(Table4[[#This Row],[year]],Table4[[#This Row],[month2]],Table4[[#This Row],[day]])</f>
        <v>45993</v>
      </c>
    </row>
    <row r="1272" spans="1:14" ht="16" x14ac:dyDescent="0.35">
      <c r="A1272" t="str">
        <f t="shared" si="38"/>
        <v>02</v>
      </c>
      <c r="B1272">
        <f>_xlfn.SWITCH(Table4[[#This Row],[month]],"jan",1,"feb",2,"mar",3,"apr",4,"may",5,"jun",6,"jul",7,"aug",8,"sep",9,"oct",10,"nov",11,"dec",12,"no month")</f>
        <v>12</v>
      </c>
      <c r="C1272" s="12" t="str">
        <f>LEFT('All Transactions'!$E1272,3)</f>
        <v>Dec</v>
      </c>
      <c r="D1272" s="12" t="str">
        <f t="shared" si="39"/>
        <v>2025</v>
      </c>
      <c r="E1272" s="16" t="s">
        <v>4069</v>
      </c>
      <c r="F1272" s="17" t="s">
        <v>4078</v>
      </c>
      <c r="G1272" s="18" t="s">
        <v>28</v>
      </c>
      <c r="H1272" s="19">
        <v>15</v>
      </c>
      <c r="I1272" s="20" t="s">
        <v>4075</v>
      </c>
      <c r="J1272" s="20" t="s">
        <v>4079</v>
      </c>
      <c r="K1272" s="21" t="s">
        <v>4080</v>
      </c>
      <c r="L1272" s="20" t="s">
        <v>32</v>
      </c>
      <c r="M1272" t="str">
        <f>TEXT(A1272,"dddd")</f>
        <v>Monday</v>
      </c>
      <c r="N1272" s="35">
        <f>DATE(Table4[[#This Row],[year]],Table4[[#This Row],[month2]],Table4[[#This Row],[day]])</f>
        <v>45993</v>
      </c>
    </row>
    <row r="1273" spans="1:14" ht="16" x14ac:dyDescent="0.35">
      <c r="A1273" t="str">
        <f t="shared" si="38"/>
        <v>02</v>
      </c>
      <c r="B1273">
        <f>_xlfn.SWITCH(Table4[[#This Row],[month]],"jan",1,"feb",2,"mar",3,"apr",4,"may",5,"jun",6,"jul",7,"aug",8,"sep",9,"oct",10,"nov",11,"dec",12,"no month")</f>
        <v>12</v>
      </c>
      <c r="C1273" s="12" t="str">
        <f>LEFT('All Transactions'!$E1273,3)</f>
        <v>Dec</v>
      </c>
      <c r="D1273" s="12" t="str">
        <f t="shared" si="39"/>
        <v>2025</v>
      </c>
      <c r="E1273" s="22" t="s">
        <v>4069</v>
      </c>
      <c r="F1273" s="23" t="s">
        <v>4081</v>
      </c>
      <c r="G1273" s="27" t="s">
        <v>54</v>
      </c>
      <c r="H1273" s="24">
        <v>85</v>
      </c>
      <c r="I1273" s="25" t="s">
        <v>4082</v>
      </c>
      <c r="J1273" s="25" t="s">
        <v>4083</v>
      </c>
      <c r="K1273" s="26" t="s">
        <v>4084</v>
      </c>
      <c r="L1273" s="25" t="s">
        <v>58</v>
      </c>
      <c r="M1273" t="str">
        <f>TEXT(A1273,"dddd")</f>
        <v>Monday</v>
      </c>
      <c r="N1273" s="35">
        <f>DATE(Table4[[#This Row],[year]],Table4[[#This Row],[month2]],Table4[[#This Row],[day]])</f>
        <v>45993</v>
      </c>
    </row>
    <row r="1274" spans="1:14" ht="16" x14ac:dyDescent="0.35">
      <c r="A1274" t="str">
        <f t="shared" si="38"/>
        <v>02</v>
      </c>
      <c r="B1274">
        <f>_xlfn.SWITCH(Table4[[#This Row],[month]],"jan",1,"feb",2,"mar",3,"apr",4,"may",5,"jun",6,"jul",7,"aug",8,"sep",9,"oct",10,"nov",11,"dec",12,"no month")</f>
        <v>12</v>
      </c>
      <c r="C1274" s="12" t="str">
        <f>LEFT('All Transactions'!$E1274,3)</f>
        <v>Dec</v>
      </c>
      <c r="D1274" s="12" t="str">
        <f t="shared" si="39"/>
        <v>2025</v>
      </c>
      <c r="E1274" s="16" t="s">
        <v>4069</v>
      </c>
      <c r="F1274" s="17" t="s">
        <v>3894</v>
      </c>
      <c r="G1274" s="18" t="s">
        <v>28</v>
      </c>
      <c r="H1274" s="19">
        <v>80</v>
      </c>
      <c r="I1274" s="20" t="s">
        <v>4085</v>
      </c>
      <c r="J1274" s="20" t="s">
        <v>4086</v>
      </c>
      <c r="K1274" s="21" t="s">
        <v>4087</v>
      </c>
      <c r="L1274" s="20" t="s">
        <v>32</v>
      </c>
      <c r="M1274" t="str">
        <f>TEXT(A1274,"dddd")</f>
        <v>Monday</v>
      </c>
      <c r="N1274" s="35">
        <f>DATE(Table4[[#This Row],[year]],Table4[[#This Row],[month2]],Table4[[#This Row],[day]])</f>
        <v>45993</v>
      </c>
    </row>
    <row r="1275" spans="1:14" ht="16" x14ac:dyDescent="0.35">
      <c r="A1275" t="str">
        <f t="shared" si="38"/>
        <v>02</v>
      </c>
      <c r="B1275">
        <f>_xlfn.SWITCH(Table4[[#This Row],[month]],"jan",1,"feb",2,"mar",3,"apr",4,"may",5,"jun",6,"jul",7,"aug",8,"sep",9,"oct",10,"nov",11,"dec",12,"no month")</f>
        <v>12</v>
      </c>
      <c r="C1275" s="12" t="str">
        <f>LEFT('All Transactions'!$E1275,3)</f>
        <v>Dec</v>
      </c>
      <c r="D1275" s="12" t="str">
        <f t="shared" si="39"/>
        <v>2025</v>
      </c>
      <c r="E1275" s="22" t="s">
        <v>4069</v>
      </c>
      <c r="F1275" s="23" t="s">
        <v>4088</v>
      </c>
      <c r="G1275" s="18" t="s">
        <v>28</v>
      </c>
      <c r="H1275" s="24">
        <v>14</v>
      </c>
      <c r="I1275" s="25" t="s">
        <v>4089</v>
      </c>
      <c r="J1275" s="25" t="s">
        <v>4090</v>
      </c>
      <c r="K1275" s="26" t="s">
        <v>4091</v>
      </c>
      <c r="L1275" s="25" t="s">
        <v>32</v>
      </c>
      <c r="M1275" t="str">
        <f>TEXT(A1275,"dddd")</f>
        <v>Monday</v>
      </c>
      <c r="N1275" s="35">
        <f>DATE(Table4[[#This Row],[year]],Table4[[#This Row],[month2]],Table4[[#This Row],[day]])</f>
        <v>45993</v>
      </c>
    </row>
    <row r="1276" spans="1:14" ht="16" x14ac:dyDescent="0.35">
      <c r="A1276" t="str">
        <f t="shared" si="38"/>
        <v>02</v>
      </c>
      <c r="B1276">
        <f>_xlfn.SWITCH(Table4[[#This Row],[month]],"jan",1,"feb",2,"mar",3,"apr",4,"may",5,"jun",6,"jul",7,"aug",8,"sep",9,"oct",10,"nov",11,"dec",12,"no month")</f>
        <v>12</v>
      </c>
      <c r="C1276" s="12" t="str">
        <f>LEFT('All Transactions'!$E1276,3)</f>
        <v>Dec</v>
      </c>
      <c r="D1276" s="12" t="str">
        <f t="shared" si="39"/>
        <v>2025</v>
      </c>
      <c r="E1276" s="16" t="s">
        <v>4069</v>
      </c>
      <c r="F1276" s="17" t="s">
        <v>1961</v>
      </c>
      <c r="G1276" s="18" t="s">
        <v>28</v>
      </c>
      <c r="H1276" s="19">
        <v>1500</v>
      </c>
      <c r="I1276" s="20" t="s">
        <v>12</v>
      </c>
      <c r="J1276" s="20" t="s">
        <v>4092</v>
      </c>
      <c r="K1276" s="21" t="s">
        <v>4093</v>
      </c>
      <c r="L1276" s="20" t="s">
        <v>32</v>
      </c>
      <c r="M1276" t="str">
        <f>TEXT(A1276,"dddd")</f>
        <v>Monday</v>
      </c>
      <c r="N1276" s="35">
        <f>DATE(Table4[[#This Row],[year]],Table4[[#This Row],[month2]],Table4[[#This Row],[day]])</f>
        <v>45993</v>
      </c>
    </row>
    <row r="1277" spans="1:14" ht="16" x14ac:dyDescent="0.35">
      <c r="A1277" t="str">
        <f t="shared" si="38"/>
        <v>02</v>
      </c>
      <c r="B1277">
        <f>_xlfn.SWITCH(Table4[[#This Row],[month]],"jan",1,"feb",2,"mar",3,"apr",4,"may",5,"jun",6,"jul",7,"aug",8,"sep",9,"oct",10,"nov",11,"dec",12,"no month")</f>
        <v>12</v>
      </c>
      <c r="C1277" s="12" t="str">
        <f>LEFT('All Transactions'!$E1277,3)</f>
        <v>Dec</v>
      </c>
      <c r="D1277" s="12" t="str">
        <f t="shared" si="39"/>
        <v>2025</v>
      </c>
      <c r="E1277" s="22" t="s">
        <v>4069</v>
      </c>
      <c r="F1277" s="23" t="s">
        <v>1074</v>
      </c>
      <c r="G1277" s="27" t="s">
        <v>54</v>
      </c>
      <c r="H1277" s="24">
        <v>10300</v>
      </c>
      <c r="I1277" s="25" t="s">
        <v>143</v>
      </c>
      <c r="J1277" s="25" t="s">
        <v>4094</v>
      </c>
      <c r="K1277" s="26" t="s">
        <v>4095</v>
      </c>
      <c r="L1277" s="25" t="s">
        <v>58</v>
      </c>
      <c r="M1277" t="str">
        <f>TEXT(A1277,"dddd")</f>
        <v>Monday</v>
      </c>
      <c r="N1277" s="35">
        <f>DATE(Table4[[#This Row],[year]],Table4[[#This Row],[month2]],Table4[[#This Row],[day]])</f>
        <v>45993</v>
      </c>
    </row>
    <row r="1278" spans="1:14" ht="16" x14ac:dyDescent="0.35">
      <c r="A1278" t="str">
        <f t="shared" si="38"/>
        <v>01</v>
      </c>
      <c r="B1278">
        <f>_xlfn.SWITCH(Table4[[#This Row],[month]],"jan",1,"feb",2,"mar",3,"apr",4,"may",5,"jun",6,"jul",7,"aug",8,"sep",9,"oct",10,"nov",11,"dec",12,"no month")</f>
        <v>12</v>
      </c>
      <c r="C1278" s="12" t="str">
        <f>LEFT('All Transactions'!$E1278,3)</f>
        <v>Dec</v>
      </c>
      <c r="D1278" s="12" t="str">
        <f t="shared" si="39"/>
        <v>2025</v>
      </c>
      <c r="E1278" s="16" t="s">
        <v>4096</v>
      </c>
      <c r="F1278" s="17" t="s">
        <v>134</v>
      </c>
      <c r="G1278" s="18" t="s">
        <v>28</v>
      </c>
      <c r="H1278" s="19">
        <v>40</v>
      </c>
      <c r="I1278" s="20" t="s">
        <v>4089</v>
      </c>
      <c r="J1278" s="20" t="s">
        <v>4097</v>
      </c>
      <c r="K1278" s="21" t="s">
        <v>4098</v>
      </c>
      <c r="L1278" s="20" t="s">
        <v>32</v>
      </c>
      <c r="M1278" t="str">
        <f>TEXT(A1278,"dddd")</f>
        <v>Sunday</v>
      </c>
      <c r="N1278" s="35">
        <f>DATE(Table4[[#This Row],[year]],Table4[[#This Row],[month2]],Table4[[#This Row],[day]])</f>
        <v>45992</v>
      </c>
    </row>
    <row r="1279" spans="1:14" ht="16" x14ac:dyDescent="0.35">
      <c r="A1279" t="str">
        <f t="shared" si="38"/>
        <v>30</v>
      </c>
      <c r="B1279">
        <f>_xlfn.SWITCH(Table4[[#This Row],[month]],"jan",1,"feb",2,"mar",3,"apr",4,"may",5,"jun",6,"jul",7,"aug",8,"sep",9,"oct",10,"nov",11,"dec",12,"no month")</f>
        <v>11</v>
      </c>
      <c r="C1279" s="12" t="str">
        <f>LEFT('All Transactions'!$E1279,3)</f>
        <v>Nov</v>
      </c>
      <c r="D1279" s="12" t="str">
        <f t="shared" si="39"/>
        <v>2025</v>
      </c>
      <c r="E1279" s="22" t="s">
        <v>4099</v>
      </c>
      <c r="F1279" s="23" t="s">
        <v>1513</v>
      </c>
      <c r="G1279" s="18" t="s">
        <v>28</v>
      </c>
      <c r="H1279" s="24">
        <v>100</v>
      </c>
      <c r="I1279" s="25" t="s">
        <v>431</v>
      </c>
      <c r="J1279" s="25" t="s">
        <v>4100</v>
      </c>
      <c r="K1279" s="26" t="s">
        <v>4101</v>
      </c>
      <c r="L1279" s="25" t="s">
        <v>32</v>
      </c>
      <c r="M1279" t="str">
        <f>TEXT(A1279,"dddd")</f>
        <v>Monday</v>
      </c>
      <c r="N1279" s="35">
        <f>DATE(Table4[[#This Row],[year]],Table4[[#This Row],[month2]],Table4[[#This Row],[day]])</f>
        <v>45991</v>
      </c>
    </row>
    <row r="1280" spans="1:14" ht="16" x14ac:dyDescent="0.35">
      <c r="A1280" t="str">
        <f t="shared" si="38"/>
        <v>30</v>
      </c>
      <c r="B1280">
        <f>_xlfn.SWITCH(Table4[[#This Row],[month]],"jan",1,"feb",2,"mar",3,"apr",4,"may",5,"jun",6,"jul",7,"aug",8,"sep",9,"oct",10,"nov",11,"dec",12,"no month")</f>
        <v>11</v>
      </c>
      <c r="C1280" s="12" t="str">
        <f>LEFT('All Transactions'!$E1280,3)</f>
        <v>Nov</v>
      </c>
      <c r="D1280" s="12" t="str">
        <f t="shared" si="39"/>
        <v>2025</v>
      </c>
      <c r="E1280" s="16" t="s">
        <v>4099</v>
      </c>
      <c r="F1280" s="17" t="s">
        <v>1998</v>
      </c>
      <c r="G1280" s="18" t="s">
        <v>28</v>
      </c>
      <c r="H1280" s="19">
        <v>40</v>
      </c>
      <c r="I1280" s="20" t="s">
        <v>4102</v>
      </c>
      <c r="J1280" s="20" t="s">
        <v>4103</v>
      </c>
      <c r="K1280" s="21" t="s">
        <v>4104</v>
      </c>
      <c r="L1280" s="20" t="s">
        <v>32</v>
      </c>
      <c r="M1280" t="str">
        <f>TEXT(A1280,"dddd")</f>
        <v>Monday</v>
      </c>
      <c r="N1280" s="35">
        <f>DATE(Table4[[#This Row],[year]],Table4[[#This Row],[month2]],Table4[[#This Row],[day]])</f>
        <v>45991</v>
      </c>
    </row>
    <row r="1281" spans="1:14" ht="16" x14ac:dyDescent="0.35">
      <c r="A1281" t="str">
        <f t="shared" si="38"/>
        <v>30</v>
      </c>
      <c r="B1281">
        <f>_xlfn.SWITCH(Table4[[#This Row],[month]],"jan",1,"feb",2,"mar",3,"apr",4,"may",5,"jun",6,"jul",7,"aug",8,"sep",9,"oct",10,"nov",11,"dec",12,"no month")</f>
        <v>11</v>
      </c>
      <c r="C1281" s="12" t="str">
        <f>LEFT('All Transactions'!$E1281,3)</f>
        <v>Nov</v>
      </c>
      <c r="D1281" s="12" t="str">
        <f t="shared" si="39"/>
        <v>2025</v>
      </c>
      <c r="E1281" s="22" t="s">
        <v>4099</v>
      </c>
      <c r="F1281" s="23" t="s">
        <v>3077</v>
      </c>
      <c r="G1281" s="27" t="s">
        <v>54</v>
      </c>
      <c r="H1281" s="24">
        <v>100</v>
      </c>
      <c r="I1281" s="25" t="s">
        <v>4105</v>
      </c>
      <c r="J1281" s="25" t="s">
        <v>4106</v>
      </c>
      <c r="K1281" s="26" t="s">
        <v>4107</v>
      </c>
      <c r="L1281" s="25" t="s">
        <v>58</v>
      </c>
      <c r="M1281" t="str">
        <f>TEXT(A1281,"dddd")</f>
        <v>Monday</v>
      </c>
      <c r="N1281" s="35">
        <f>DATE(Table4[[#This Row],[year]],Table4[[#This Row],[month2]],Table4[[#This Row],[day]])</f>
        <v>45991</v>
      </c>
    </row>
    <row r="1282" spans="1:14" ht="16" x14ac:dyDescent="0.35">
      <c r="A1282" t="str">
        <f t="shared" si="38"/>
        <v>30</v>
      </c>
      <c r="B1282">
        <f>_xlfn.SWITCH(Table4[[#This Row],[month]],"jan",1,"feb",2,"mar",3,"apr",4,"may",5,"jun",6,"jul",7,"aug",8,"sep",9,"oct",10,"nov",11,"dec",12,"no month")</f>
        <v>11</v>
      </c>
      <c r="C1282" s="12" t="str">
        <f>LEFT('All Transactions'!$E1282,3)</f>
        <v>Nov</v>
      </c>
      <c r="D1282" s="12" t="str">
        <f t="shared" si="39"/>
        <v>2025</v>
      </c>
      <c r="E1282" s="16" t="s">
        <v>4099</v>
      </c>
      <c r="F1282" s="17" t="s">
        <v>2455</v>
      </c>
      <c r="G1282" s="18" t="s">
        <v>28</v>
      </c>
      <c r="H1282" s="19">
        <v>253</v>
      </c>
      <c r="I1282" s="20" t="s">
        <v>4108</v>
      </c>
      <c r="J1282" s="20" t="s">
        <v>4109</v>
      </c>
      <c r="K1282" s="21" t="s">
        <v>4110</v>
      </c>
      <c r="L1282" s="20" t="s">
        <v>32</v>
      </c>
      <c r="M1282" t="str">
        <f>TEXT(A1282,"dddd")</f>
        <v>Monday</v>
      </c>
      <c r="N1282" s="35">
        <f>DATE(Table4[[#This Row],[year]],Table4[[#This Row],[month2]],Table4[[#This Row],[day]])</f>
        <v>45991</v>
      </c>
    </row>
    <row r="1283" spans="1:14" ht="16" x14ac:dyDescent="0.35">
      <c r="A1283" t="str">
        <f t="shared" ref="A1283:A1346" si="40">MID(E1283,5,2)</f>
        <v>30</v>
      </c>
      <c r="B1283">
        <f>_xlfn.SWITCH(Table4[[#This Row],[month]],"jan",1,"feb",2,"mar",3,"apr",4,"may",5,"jun",6,"jul",7,"aug",8,"sep",9,"oct",10,"nov",11,"dec",12,"no month")</f>
        <v>11</v>
      </c>
      <c r="C1283" s="12" t="str">
        <f>LEFT('All Transactions'!$E1283,3)</f>
        <v>Nov</v>
      </c>
      <c r="D1283" s="12" t="str">
        <f t="shared" ref="D1283:D1346" si="41">RIGHT(E1283,4)</f>
        <v>2025</v>
      </c>
      <c r="E1283" s="22" t="s">
        <v>4099</v>
      </c>
      <c r="F1283" s="23" t="s">
        <v>1578</v>
      </c>
      <c r="G1283" s="27" t="s">
        <v>54</v>
      </c>
      <c r="H1283" s="24">
        <v>1500</v>
      </c>
      <c r="I1283" s="25" t="s">
        <v>1090</v>
      </c>
      <c r="J1283" s="25" t="s">
        <v>4111</v>
      </c>
      <c r="K1283" s="26" t="s">
        <v>4112</v>
      </c>
      <c r="L1283" s="25" t="s">
        <v>58</v>
      </c>
      <c r="M1283" t="str">
        <f>TEXT(A1283,"dddd")</f>
        <v>Monday</v>
      </c>
      <c r="N1283" s="35">
        <f>DATE(Table4[[#This Row],[year]],Table4[[#This Row],[month2]],Table4[[#This Row],[day]])</f>
        <v>45991</v>
      </c>
    </row>
    <row r="1284" spans="1:14" ht="16" x14ac:dyDescent="0.35">
      <c r="A1284" t="str">
        <f t="shared" si="40"/>
        <v>30</v>
      </c>
      <c r="B1284">
        <f>_xlfn.SWITCH(Table4[[#This Row],[month]],"jan",1,"feb",2,"mar",3,"apr",4,"may",5,"jun",6,"jul",7,"aug",8,"sep",9,"oct",10,"nov",11,"dec",12,"no month")</f>
        <v>11</v>
      </c>
      <c r="C1284" s="12" t="str">
        <f>LEFT('All Transactions'!$E1284,3)</f>
        <v>Nov</v>
      </c>
      <c r="D1284" s="12" t="str">
        <f t="shared" si="41"/>
        <v>2025</v>
      </c>
      <c r="E1284" s="16" t="s">
        <v>4099</v>
      </c>
      <c r="F1284" s="17" t="s">
        <v>528</v>
      </c>
      <c r="G1284" s="18" t="s">
        <v>28</v>
      </c>
      <c r="H1284" s="19">
        <v>100</v>
      </c>
      <c r="I1284" s="20" t="s">
        <v>431</v>
      </c>
      <c r="J1284" s="20" t="s">
        <v>4113</v>
      </c>
      <c r="K1284" s="21" t="s">
        <v>4114</v>
      </c>
      <c r="L1284" s="20" t="s">
        <v>32</v>
      </c>
      <c r="M1284" t="str">
        <f>TEXT(A1284,"dddd")</f>
        <v>Monday</v>
      </c>
      <c r="N1284" s="35">
        <f>DATE(Table4[[#This Row],[year]],Table4[[#This Row],[month2]],Table4[[#This Row],[day]])</f>
        <v>45991</v>
      </c>
    </row>
    <row r="1285" spans="1:14" ht="16" x14ac:dyDescent="0.35">
      <c r="A1285" t="str">
        <f t="shared" si="40"/>
        <v>30</v>
      </c>
      <c r="B1285">
        <f>_xlfn.SWITCH(Table4[[#This Row],[month]],"jan",1,"feb",2,"mar",3,"apr",4,"may",5,"jun",6,"jul",7,"aug",8,"sep",9,"oct",10,"nov",11,"dec",12,"no month")</f>
        <v>11</v>
      </c>
      <c r="C1285" s="12" t="str">
        <f>LEFT('All Transactions'!$E1285,3)</f>
        <v>Nov</v>
      </c>
      <c r="D1285" s="12" t="str">
        <f t="shared" si="41"/>
        <v>2025</v>
      </c>
      <c r="E1285" s="22" t="s">
        <v>4099</v>
      </c>
      <c r="F1285" s="23" t="s">
        <v>4115</v>
      </c>
      <c r="G1285" s="18" t="s">
        <v>28</v>
      </c>
      <c r="H1285" s="24">
        <v>428</v>
      </c>
      <c r="I1285" s="25" t="s">
        <v>4116</v>
      </c>
      <c r="J1285" s="25" t="s">
        <v>4117</v>
      </c>
      <c r="K1285" s="26" t="s">
        <v>4118</v>
      </c>
      <c r="L1285" s="25" t="s">
        <v>32</v>
      </c>
      <c r="M1285" t="str">
        <f>TEXT(A1285,"dddd")</f>
        <v>Monday</v>
      </c>
      <c r="N1285" s="35">
        <f>DATE(Table4[[#This Row],[year]],Table4[[#This Row],[month2]],Table4[[#This Row],[day]])</f>
        <v>45991</v>
      </c>
    </row>
    <row r="1286" spans="1:14" ht="16" x14ac:dyDescent="0.35">
      <c r="A1286" t="str">
        <f t="shared" si="40"/>
        <v>29</v>
      </c>
      <c r="B1286">
        <f>_xlfn.SWITCH(Table4[[#This Row],[month]],"jan",1,"feb",2,"mar",3,"apr",4,"may",5,"jun",6,"jul",7,"aug",8,"sep",9,"oct",10,"nov",11,"dec",12,"no month")</f>
        <v>11</v>
      </c>
      <c r="C1286" s="12" t="str">
        <f>LEFT('All Transactions'!$E1286,3)</f>
        <v>Nov</v>
      </c>
      <c r="D1286" s="12" t="str">
        <f t="shared" si="41"/>
        <v>2025</v>
      </c>
      <c r="E1286" s="16" t="s">
        <v>4119</v>
      </c>
      <c r="F1286" s="17" t="s">
        <v>108</v>
      </c>
      <c r="G1286" s="18" t="s">
        <v>28</v>
      </c>
      <c r="H1286" s="19">
        <v>1000</v>
      </c>
      <c r="I1286" s="20" t="s">
        <v>4120</v>
      </c>
      <c r="J1286" s="20" t="s">
        <v>4121</v>
      </c>
      <c r="K1286" s="21" t="s">
        <v>4122</v>
      </c>
      <c r="L1286" s="20" t="s">
        <v>32</v>
      </c>
      <c r="M1286" t="str">
        <f>TEXT(A1286,"dddd")</f>
        <v>Sunday</v>
      </c>
      <c r="N1286" s="35">
        <f>DATE(Table4[[#This Row],[year]],Table4[[#This Row],[month2]],Table4[[#This Row],[day]])</f>
        <v>45990</v>
      </c>
    </row>
    <row r="1287" spans="1:14" ht="16" x14ac:dyDescent="0.35">
      <c r="A1287" t="str">
        <f t="shared" si="40"/>
        <v>29</v>
      </c>
      <c r="B1287">
        <f>_xlfn.SWITCH(Table4[[#This Row],[month]],"jan",1,"feb",2,"mar",3,"apr",4,"may",5,"jun",6,"jul",7,"aug",8,"sep",9,"oct",10,"nov",11,"dec",12,"no month")</f>
        <v>11</v>
      </c>
      <c r="C1287" s="12" t="str">
        <f>LEFT('All Transactions'!$E1287,3)</f>
        <v>Nov</v>
      </c>
      <c r="D1287" s="12" t="str">
        <f t="shared" si="41"/>
        <v>2025</v>
      </c>
      <c r="E1287" s="22" t="s">
        <v>4119</v>
      </c>
      <c r="F1287" s="23" t="s">
        <v>1890</v>
      </c>
      <c r="G1287" s="18" t="s">
        <v>28</v>
      </c>
      <c r="H1287" s="24">
        <v>250</v>
      </c>
      <c r="I1287" s="25" t="s">
        <v>4123</v>
      </c>
      <c r="J1287" s="25" t="s">
        <v>4124</v>
      </c>
      <c r="K1287" s="26" t="s">
        <v>4125</v>
      </c>
      <c r="L1287" s="25" t="s">
        <v>32</v>
      </c>
      <c r="M1287" t="str">
        <f>TEXT(A1287,"dddd")</f>
        <v>Sunday</v>
      </c>
      <c r="N1287" s="35">
        <f>DATE(Table4[[#This Row],[year]],Table4[[#This Row],[month2]],Table4[[#This Row],[day]])</f>
        <v>45990</v>
      </c>
    </row>
    <row r="1288" spans="1:14" ht="16" x14ac:dyDescent="0.35">
      <c r="A1288" t="str">
        <f t="shared" si="40"/>
        <v>29</v>
      </c>
      <c r="B1288">
        <f>_xlfn.SWITCH(Table4[[#This Row],[month]],"jan",1,"feb",2,"mar",3,"apr",4,"may",5,"jun",6,"jul",7,"aug",8,"sep",9,"oct",10,"nov",11,"dec",12,"no month")</f>
        <v>11</v>
      </c>
      <c r="C1288" s="12" t="str">
        <f>LEFT('All Transactions'!$E1288,3)</f>
        <v>Nov</v>
      </c>
      <c r="D1288" s="12" t="str">
        <f t="shared" si="41"/>
        <v>2025</v>
      </c>
      <c r="E1288" s="16" t="s">
        <v>4119</v>
      </c>
      <c r="F1288" s="17" t="s">
        <v>1533</v>
      </c>
      <c r="G1288" s="27" t="s">
        <v>54</v>
      </c>
      <c r="H1288" s="19">
        <v>1500</v>
      </c>
      <c r="I1288" s="20" t="s">
        <v>156</v>
      </c>
      <c r="J1288" s="20" t="s">
        <v>4126</v>
      </c>
      <c r="K1288" s="21" t="s">
        <v>4127</v>
      </c>
      <c r="L1288" s="20" t="s">
        <v>58</v>
      </c>
      <c r="M1288" t="str">
        <f>TEXT(A1288,"dddd")</f>
        <v>Sunday</v>
      </c>
      <c r="N1288" s="35">
        <f>DATE(Table4[[#This Row],[year]],Table4[[#This Row],[month2]],Table4[[#This Row],[day]])</f>
        <v>45990</v>
      </c>
    </row>
    <row r="1289" spans="1:14" ht="16" x14ac:dyDescent="0.35">
      <c r="A1289" t="str">
        <f t="shared" si="40"/>
        <v>29</v>
      </c>
      <c r="B1289">
        <f>_xlfn.SWITCH(Table4[[#This Row],[month]],"jan",1,"feb",2,"mar",3,"apr",4,"may",5,"jun",6,"jul",7,"aug",8,"sep",9,"oct",10,"nov",11,"dec",12,"no month")</f>
        <v>11</v>
      </c>
      <c r="C1289" s="12" t="str">
        <f>LEFT('All Transactions'!$E1289,3)</f>
        <v>Nov</v>
      </c>
      <c r="D1289" s="12" t="str">
        <f t="shared" si="41"/>
        <v>2025</v>
      </c>
      <c r="E1289" s="22" t="s">
        <v>4119</v>
      </c>
      <c r="F1289" s="23" t="s">
        <v>4128</v>
      </c>
      <c r="G1289" s="18" t="s">
        <v>28</v>
      </c>
      <c r="H1289" s="24">
        <v>281</v>
      </c>
      <c r="I1289" s="25" t="s">
        <v>4129</v>
      </c>
      <c r="J1289" s="25" t="s">
        <v>4130</v>
      </c>
      <c r="K1289" s="26" t="s">
        <v>4131</v>
      </c>
      <c r="L1289" s="25" t="s">
        <v>32</v>
      </c>
      <c r="M1289" t="str">
        <f>TEXT(A1289,"dddd")</f>
        <v>Sunday</v>
      </c>
      <c r="N1289" s="35">
        <f>DATE(Table4[[#This Row],[year]],Table4[[#This Row],[month2]],Table4[[#This Row],[day]])</f>
        <v>45990</v>
      </c>
    </row>
    <row r="1290" spans="1:14" ht="16" x14ac:dyDescent="0.35">
      <c r="A1290" t="str">
        <f t="shared" si="40"/>
        <v>29</v>
      </c>
      <c r="B1290">
        <f>_xlfn.SWITCH(Table4[[#This Row],[month]],"jan",1,"feb",2,"mar",3,"apr",4,"may",5,"jun",6,"jul",7,"aug",8,"sep",9,"oct",10,"nov",11,"dec",12,"no month")</f>
        <v>11</v>
      </c>
      <c r="C1290" s="12" t="str">
        <f>LEFT('All Transactions'!$E1290,3)</f>
        <v>Nov</v>
      </c>
      <c r="D1290" s="12" t="str">
        <f t="shared" si="41"/>
        <v>2025</v>
      </c>
      <c r="E1290" s="16" t="s">
        <v>4119</v>
      </c>
      <c r="F1290" s="17" t="s">
        <v>4132</v>
      </c>
      <c r="G1290" s="18" t="s">
        <v>28</v>
      </c>
      <c r="H1290" s="19">
        <v>100</v>
      </c>
      <c r="I1290" s="20" t="s">
        <v>4133</v>
      </c>
      <c r="J1290" s="20" t="s">
        <v>4134</v>
      </c>
      <c r="K1290" s="21" t="s">
        <v>4135</v>
      </c>
      <c r="L1290" s="20" t="s">
        <v>32</v>
      </c>
      <c r="M1290" t="str">
        <f>TEXT(A1290,"dddd")</f>
        <v>Sunday</v>
      </c>
      <c r="N1290" s="35">
        <f>DATE(Table4[[#This Row],[year]],Table4[[#This Row],[month2]],Table4[[#This Row],[day]])</f>
        <v>45990</v>
      </c>
    </row>
    <row r="1291" spans="1:14" ht="16" x14ac:dyDescent="0.35">
      <c r="A1291" t="str">
        <f t="shared" si="40"/>
        <v>29</v>
      </c>
      <c r="B1291">
        <f>_xlfn.SWITCH(Table4[[#This Row],[month]],"jan",1,"feb",2,"mar",3,"apr",4,"may",5,"jun",6,"jul",7,"aug",8,"sep",9,"oct",10,"nov",11,"dec",12,"no month")</f>
        <v>11</v>
      </c>
      <c r="C1291" s="12" t="str">
        <f>LEFT('All Transactions'!$E1291,3)</f>
        <v>Nov</v>
      </c>
      <c r="D1291" s="12" t="str">
        <f t="shared" si="41"/>
        <v>2025</v>
      </c>
      <c r="E1291" s="22" t="s">
        <v>4119</v>
      </c>
      <c r="F1291" s="23" t="s">
        <v>1947</v>
      </c>
      <c r="G1291" s="27" t="s">
        <v>54</v>
      </c>
      <c r="H1291" s="24">
        <v>200</v>
      </c>
      <c r="I1291" s="25" t="s">
        <v>2352</v>
      </c>
      <c r="J1291" s="25" t="s">
        <v>4136</v>
      </c>
      <c r="K1291" s="26" t="s">
        <v>4137</v>
      </c>
      <c r="L1291" s="25" t="s">
        <v>58</v>
      </c>
      <c r="M1291" t="str">
        <f>TEXT(A1291,"dddd")</f>
        <v>Sunday</v>
      </c>
      <c r="N1291" s="35">
        <f>DATE(Table4[[#This Row],[year]],Table4[[#This Row],[month2]],Table4[[#This Row],[day]])</f>
        <v>45990</v>
      </c>
    </row>
    <row r="1292" spans="1:14" ht="16" x14ac:dyDescent="0.35">
      <c r="A1292" t="str">
        <f t="shared" si="40"/>
        <v>28</v>
      </c>
      <c r="B1292">
        <f>_xlfn.SWITCH(Table4[[#This Row],[month]],"jan",1,"feb",2,"mar",3,"apr",4,"may",5,"jun",6,"jul",7,"aug",8,"sep",9,"oct",10,"nov",11,"dec",12,"no month")</f>
        <v>11</v>
      </c>
      <c r="C1292" s="12" t="str">
        <f>LEFT('All Transactions'!$E1292,3)</f>
        <v>Nov</v>
      </c>
      <c r="D1292" s="12" t="str">
        <f t="shared" si="41"/>
        <v>2025</v>
      </c>
      <c r="E1292" s="16" t="s">
        <v>4138</v>
      </c>
      <c r="F1292" s="17" t="s">
        <v>1794</v>
      </c>
      <c r="G1292" s="18" t="s">
        <v>28</v>
      </c>
      <c r="H1292" s="19">
        <v>50</v>
      </c>
      <c r="I1292" s="20" t="s">
        <v>4139</v>
      </c>
      <c r="J1292" s="20" t="s">
        <v>4140</v>
      </c>
      <c r="K1292" s="21" t="s">
        <v>4141</v>
      </c>
      <c r="L1292" s="20" t="s">
        <v>32</v>
      </c>
      <c r="M1292" t="str">
        <f>TEXT(A1292,"dddd")</f>
        <v>Saturday</v>
      </c>
      <c r="N1292" s="35">
        <f>DATE(Table4[[#This Row],[year]],Table4[[#This Row],[month2]],Table4[[#This Row],[day]])</f>
        <v>45989</v>
      </c>
    </row>
    <row r="1293" spans="1:14" ht="16" x14ac:dyDescent="0.35">
      <c r="A1293" t="str">
        <f t="shared" si="40"/>
        <v>28</v>
      </c>
      <c r="B1293">
        <f>_xlfn.SWITCH(Table4[[#This Row],[month]],"jan",1,"feb",2,"mar",3,"apr",4,"may",5,"jun",6,"jul",7,"aug",8,"sep",9,"oct",10,"nov",11,"dec",12,"no month")</f>
        <v>11</v>
      </c>
      <c r="C1293" s="12" t="str">
        <f>LEFT('All Transactions'!$E1293,3)</f>
        <v>Nov</v>
      </c>
      <c r="D1293" s="12" t="str">
        <f t="shared" si="41"/>
        <v>2025</v>
      </c>
      <c r="E1293" s="22" t="s">
        <v>4138</v>
      </c>
      <c r="F1293" s="23" t="s">
        <v>4115</v>
      </c>
      <c r="G1293" s="18" t="s">
        <v>28</v>
      </c>
      <c r="H1293" s="24">
        <v>9</v>
      </c>
      <c r="I1293" s="25" t="s">
        <v>4142</v>
      </c>
      <c r="J1293" s="25" t="s">
        <v>4143</v>
      </c>
      <c r="K1293" s="26" t="s">
        <v>4144</v>
      </c>
      <c r="L1293" s="25" t="s">
        <v>1808</v>
      </c>
      <c r="M1293" t="str">
        <f>TEXT(A1293,"dddd")</f>
        <v>Saturday</v>
      </c>
      <c r="N1293" s="35">
        <f>DATE(Table4[[#This Row],[year]],Table4[[#This Row],[month2]],Table4[[#This Row],[day]])</f>
        <v>45989</v>
      </c>
    </row>
    <row r="1294" spans="1:14" ht="16" x14ac:dyDescent="0.35">
      <c r="A1294" t="str">
        <f t="shared" si="40"/>
        <v>27</v>
      </c>
      <c r="B1294">
        <f>_xlfn.SWITCH(Table4[[#This Row],[month]],"jan",1,"feb",2,"mar",3,"apr",4,"may",5,"jun",6,"jul",7,"aug",8,"sep",9,"oct",10,"nov",11,"dec",12,"no month")</f>
        <v>11</v>
      </c>
      <c r="C1294" s="12" t="str">
        <f>LEFT('All Transactions'!$E1294,3)</f>
        <v>Nov</v>
      </c>
      <c r="D1294" s="12" t="str">
        <f t="shared" si="41"/>
        <v>2025</v>
      </c>
      <c r="E1294" s="16" t="s">
        <v>4145</v>
      </c>
      <c r="F1294" s="17" t="s">
        <v>932</v>
      </c>
      <c r="G1294" s="18" t="s">
        <v>28</v>
      </c>
      <c r="H1294" s="19">
        <v>45</v>
      </c>
      <c r="I1294" s="20" t="s">
        <v>4089</v>
      </c>
      <c r="J1294" s="20" t="s">
        <v>4146</v>
      </c>
      <c r="K1294" s="21" t="s">
        <v>4147</v>
      </c>
      <c r="L1294" s="20" t="s">
        <v>32</v>
      </c>
      <c r="M1294" t="str">
        <f>TEXT(A1294,"dddd")</f>
        <v>Friday</v>
      </c>
      <c r="N1294" s="35">
        <f>DATE(Table4[[#This Row],[year]],Table4[[#This Row],[month2]],Table4[[#This Row],[day]])</f>
        <v>45988</v>
      </c>
    </row>
    <row r="1295" spans="1:14" ht="16" x14ac:dyDescent="0.35">
      <c r="A1295" t="str">
        <f t="shared" si="40"/>
        <v>27</v>
      </c>
      <c r="B1295">
        <f>_xlfn.SWITCH(Table4[[#This Row],[month]],"jan",1,"feb",2,"mar",3,"apr",4,"may",5,"jun",6,"jul",7,"aug",8,"sep",9,"oct",10,"nov",11,"dec",12,"no month")</f>
        <v>11</v>
      </c>
      <c r="C1295" s="12" t="str">
        <f>LEFT('All Transactions'!$E1295,3)</f>
        <v>Nov</v>
      </c>
      <c r="D1295" s="12" t="str">
        <f t="shared" si="41"/>
        <v>2025</v>
      </c>
      <c r="E1295" s="22" t="s">
        <v>4145</v>
      </c>
      <c r="F1295" s="23" t="s">
        <v>672</v>
      </c>
      <c r="G1295" s="18" t="s">
        <v>28</v>
      </c>
      <c r="H1295" s="24">
        <v>100</v>
      </c>
      <c r="I1295" s="25" t="s">
        <v>4148</v>
      </c>
      <c r="J1295" s="25" t="s">
        <v>4149</v>
      </c>
      <c r="K1295" s="26" t="s">
        <v>4150</v>
      </c>
      <c r="L1295" s="25" t="s">
        <v>32</v>
      </c>
      <c r="M1295" t="str">
        <f>TEXT(A1295,"dddd")</f>
        <v>Friday</v>
      </c>
      <c r="N1295" s="35">
        <f>DATE(Table4[[#This Row],[year]],Table4[[#This Row],[month2]],Table4[[#This Row],[day]])</f>
        <v>45988</v>
      </c>
    </row>
    <row r="1296" spans="1:14" ht="16" x14ac:dyDescent="0.35">
      <c r="A1296" t="str">
        <f t="shared" si="40"/>
        <v>27</v>
      </c>
      <c r="B1296">
        <f>_xlfn.SWITCH(Table4[[#This Row],[month]],"jan",1,"feb",2,"mar",3,"apr",4,"may",5,"jun",6,"jul",7,"aug",8,"sep",9,"oct",10,"nov",11,"dec",12,"no month")</f>
        <v>11</v>
      </c>
      <c r="C1296" s="12" t="str">
        <f>LEFT('All Transactions'!$E1296,3)</f>
        <v>Nov</v>
      </c>
      <c r="D1296" s="12" t="str">
        <f t="shared" si="41"/>
        <v>2025</v>
      </c>
      <c r="E1296" s="16" t="s">
        <v>4145</v>
      </c>
      <c r="F1296" s="17" t="s">
        <v>4151</v>
      </c>
      <c r="G1296" s="18" t="s">
        <v>28</v>
      </c>
      <c r="H1296" s="19">
        <v>847</v>
      </c>
      <c r="I1296" s="20" t="s">
        <v>4152</v>
      </c>
      <c r="J1296" s="20" t="s">
        <v>4153</v>
      </c>
      <c r="K1296" s="21" t="s">
        <v>4154</v>
      </c>
      <c r="L1296" s="20" t="s">
        <v>32</v>
      </c>
      <c r="M1296" t="str">
        <f>TEXT(A1296,"dddd")</f>
        <v>Friday</v>
      </c>
      <c r="N1296" s="35">
        <f>DATE(Table4[[#This Row],[year]],Table4[[#This Row],[month2]],Table4[[#This Row],[day]])</f>
        <v>45988</v>
      </c>
    </row>
    <row r="1297" spans="1:14" ht="16" x14ac:dyDescent="0.35">
      <c r="A1297" t="str">
        <f t="shared" si="40"/>
        <v>27</v>
      </c>
      <c r="B1297">
        <f>_xlfn.SWITCH(Table4[[#This Row],[month]],"jan",1,"feb",2,"mar",3,"apr",4,"may",5,"jun",6,"jul",7,"aug",8,"sep",9,"oct",10,"nov",11,"dec",12,"no month")</f>
        <v>11</v>
      </c>
      <c r="C1297" s="12" t="str">
        <f>LEFT('All Transactions'!$E1297,3)</f>
        <v>Nov</v>
      </c>
      <c r="D1297" s="12" t="str">
        <f t="shared" si="41"/>
        <v>2025</v>
      </c>
      <c r="E1297" s="22" t="s">
        <v>4145</v>
      </c>
      <c r="F1297" s="23" t="s">
        <v>4151</v>
      </c>
      <c r="G1297" s="27" t="s">
        <v>54</v>
      </c>
      <c r="H1297" s="24">
        <v>1000</v>
      </c>
      <c r="I1297" s="25" t="s">
        <v>1090</v>
      </c>
      <c r="J1297" s="25" t="s">
        <v>4155</v>
      </c>
      <c r="K1297" s="26" t="s">
        <v>4156</v>
      </c>
      <c r="L1297" s="25" t="s">
        <v>58</v>
      </c>
      <c r="M1297" t="str">
        <f>TEXT(A1297,"dddd")</f>
        <v>Friday</v>
      </c>
      <c r="N1297" s="35">
        <f>DATE(Table4[[#This Row],[year]],Table4[[#This Row],[month2]],Table4[[#This Row],[day]])</f>
        <v>45988</v>
      </c>
    </row>
    <row r="1298" spans="1:14" ht="16" x14ac:dyDescent="0.35">
      <c r="A1298" t="str">
        <f t="shared" si="40"/>
        <v>27</v>
      </c>
      <c r="B1298">
        <f>_xlfn.SWITCH(Table4[[#This Row],[month]],"jan",1,"feb",2,"mar",3,"apr",4,"may",5,"jun",6,"jul",7,"aug",8,"sep",9,"oct",10,"nov",11,"dec",12,"no month")</f>
        <v>11</v>
      </c>
      <c r="C1298" s="12" t="str">
        <f>LEFT('All Transactions'!$E1298,3)</f>
        <v>Nov</v>
      </c>
      <c r="D1298" s="12" t="str">
        <f t="shared" si="41"/>
        <v>2025</v>
      </c>
      <c r="E1298" s="16" t="s">
        <v>4145</v>
      </c>
      <c r="F1298" s="17" t="s">
        <v>4157</v>
      </c>
      <c r="G1298" s="18" t="s">
        <v>28</v>
      </c>
      <c r="H1298" s="19">
        <v>12</v>
      </c>
      <c r="I1298" s="20" t="s">
        <v>4089</v>
      </c>
      <c r="J1298" s="20" t="s">
        <v>4158</v>
      </c>
      <c r="K1298" s="21" t="s">
        <v>4159</v>
      </c>
      <c r="L1298" s="20" t="s">
        <v>32</v>
      </c>
      <c r="M1298" t="str">
        <f>TEXT(A1298,"dddd")</f>
        <v>Friday</v>
      </c>
      <c r="N1298" s="35">
        <f>DATE(Table4[[#This Row],[year]],Table4[[#This Row],[month2]],Table4[[#This Row],[day]])</f>
        <v>45988</v>
      </c>
    </row>
    <row r="1299" spans="1:14" ht="16" x14ac:dyDescent="0.35">
      <c r="A1299" t="str">
        <f t="shared" si="40"/>
        <v>27</v>
      </c>
      <c r="B1299">
        <f>_xlfn.SWITCH(Table4[[#This Row],[month]],"jan",1,"feb",2,"mar",3,"apr",4,"may",5,"jun",6,"jul",7,"aug",8,"sep",9,"oct",10,"nov",11,"dec",12,"no month")</f>
        <v>11</v>
      </c>
      <c r="C1299" s="12" t="str">
        <f>LEFT('All Transactions'!$E1299,3)</f>
        <v>Nov</v>
      </c>
      <c r="D1299" s="12" t="str">
        <f t="shared" si="41"/>
        <v>2025</v>
      </c>
      <c r="E1299" s="22" t="s">
        <v>4145</v>
      </c>
      <c r="F1299" s="23" t="s">
        <v>1934</v>
      </c>
      <c r="G1299" s="18" t="s">
        <v>28</v>
      </c>
      <c r="H1299" s="24">
        <v>50</v>
      </c>
      <c r="I1299" s="25" t="s">
        <v>4160</v>
      </c>
      <c r="J1299" s="25" t="s">
        <v>4161</v>
      </c>
      <c r="K1299" s="26" t="s">
        <v>4162</v>
      </c>
      <c r="L1299" s="25" t="s">
        <v>32</v>
      </c>
      <c r="M1299" t="str">
        <f>TEXT(A1299,"dddd")</f>
        <v>Friday</v>
      </c>
      <c r="N1299" s="35">
        <f>DATE(Table4[[#This Row],[year]],Table4[[#This Row],[month2]],Table4[[#This Row],[day]])</f>
        <v>45988</v>
      </c>
    </row>
    <row r="1300" spans="1:14" ht="16" x14ac:dyDescent="0.35">
      <c r="A1300" t="str">
        <f t="shared" si="40"/>
        <v>27</v>
      </c>
      <c r="B1300">
        <f>_xlfn.SWITCH(Table4[[#This Row],[month]],"jan",1,"feb",2,"mar",3,"apr",4,"may",5,"jun",6,"jul",7,"aug",8,"sep",9,"oct",10,"nov",11,"dec",12,"no month")</f>
        <v>11</v>
      </c>
      <c r="C1300" s="12" t="str">
        <f>LEFT('All Transactions'!$E1300,3)</f>
        <v>Nov</v>
      </c>
      <c r="D1300" s="12" t="str">
        <f t="shared" si="41"/>
        <v>2025</v>
      </c>
      <c r="E1300" s="16" t="s">
        <v>4145</v>
      </c>
      <c r="F1300" s="17" t="s">
        <v>4163</v>
      </c>
      <c r="G1300" s="18" t="s">
        <v>28</v>
      </c>
      <c r="H1300" s="19">
        <v>302</v>
      </c>
      <c r="I1300" s="20" t="s">
        <v>4164</v>
      </c>
      <c r="J1300" s="20" t="s">
        <v>4165</v>
      </c>
      <c r="K1300" s="21" t="s">
        <v>4166</v>
      </c>
      <c r="L1300" s="20" t="s">
        <v>32</v>
      </c>
      <c r="M1300" t="str">
        <f>TEXT(A1300,"dddd")</f>
        <v>Friday</v>
      </c>
      <c r="N1300" s="35">
        <f>DATE(Table4[[#This Row],[year]],Table4[[#This Row],[month2]],Table4[[#This Row],[day]])</f>
        <v>45988</v>
      </c>
    </row>
    <row r="1301" spans="1:14" ht="16" x14ac:dyDescent="0.35">
      <c r="A1301" t="str">
        <f t="shared" si="40"/>
        <v>27</v>
      </c>
      <c r="B1301">
        <f>_xlfn.SWITCH(Table4[[#This Row],[month]],"jan",1,"feb",2,"mar",3,"apr",4,"may",5,"jun",6,"jul",7,"aug",8,"sep",9,"oct",10,"nov",11,"dec",12,"no month")</f>
        <v>11</v>
      </c>
      <c r="C1301" s="12" t="str">
        <f>LEFT('All Transactions'!$E1301,3)</f>
        <v>Nov</v>
      </c>
      <c r="D1301" s="12" t="str">
        <f t="shared" si="41"/>
        <v>2025</v>
      </c>
      <c r="E1301" s="22" t="s">
        <v>4145</v>
      </c>
      <c r="F1301" s="23" t="s">
        <v>470</v>
      </c>
      <c r="G1301" s="18" t="s">
        <v>28</v>
      </c>
      <c r="H1301" s="24">
        <v>5</v>
      </c>
      <c r="I1301" s="25" t="s">
        <v>4167</v>
      </c>
      <c r="J1301" s="25" t="s">
        <v>4168</v>
      </c>
      <c r="K1301" s="26" t="s">
        <v>4169</v>
      </c>
      <c r="L1301" s="25" t="s">
        <v>32</v>
      </c>
      <c r="M1301" t="str">
        <f>TEXT(A1301,"dddd")</f>
        <v>Friday</v>
      </c>
      <c r="N1301" s="35">
        <f>DATE(Table4[[#This Row],[year]],Table4[[#This Row],[month2]],Table4[[#This Row],[day]])</f>
        <v>45988</v>
      </c>
    </row>
    <row r="1302" spans="1:14" ht="16" x14ac:dyDescent="0.35">
      <c r="A1302" t="str">
        <f t="shared" si="40"/>
        <v>26</v>
      </c>
      <c r="B1302">
        <f>_xlfn.SWITCH(Table4[[#This Row],[month]],"jan",1,"feb",2,"mar",3,"apr",4,"may",5,"jun",6,"jul",7,"aug",8,"sep",9,"oct",10,"nov",11,"dec",12,"no month")</f>
        <v>11</v>
      </c>
      <c r="C1302" s="12" t="str">
        <f>LEFT('All Transactions'!$E1302,3)</f>
        <v>Nov</v>
      </c>
      <c r="D1302" s="12" t="str">
        <f t="shared" si="41"/>
        <v>2025</v>
      </c>
      <c r="E1302" s="16" t="s">
        <v>4170</v>
      </c>
      <c r="F1302" s="17" t="s">
        <v>184</v>
      </c>
      <c r="G1302" s="27" t="s">
        <v>54</v>
      </c>
      <c r="H1302" s="19">
        <v>1000</v>
      </c>
      <c r="I1302" s="20" t="s">
        <v>2352</v>
      </c>
      <c r="J1302" s="20" t="s">
        <v>4171</v>
      </c>
      <c r="K1302" s="21" t="s">
        <v>4172</v>
      </c>
      <c r="L1302" s="20" t="s">
        <v>58</v>
      </c>
      <c r="M1302" t="str">
        <f>TEXT(A1302,"dddd")</f>
        <v>Thursday</v>
      </c>
      <c r="N1302" s="35">
        <f>DATE(Table4[[#This Row],[year]],Table4[[#This Row],[month2]],Table4[[#This Row],[day]])</f>
        <v>45987</v>
      </c>
    </row>
    <row r="1303" spans="1:14" ht="16" x14ac:dyDescent="0.35">
      <c r="A1303" t="str">
        <f t="shared" si="40"/>
        <v>26</v>
      </c>
      <c r="B1303">
        <f>_xlfn.SWITCH(Table4[[#This Row],[month]],"jan",1,"feb",2,"mar",3,"apr",4,"may",5,"jun",6,"jul",7,"aug",8,"sep",9,"oct",10,"nov",11,"dec",12,"no month")</f>
        <v>11</v>
      </c>
      <c r="C1303" s="12" t="str">
        <f>LEFT('All Transactions'!$E1303,3)</f>
        <v>Nov</v>
      </c>
      <c r="D1303" s="12" t="str">
        <f t="shared" si="41"/>
        <v>2025</v>
      </c>
      <c r="E1303" s="22" t="s">
        <v>4170</v>
      </c>
      <c r="F1303" s="23" t="s">
        <v>4173</v>
      </c>
      <c r="G1303" s="18" t="s">
        <v>28</v>
      </c>
      <c r="H1303" s="24">
        <v>300</v>
      </c>
      <c r="I1303" s="25" t="s">
        <v>4174</v>
      </c>
      <c r="J1303" s="25" t="s">
        <v>4175</v>
      </c>
      <c r="K1303" s="26" t="s">
        <v>4176</v>
      </c>
      <c r="L1303" s="25" t="s">
        <v>32</v>
      </c>
      <c r="M1303" t="str">
        <f>TEXT(A1303,"dddd")</f>
        <v>Thursday</v>
      </c>
      <c r="N1303" s="35">
        <f>DATE(Table4[[#This Row],[year]],Table4[[#This Row],[month2]],Table4[[#This Row],[day]])</f>
        <v>45987</v>
      </c>
    </row>
    <row r="1304" spans="1:14" ht="16" x14ac:dyDescent="0.35">
      <c r="A1304" t="str">
        <f t="shared" si="40"/>
        <v>26</v>
      </c>
      <c r="B1304">
        <f>_xlfn.SWITCH(Table4[[#This Row],[month]],"jan",1,"feb",2,"mar",3,"apr",4,"may",5,"jun",6,"jul",7,"aug",8,"sep",9,"oct",10,"nov",11,"dec",12,"no month")</f>
        <v>11</v>
      </c>
      <c r="C1304" s="12" t="str">
        <f>LEFT('All Transactions'!$E1304,3)</f>
        <v>Nov</v>
      </c>
      <c r="D1304" s="12" t="str">
        <f t="shared" si="41"/>
        <v>2025</v>
      </c>
      <c r="E1304" s="16" t="s">
        <v>4170</v>
      </c>
      <c r="F1304" s="17" t="s">
        <v>1142</v>
      </c>
      <c r="G1304" s="18" t="s">
        <v>28</v>
      </c>
      <c r="H1304" s="19">
        <v>24</v>
      </c>
      <c r="I1304" s="20" t="s">
        <v>4177</v>
      </c>
      <c r="J1304" s="20" t="s">
        <v>4178</v>
      </c>
      <c r="K1304" s="21" t="s">
        <v>4179</v>
      </c>
      <c r="L1304" s="20" t="s">
        <v>32</v>
      </c>
      <c r="M1304" t="str">
        <f>TEXT(A1304,"dddd")</f>
        <v>Thursday</v>
      </c>
      <c r="N1304" s="35">
        <f>DATE(Table4[[#This Row],[year]],Table4[[#This Row],[month2]],Table4[[#This Row],[day]])</f>
        <v>45987</v>
      </c>
    </row>
    <row r="1305" spans="1:14" ht="16" x14ac:dyDescent="0.35">
      <c r="A1305" t="str">
        <f t="shared" si="40"/>
        <v>26</v>
      </c>
      <c r="B1305">
        <f>_xlfn.SWITCH(Table4[[#This Row],[month]],"jan",1,"feb",2,"mar",3,"apr",4,"may",5,"jun",6,"jul",7,"aug",8,"sep",9,"oct",10,"nov",11,"dec",12,"no month")</f>
        <v>11</v>
      </c>
      <c r="C1305" s="12" t="str">
        <f>LEFT('All Transactions'!$E1305,3)</f>
        <v>Nov</v>
      </c>
      <c r="D1305" s="12" t="str">
        <f t="shared" si="41"/>
        <v>2025</v>
      </c>
      <c r="E1305" s="22" t="s">
        <v>4170</v>
      </c>
      <c r="F1305" s="23" t="s">
        <v>3517</v>
      </c>
      <c r="G1305" s="18" t="s">
        <v>28</v>
      </c>
      <c r="H1305" s="24">
        <v>10</v>
      </c>
      <c r="I1305" s="25" t="s">
        <v>4180</v>
      </c>
      <c r="J1305" s="25" t="s">
        <v>4181</v>
      </c>
      <c r="K1305" s="26" t="s">
        <v>4182</v>
      </c>
      <c r="L1305" s="25" t="s">
        <v>32</v>
      </c>
      <c r="M1305" t="str">
        <f>TEXT(A1305,"dddd")</f>
        <v>Thursday</v>
      </c>
      <c r="N1305" s="35">
        <f>DATE(Table4[[#This Row],[year]],Table4[[#This Row],[month2]],Table4[[#This Row],[day]])</f>
        <v>45987</v>
      </c>
    </row>
    <row r="1306" spans="1:14" ht="16" x14ac:dyDescent="0.35">
      <c r="A1306" t="str">
        <f t="shared" si="40"/>
        <v>26</v>
      </c>
      <c r="B1306">
        <f>_xlfn.SWITCH(Table4[[#This Row],[month]],"jan",1,"feb",2,"mar",3,"apr",4,"may",5,"jun",6,"jul",7,"aug",8,"sep",9,"oct",10,"nov",11,"dec",12,"no month")</f>
        <v>11</v>
      </c>
      <c r="C1306" s="12" t="str">
        <f>LEFT('All Transactions'!$E1306,3)</f>
        <v>Nov</v>
      </c>
      <c r="D1306" s="12" t="str">
        <f t="shared" si="41"/>
        <v>2025</v>
      </c>
      <c r="E1306" s="16" t="s">
        <v>4170</v>
      </c>
      <c r="F1306" s="17" t="s">
        <v>4183</v>
      </c>
      <c r="G1306" s="27" t="s">
        <v>54</v>
      </c>
      <c r="H1306" s="19">
        <v>30</v>
      </c>
      <c r="I1306" s="20" t="s">
        <v>4105</v>
      </c>
      <c r="J1306" s="20" t="s">
        <v>4184</v>
      </c>
      <c r="K1306" s="21" t="s">
        <v>4185</v>
      </c>
      <c r="L1306" s="20" t="s">
        <v>58</v>
      </c>
      <c r="M1306" t="str">
        <f>TEXT(A1306,"dddd")</f>
        <v>Thursday</v>
      </c>
      <c r="N1306" s="35">
        <f>DATE(Table4[[#This Row],[year]],Table4[[#This Row],[month2]],Table4[[#This Row],[day]])</f>
        <v>45987</v>
      </c>
    </row>
    <row r="1307" spans="1:14" ht="16" x14ac:dyDescent="0.35">
      <c r="A1307" t="str">
        <f t="shared" si="40"/>
        <v>26</v>
      </c>
      <c r="B1307">
        <f>_xlfn.SWITCH(Table4[[#This Row],[month]],"jan",1,"feb",2,"mar",3,"apr",4,"may",5,"jun",6,"jul",7,"aug",8,"sep",9,"oct",10,"nov",11,"dec",12,"no month")</f>
        <v>11</v>
      </c>
      <c r="C1307" s="12" t="str">
        <f>LEFT('All Transactions'!$E1307,3)</f>
        <v>Nov</v>
      </c>
      <c r="D1307" s="12" t="str">
        <f t="shared" si="41"/>
        <v>2025</v>
      </c>
      <c r="E1307" s="22" t="s">
        <v>4170</v>
      </c>
      <c r="F1307" s="23" t="s">
        <v>4183</v>
      </c>
      <c r="G1307" s="18" t="s">
        <v>28</v>
      </c>
      <c r="H1307" s="24">
        <v>30</v>
      </c>
      <c r="I1307" s="25" t="s">
        <v>1665</v>
      </c>
      <c r="J1307" s="25" t="s">
        <v>4186</v>
      </c>
      <c r="K1307" s="26" t="s">
        <v>4187</v>
      </c>
      <c r="L1307" s="25" t="s">
        <v>32</v>
      </c>
      <c r="M1307" t="str">
        <f>TEXT(A1307,"dddd")</f>
        <v>Thursday</v>
      </c>
      <c r="N1307" s="35">
        <f>DATE(Table4[[#This Row],[year]],Table4[[#This Row],[month2]],Table4[[#This Row],[day]])</f>
        <v>45987</v>
      </c>
    </row>
    <row r="1308" spans="1:14" ht="16" x14ac:dyDescent="0.35">
      <c r="A1308" t="str">
        <f t="shared" si="40"/>
        <v>26</v>
      </c>
      <c r="B1308">
        <f>_xlfn.SWITCH(Table4[[#This Row],[month]],"jan",1,"feb",2,"mar",3,"apr",4,"may",5,"jun",6,"jul",7,"aug",8,"sep",9,"oct",10,"nov",11,"dec",12,"no month")</f>
        <v>11</v>
      </c>
      <c r="C1308" s="12" t="str">
        <f>LEFT('All Transactions'!$E1308,3)</f>
        <v>Nov</v>
      </c>
      <c r="D1308" s="12" t="str">
        <f t="shared" si="41"/>
        <v>2025</v>
      </c>
      <c r="E1308" s="16" t="s">
        <v>4170</v>
      </c>
      <c r="F1308" s="17" t="s">
        <v>2888</v>
      </c>
      <c r="G1308" s="18" t="s">
        <v>28</v>
      </c>
      <c r="H1308" s="19">
        <v>30</v>
      </c>
      <c r="I1308" s="20" t="s">
        <v>1525</v>
      </c>
      <c r="J1308" s="20" t="s">
        <v>4188</v>
      </c>
      <c r="K1308" s="21" t="s">
        <v>4189</v>
      </c>
      <c r="L1308" s="20" t="s">
        <v>32</v>
      </c>
      <c r="M1308" t="str">
        <f>TEXT(A1308,"dddd")</f>
        <v>Thursday</v>
      </c>
      <c r="N1308" s="35">
        <f>DATE(Table4[[#This Row],[year]],Table4[[#This Row],[month2]],Table4[[#This Row],[day]])</f>
        <v>45987</v>
      </c>
    </row>
    <row r="1309" spans="1:14" ht="16" x14ac:dyDescent="0.35">
      <c r="A1309" t="str">
        <f t="shared" si="40"/>
        <v>26</v>
      </c>
      <c r="B1309">
        <f>_xlfn.SWITCH(Table4[[#This Row],[month]],"jan",1,"feb",2,"mar",3,"apr",4,"may",5,"jun",6,"jul",7,"aug",8,"sep",9,"oct",10,"nov",11,"dec",12,"no month")</f>
        <v>11</v>
      </c>
      <c r="C1309" s="12" t="str">
        <f>LEFT('All Transactions'!$E1309,3)</f>
        <v>Nov</v>
      </c>
      <c r="D1309" s="12" t="str">
        <f t="shared" si="41"/>
        <v>2025</v>
      </c>
      <c r="E1309" s="22" t="s">
        <v>4170</v>
      </c>
      <c r="F1309" s="23" t="s">
        <v>4190</v>
      </c>
      <c r="G1309" s="18" t="s">
        <v>28</v>
      </c>
      <c r="H1309" s="24">
        <v>12</v>
      </c>
      <c r="I1309" s="25" t="s">
        <v>4177</v>
      </c>
      <c r="J1309" s="25" t="s">
        <v>4191</v>
      </c>
      <c r="K1309" s="26" t="s">
        <v>4192</v>
      </c>
      <c r="L1309" s="25" t="s">
        <v>32</v>
      </c>
      <c r="M1309" t="str">
        <f>TEXT(A1309,"dddd")</f>
        <v>Thursday</v>
      </c>
      <c r="N1309" s="35">
        <f>DATE(Table4[[#This Row],[year]],Table4[[#This Row],[month2]],Table4[[#This Row],[day]])</f>
        <v>45987</v>
      </c>
    </row>
    <row r="1310" spans="1:14" ht="16" x14ac:dyDescent="0.35">
      <c r="A1310" t="str">
        <f t="shared" si="40"/>
        <v>25</v>
      </c>
      <c r="B1310">
        <f>_xlfn.SWITCH(Table4[[#This Row],[month]],"jan",1,"feb",2,"mar",3,"apr",4,"may",5,"jun",6,"jul",7,"aug",8,"sep",9,"oct",10,"nov",11,"dec",12,"no month")</f>
        <v>11</v>
      </c>
      <c r="C1310" s="12" t="str">
        <f>LEFT('All Transactions'!$E1310,3)</f>
        <v>Nov</v>
      </c>
      <c r="D1310" s="12" t="str">
        <f t="shared" si="41"/>
        <v>2025</v>
      </c>
      <c r="E1310" s="16" t="s">
        <v>4193</v>
      </c>
      <c r="F1310" s="17" t="s">
        <v>669</v>
      </c>
      <c r="G1310" s="18" t="s">
        <v>28</v>
      </c>
      <c r="H1310" s="19">
        <v>10</v>
      </c>
      <c r="I1310" s="20" t="s">
        <v>4194</v>
      </c>
      <c r="J1310" s="20" t="s">
        <v>4195</v>
      </c>
      <c r="K1310" s="21" t="s">
        <v>4196</v>
      </c>
      <c r="L1310" s="20" t="s">
        <v>32</v>
      </c>
      <c r="M1310" t="str">
        <f>TEXT(A1310,"dddd")</f>
        <v>Wednesday</v>
      </c>
      <c r="N1310" s="35">
        <f>DATE(Table4[[#This Row],[year]],Table4[[#This Row],[month2]],Table4[[#This Row],[day]])</f>
        <v>45986</v>
      </c>
    </row>
    <row r="1311" spans="1:14" ht="16" x14ac:dyDescent="0.35">
      <c r="A1311" t="str">
        <f t="shared" si="40"/>
        <v>25</v>
      </c>
      <c r="B1311">
        <f>_xlfn.SWITCH(Table4[[#This Row],[month]],"jan",1,"feb",2,"mar",3,"apr",4,"may",5,"jun",6,"jul",7,"aug",8,"sep",9,"oct",10,"nov",11,"dec",12,"no month")</f>
        <v>11</v>
      </c>
      <c r="C1311" s="12" t="str">
        <f>LEFT('All Transactions'!$E1311,3)</f>
        <v>Nov</v>
      </c>
      <c r="D1311" s="12" t="str">
        <f t="shared" si="41"/>
        <v>2025</v>
      </c>
      <c r="E1311" s="22" t="s">
        <v>4193</v>
      </c>
      <c r="F1311" s="23" t="s">
        <v>2995</v>
      </c>
      <c r="G1311" s="18" t="s">
        <v>28</v>
      </c>
      <c r="H1311" s="24">
        <v>24</v>
      </c>
      <c r="I1311" s="25" t="s">
        <v>4177</v>
      </c>
      <c r="J1311" s="25" t="s">
        <v>4197</v>
      </c>
      <c r="K1311" s="26" t="s">
        <v>4198</v>
      </c>
      <c r="L1311" s="25" t="s">
        <v>32</v>
      </c>
      <c r="M1311" t="str">
        <f>TEXT(A1311,"dddd")</f>
        <v>Wednesday</v>
      </c>
      <c r="N1311" s="35">
        <f>DATE(Table4[[#This Row],[year]],Table4[[#This Row],[month2]],Table4[[#This Row],[day]])</f>
        <v>45986</v>
      </c>
    </row>
    <row r="1312" spans="1:14" ht="16" x14ac:dyDescent="0.35">
      <c r="A1312" t="str">
        <f t="shared" si="40"/>
        <v>25</v>
      </c>
      <c r="B1312">
        <f>_xlfn.SWITCH(Table4[[#This Row],[month]],"jan",1,"feb",2,"mar",3,"apr",4,"may",5,"jun",6,"jul",7,"aug",8,"sep",9,"oct",10,"nov",11,"dec",12,"no month")</f>
        <v>11</v>
      </c>
      <c r="C1312" s="12" t="str">
        <f>LEFT('All Transactions'!$E1312,3)</f>
        <v>Nov</v>
      </c>
      <c r="D1312" s="12" t="str">
        <f t="shared" si="41"/>
        <v>2025</v>
      </c>
      <c r="E1312" s="16" t="s">
        <v>4193</v>
      </c>
      <c r="F1312" s="17" t="s">
        <v>4199</v>
      </c>
      <c r="G1312" s="18" t="s">
        <v>28</v>
      </c>
      <c r="H1312" s="19">
        <v>2</v>
      </c>
      <c r="I1312" s="20" t="s">
        <v>4200</v>
      </c>
      <c r="J1312" s="20" t="s">
        <v>4201</v>
      </c>
      <c r="K1312" s="21" t="s">
        <v>4202</v>
      </c>
      <c r="L1312" s="20" t="s">
        <v>32</v>
      </c>
      <c r="M1312" t="str">
        <f>TEXT(A1312,"dddd")</f>
        <v>Wednesday</v>
      </c>
      <c r="N1312" s="35">
        <f>DATE(Table4[[#This Row],[year]],Table4[[#This Row],[month2]],Table4[[#This Row],[day]])</f>
        <v>45986</v>
      </c>
    </row>
    <row r="1313" spans="1:14" ht="16" x14ac:dyDescent="0.35">
      <c r="A1313" t="str">
        <f t="shared" si="40"/>
        <v>25</v>
      </c>
      <c r="B1313">
        <f>_xlfn.SWITCH(Table4[[#This Row],[month]],"jan",1,"feb",2,"mar",3,"apr",4,"may",5,"jun",6,"jul",7,"aug",8,"sep",9,"oct",10,"nov",11,"dec",12,"no month")</f>
        <v>11</v>
      </c>
      <c r="C1313" s="12" t="str">
        <f>LEFT('All Transactions'!$E1313,3)</f>
        <v>Nov</v>
      </c>
      <c r="D1313" s="12" t="str">
        <f t="shared" si="41"/>
        <v>2025</v>
      </c>
      <c r="E1313" s="22" t="s">
        <v>4193</v>
      </c>
      <c r="F1313" s="23" t="s">
        <v>2313</v>
      </c>
      <c r="G1313" s="18" t="s">
        <v>28</v>
      </c>
      <c r="H1313" s="24">
        <v>30</v>
      </c>
      <c r="I1313" s="25" t="s">
        <v>4200</v>
      </c>
      <c r="J1313" s="25" t="s">
        <v>4203</v>
      </c>
      <c r="K1313" s="26" t="s">
        <v>4204</v>
      </c>
      <c r="L1313" s="25" t="s">
        <v>32</v>
      </c>
      <c r="M1313" t="str">
        <f>TEXT(A1313,"dddd")</f>
        <v>Wednesday</v>
      </c>
      <c r="N1313" s="35">
        <f>DATE(Table4[[#This Row],[year]],Table4[[#This Row],[month2]],Table4[[#This Row],[day]])</f>
        <v>45986</v>
      </c>
    </row>
    <row r="1314" spans="1:14" ht="16" x14ac:dyDescent="0.35">
      <c r="A1314" t="str">
        <f t="shared" si="40"/>
        <v>24</v>
      </c>
      <c r="B1314">
        <f>_xlfn.SWITCH(Table4[[#This Row],[month]],"jan",1,"feb",2,"mar",3,"apr",4,"may",5,"jun",6,"jul",7,"aug",8,"sep",9,"oct",10,"nov",11,"dec",12,"no month")</f>
        <v>11</v>
      </c>
      <c r="C1314" s="12" t="str">
        <f>LEFT('All Transactions'!$E1314,3)</f>
        <v>Nov</v>
      </c>
      <c r="D1314" s="12" t="str">
        <f t="shared" si="41"/>
        <v>2025</v>
      </c>
      <c r="E1314" s="16" t="s">
        <v>4205</v>
      </c>
      <c r="F1314" s="17" t="s">
        <v>869</v>
      </c>
      <c r="G1314" s="18" t="s">
        <v>28</v>
      </c>
      <c r="H1314" s="19">
        <v>12</v>
      </c>
      <c r="I1314" s="20" t="s">
        <v>4177</v>
      </c>
      <c r="J1314" s="20" t="s">
        <v>4206</v>
      </c>
      <c r="K1314" s="21" t="s">
        <v>4207</v>
      </c>
      <c r="L1314" s="20" t="s">
        <v>32</v>
      </c>
      <c r="M1314" t="str">
        <f>TEXT(A1314,"dddd")</f>
        <v>Tuesday</v>
      </c>
      <c r="N1314" s="35">
        <f>DATE(Table4[[#This Row],[year]],Table4[[#This Row],[month2]],Table4[[#This Row],[day]])</f>
        <v>45985</v>
      </c>
    </row>
    <row r="1315" spans="1:14" ht="16" x14ac:dyDescent="0.35">
      <c r="A1315" t="str">
        <f t="shared" si="40"/>
        <v>24</v>
      </c>
      <c r="B1315">
        <f>_xlfn.SWITCH(Table4[[#This Row],[month]],"jan",1,"feb",2,"mar",3,"apr",4,"may",5,"jun",6,"jul",7,"aug",8,"sep",9,"oct",10,"nov",11,"dec",12,"no month")</f>
        <v>11</v>
      </c>
      <c r="C1315" s="12" t="str">
        <f>LEFT('All Transactions'!$E1315,3)</f>
        <v>Nov</v>
      </c>
      <c r="D1315" s="12" t="str">
        <f t="shared" si="41"/>
        <v>2025</v>
      </c>
      <c r="E1315" s="22" t="s">
        <v>4205</v>
      </c>
      <c r="F1315" s="23" t="s">
        <v>427</v>
      </c>
      <c r="G1315" s="18" t="s">
        <v>28</v>
      </c>
      <c r="H1315" s="24">
        <v>30</v>
      </c>
      <c r="I1315" s="25" t="s">
        <v>3424</v>
      </c>
      <c r="J1315" s="25" t="s">
        <v>4208</v>
      </c>
      <c r="K1315" s="26" t="s">
        <v>4209</v>
      </c>
      <c r="L1315" s="25" t="s">
        <v>32</v>
      </c>
      <c r="M1315" t="str">
        <f>TEXT(A1315,"dddd")</f>
        <v>Tuesday</v>
      </c>
      <c r="N1315" s="35">
        <f>DATE(Table4[[#This Row],[year]],Table4[[#This Row],[month2]],Table4[[#This Row],[day]])</f>
        <v>45985</v>
      </c>
    </row>
    <row r="1316" spans="1:14" ht="16" x14ac:dyDescent="0.35">
      <c r="A1316" t="str">
        <f t="shared" si="40"/>
        <v>24</v>
      </c>
      <c r="B1316">
        <f>_xlfn.SWITCH(Table4[[#This Row],[month]],"jan",1,"feb",2,"mar",3,"apr",4,"may",5,"jun",6,"jul",7,"aug",8,"sep",9,"oct",10,"nov",11,"dec",12,"no month")</f>
        <v>11</v>
      </c>
      <c r="C1316" s="12" t="str">
        <f>LEFT('All Transactions'!$E1316,3)</f>
        <v>Nov</v>
      </c>
      <c r="D1316" s="12" t="str">
        <f t="shared" si="41"/>
        <v>2025</v>
      </c>
      <c r="E1316" s="16" t="s">
        <v>4205</v>
      </c>
      <c r="F1316" s="17" t="s">
        <v>3061</v>
      </c>
      <c r="G1316" s="18" t="s">
        <v>28</v>
      </c>
      <c r="H1316" s="19">
        <v>12</v>
      </c>
      <c r="I1316" s="20" t="s">
        <v>4177</v>
      </c>
      <c r="J1316" s="20" t="s">
        <v>4210</v>
      </c>
      <c r="K1316" s="21" t="s">
        <v>4211</v>
      </c>
      <c r="L1316" s="20" t="s">
        <v>32</v>
      </c>
      <c r="M1316" t="str">
        <f>TEXT(A1316,"dddd")</f>
        <v>Tuesday</v>
      </c>
      <c r="N1316" s="35">
        <f>DATE(Table4[[#This Row],[year]],Table4[[#This Row],[month2]],Table4[[#This Row],[day]])</f>
        <v>45985</v>
      </c>
    </row>
    <row r="1317" spans="1:14" ht="16" x14ac:dyDescent="0.35">
      <c r="A1317" t="str">
        <f t="shared" si="40"/>
        <v>23</v>
      </c>
      <c r="B1317">
        <f>_xlfn.SWITCH(Table4[[#This Row],[month]],"jan",1,"feb",2,"mar",3,"apr",4,"may",5,"jun",6,"jul",7,"aug",8,"sep",9,"oct",10,"nov",11,"dec",12,"no month")</f>
        <v>11</v>
      </c>
      <c r="C1317" s="12" t="str">
        <f>LEFT('All Transactions'!$E1317,3)</f>
        <v>Nov</v>
      </c>
      <c r="D1317" s="12" t="str">
        <f t="shared" si="41"/>
        <v>2025</v>
      </c>
      <c r="E1317" s="22" t="s">
        <v>4212</v>
      </c>
      <c r="F1317" s="23" t="s">
        <v>59</v>
      </c>
      <c r="G1317" s="18" t="s">
        <v>28</v>
      </c>
      <c r="H1317" s="24">
        <v>370</v>
      </c>
      <c r="I1317" s="25" t="s">
        <v>4213</v>
      </c>
      <c r="J1317" s="25" t="s">
        <v>4214</v>
      </c>
      <c r="K1317" s="26" t="s">
        <v>4215</v>
      </c>
      <c r="L1317" s="25" t="s">
        <v>32</v>
      </c>
      <c r="M1317" t="str">
        <f>TEXT(A1317,"dddd")</f>
        <v>Monday</v>
      </c>
      <c r="N1317" s="35">
        <f>DATE(Table4[[#This Row],[year]],Table4[[#This Row],[month2]],Table4[[#This Row],[day]])</f>
        <v>45984</v>
      </c>
    </row>
    <row r="1318" spans="1:14" ht="16" x14ac:dyDescent="0.35">
      <c r="A1318" t="str">
        <f t="shared" si="40"/>
        <v>23</v>
      </c>
      <c r="B1318">
        <f>_xlfn.SWITCH(Table4[[#This Row],[month]],"jan",1,"feb",2,"mar",3,"apr",4,"may",5,"jun",6,"jul",7,"aug",8,"sep",9,"oct",10,"nov",11,"dec",12,"no month")</f>
        <v>11</v>
      </c>
      <c r="C1318" s="12" t="str">
        <f>LEFT('All Transactions'!$E1318,3)</f>
        <v>Nov</v>
      </c>
      <c r="D1318" s="12" t="str">
        <f t="shared" si="41"/>
        <v>2025</v>
      </c>
      <c r="E1318" s="16" t="s">
        <v>4212</v>
      </c>
      <c r="F1318" s="17" t="s">
        <v>669</v>
      </c>
      <c r="G1318" s="27" t="s">
        <v>54</v>
      </c>
      <c r="H1318" s="19">
        <v>230</v>
      </c>
      <c r="I1318" s="20" t="s">
        <v>4216</v>
      </c>
      <c r="J1318" s="20" t="s">
        <v>4217</v>
      </c>
      <c r="K1318" s="21" t="s">
        <v>4218</v>
      </c>
      <c r="L1318" s="20" t="s">
        <v>58</v>
      </c>
      <c r="M1318" t="str">
        <f>TEXT(A1318,"dddd")</f>
        <v>Monday</v>
      </c>
      <c r="N1318" s="35">
        <f>DATE(Table4[[#This Row],[year]],Table4[[#This Row],[month2]],Table4[[#This Row],[day]])</f>
        <v>45984</v>
      </c>
    </row>
    <row r="1319" spans="1:14" ht="16" x14ac:dyDescent="0.35">
      <c r="A1319" t="str">
        <f t="shared" si="40"/>
        <v>23</v>
      </c>
      <c r="B1319">
        <f>_xlfn.SWITCH(Table4[[#This Row],[month]],"jan",1,"feb",2,"mar",3,"apr",4,"may",5,"jun",6,"jul",7,"aug",8,"sep",9,"oct",10,"nov",11,"dec",12,"no month")</f>
        <v>11</v>
      </c>
      <c r="C1319" s="12" t="str">
        <f>LEFT('All Transactions'!$E1319,3)</f>
        <v>Nov</v>
      </c>
      <c r="D1319" s="12" t="str">
        <f t="shared" si="41"/>
        <v>2025</v>
      </c>
      <c r="E1319" s="22" t="s">
        <v>4212</v>
      </c>
      <c r="F1319" s="23" t="s">
        <v>1161</v>
      </c>
      <c r="G1319" s="18" t="s">
        <v>28</v>
      </c>
      <c r="H1319" s="24">
        <v>70</v>
      </c>
      <c r="I1319" s="25" t="s">
        <v>1665</v>
      </c>
      <c r="J1319" s="25" t="s">
        <v>4219</v>
      </c>
      <c r="K1319" s="26" t="s">
        <v>4220</v>
      </c>
      <c r="L1319" s="25" t="s">
        <v>32</v>
      </c>
      <c r="M1319" t="str">
        <f>TEXT(A1319,"dddd")</f>
        <v>Monday</v>
      </c>
      <c r="N1319" s="35">
        <f>DATE(Table4[[#This Row],[year]],Table4[[#This Row],[month2]],Table4[[#This Row],[day]])</f>
        <v>45984</v>
      </c>
    </row>
    <row r="1320" spans="1:14" ht="16" x14ac:dyDescent="0.35">
      <c r="A1320" t="str">
        <f t="shared" si="40"/>
        <v>23</v>
      </c>
      <c r="B1320">
        <f>_xlfn.SWITCH(Table4[[#This Row],[month]],"jan",1,"feb",2,"mar",3,"apr",4,"may",5,"jun",6,"jul",7,"aug",8,"sep",9,"oct",10,"nov",11,"dec",12,"no month")</f>
        <v>11</v>
      </c>
      <c r="C1320" s="12" t="str">
        <f>LEFT('All Transactions'!$E1320,3)</f>
        <v>Nov</v>
      </c>
      <c r="D1320" s="12" t="str">
        <f t="shared" si="41"/>
        <v>2025</v>
      </c>
      <c r="E1320" s="16" t="s">
        <v>4212</v>
      </c>
      <c r="F1320" s="17" t="s">
        <v>4221</v>
      </c>
      <c r="G1320" s="18" t="s">
        <v>28</v>
      </c>
      <c r="H1320" s="19">
        <v>24</v>
      </c>
      <c r="I1320" s="20" t="s">
        <v>4177</v>
      </c>
      <c r="J1320" s="20" t="s">
        <v>4222</v>
      </c>
      <c r="K1320" s="21" t="s">
        <v>4223</v>
      </c>
      <c r="L1320" s="20" t="s">
        <v>32</v>
      </c>
      <c r="M1320" t="str">
        <f>TEXT(A1320,"dddd")</f>
        <v>Monday</v>
      </c>
      <c r="N1320" s="35">
        <f>DATE(Table4[[#This Row],[year]],Table4[[#This Row],[month2]],Table4[[#This Row],[day]])</f>
        <v>45984</v>
      </c>
    </row>
    <row r="1321" spans="1:14" ht="16" x14ac:dyDescent="0.35">
      <c r="A1321" t="str">
        <f t="shared" si="40"/>
        <v>23</v>
      </c>
      <c r="B1321">
        <f>_xlfn.SWITCH(Table4[[#This Row],[month]],"jan",1,"feb",2,"mar",3,"apr",4,"may",5,"jun",6,"jul",7,"aug",8,"sep",9,"oct",10,"nov",11,"dec",12,"no month")</f>
        <v>11</v>
      </c>
      <c r="C1321" s="12" t="str">
        <f>LEFT('All Transactions'!$E1321,3)</f>
        <v>Nov</v>
      </c>
      <c r="D1321" s="12" t="str">
        <f t="shared" si="41"/>
        <v>2025</v>
      </c>
      <c r="E1321" s="22" t="s">
        <v>4212</v>
      </c>
      <c r="F1321" s="23" t="s">
        <v>3927</v>
      </c>
      <c r="G1321" s="18" t="s">
        <v>28</v>
      </c>
      <c r="H1321" s="24">
        <v>20</v>
      </c>
      <c r="I1321" s="25" t="s">
        <v>4224</v>
      </c>
      <c r="J1321" s="25" t="s">
        <v>4225</v>
      </c>
      <c r="K1321" s="26" t="s">
        <v>4226</v>
      </c>
      <c r="L1321" s="25" t="s">
        <v>32</v>
      </c>
      <c r="M1321" t="str">
        <f>TEXT(A1321,"dddd")</f>
        <v>Monday</v>
      </c>
      <c r="N1321" s="35">
        <f>DATE(Table4[[#This Row],[year]],Table4[[#This Row],[month2]],Table4[[#This Row],[day]])</f>
        <v>45984</v>
      </c>
    </row>
    <row r="1322" spans="1:14" ht="16" x14ac:dyDescent="0.35">
      <c r="A1322" t="str">
        <f t="shared" si="40"/>
        <v>23</v>
      </c>
      <c r="B1322">
        <f>_xlfn.SWITCH(Table4[[#This Row],[month]],"jan",1,"feb",2,"mar",3,"apr",4,"may",5,"jun",6,"jul",7,"aug",8,"sep",9,"oct",10,"nov",11,"dec",12,"no month")</f>
        <v>11</v>
      </c>
      <c r="C1322" s="12" t="str">
        <f>LEFT('All Transactions'!$E1322,3)</f>
        <v>Nov</v>
      </c>
      <c r="D1322" s="12" t="str">
        <f t="shared" si="41"/>
        <v>2025</v>
      </c>
      <c r="E1322" s="16" t="s">
        <v>4212</v>
      </c>
      <c r="F1322" s="17" t="s">
        <v>3474</v>
      </c>
      <c r="G1322" s="18" t="s">
        <v>28</v>
      </c>
      <c r="H1322" s="19">
        <v>200</v>
      </c>
      <c r="I1322" s="20" t="s">
        <v>4227</v>
      </c>
      <c r="J1322" s="20" t="s">
        <v>4228</v>
      </c>
      <c r="K1322" s="21" t="s">
        <v>4229</v>
      </c>
      <c r="L1322" s="20" t="s">
        <v>32</v>
      </c>
      <c r="M1322" t="str">
        <f>TEXT(A1322,"dddd")</f>
        <v>Monday</v>
      </c>
      <c r="N1322" s="35">
        <f>DATE(Table4[[#This Row],[year]],Table4[[#This Row],[month2]],Table4[[#This Row],[day]])</f>
        <v>45984</v>
      </c>
    </row>
    <row r="1323" spans="1:14" ht="16" x14ac:dyDescent="0.35">
      <c r="A1323" t="str">
        <f t="shared" si="40"/>
        <v>23</v>
      </c>
      <c r="B1323">
        <f>_xlfn.SWITCH(Table4[[#This Row],[month]],"jan",1,"feb",2,"mar",3,"apr",4,"may",5,"jun",6,"jul",7,"aug",8,"sep",9,"oct",10,"nov",11,"dec",12,"no month")</f>
        <v>11</v>
      </c>
      <c r="C1323" s="12" t="str">
        <f>LEFT('All Transactions'!$E1323,3)</f>
        <v>Nov</v>
      </c>
      <c r="D1323" s="12" t="str">
        <f t="shared" si="41"/>
        <v>2025</v>
      </c>
      <c r="E1323" s="22" t="s">
        <v>4212</v>
      </c>
      <c r="F1323" s="23" t="s">
        <v>3164</v>
      </c>
      <c r="G1323" s="27" t="s">
        <v>54</v>
      </c>
      <c r="H1323" s="24">
        <v>100</v>
      </c>
      <c r="I1323" s="25" t="s">
        <v>947</v>
      </c>
      <c r="J1323" s="25" t="s">
        <v>4230</v>
      </c>
      <c r="K1323" s="26" t="s">
        <v>4231</v>
      </c>
      <c r="L1323" s="25" t="s">
        <v>58</v>
      </c>
      <c r="M1323" t="str">
        <f>TEXT(A1323,"dddd")</f>
        <v>Monday</v>
      </c>
      <c r="N1323" s="35">
        <f>DATE(Table4[[#This Row],[year]],Table4[[#This Row],[month2]],Table4[[#This Row],[day]])</f>
        <v>45984</v>
      </c>
    </row>
    <row r="1324" spans="1:14" ht="16" x14ac:dyDescent="0.35">
      <c r="A1324" t="str">
        <f t="shared" si="40"/>
        <v>23</v>
      </c>
      <c r="B1324">
        <f>_xlfn.SWITCH(Table4[[#This Row],[month]],"jan",1,"feb",2,"mar",3,"apr",4,"may",5,"jun",6,"jul",7,"aug",8,"sep",9,"oct",10,"nov",11,"dec",12,"no month")</f>
        <v>11</v>
      </c>
      <c r="C1324" s="12" t="str">
        <f>LEFT('All Transactions'!$E1324,3)</f>
        <v>Nov</v>
      </c>
      <c r="D1324" s="12" t="str">
        <f t="shared" si="41"/>
        <v>2025</v>
      </c>
      <c r="E1324" s="16" t="s">
        <v>4212</v>
      </c>
      <c r="F1324" s="17" t="s">
        <v>4232</v>
      </c>
      <c r="G1324" s="18" t="s">
        <v>28</v>
      </c>
      <c r="H1324" s="19">
        <v>12</v>
      </c>
      <c r="I1324" s="20" t="s">
        <v>4177</v>
      </c>
      <c r="J1324" s="20" t="s">
        <v>4233</v>
      </c>
      <c r="K1324" s="21" t="s">
        <v>4234</v>
      </c>
      <c r="L1324" s="20" t="s">
        <v>32</v>
      </c>
      <c r="M1324" t="str">
        <f>TEXT(A1324,"dddd")</f>
        <v>Monday</v>
      </c>
      <c r="N1324" s="35">
        <f>DATE(Table4[[#This Row],[year]],Table4[[#This Row],[month2]],Table4[[#This Row],[day]])</f>
        <v>45984</v>
      </c>
    </row>
    <row r="1325" spans="1:14" ht="16" x14ac:dyDescent="0.35">
      <c r="A1325" t="str">
        <f t="shared" si="40"/>
        <v>22</v>
      </c>
      <c r="B1325">
        <f>_xlfn.SWITCH(Table4[[#This Row],[month]],"jan",1,"feb",2,"mar",3,"apr",4,"may",5,"jun",6,"jul",7,"aug",8,"sep",9,"oct",10,"nov",11,"dec",12,"no month")</f>
        <v>11</v>
      </c>
      <c r="C1325" s="12" t="str">
        <f>LEFT('All Transactions'!$E1325,3)</f>
        <v>Nov</v>
      </c>
      <c r="D1325" s="12" t="str">
        <f t="shared" si="41"/>
        <v>2025</v>
      </c>
      <c r="E1325" s="22" t="s">
        <v>4235</v>
      </c>
      <c r="F1325" s="23" t="s">
        <v>2952</v>
      </c>
      <c r="G1325" s="18" t="s">
        <v>28</v>
      </c>
      <c r="H1325" s="24">
        <v>210</v>
      </c>
      <c r="I1325" s="25" t="s">
        <v>4236</v>
      </c>
      <c r="J1325" s="25" t="s">
        <v>4237</v>
      </c>
      <c r="K1325" s="26" t="s">
        <v>4238</v>
      </c>
      <c r="L1325" s="25" t="s">
        <v>32</v>
      </c>
      <c r="M1325" t="str">
        <f>TEXT(A1325,"dddd")</f>
        <v>Sunday</v>
      </c>
      <c r="N1325" s="35">
        <f>DATE(Table4[[#This Row],[year]],Table4[[#This Row],[month2]],Table4[[#This Row],[day]])</f>
        <v>45983</v>
      </c>
    </row>
    <row r="1326" spans="1:14" ht="16" x14ac:dyDescent="0.35">
      <c r="A1326" t="str">
        <f t="shared" si="40"/>
        <v>22</v>
      </c>
      <c r="B1326">
        <f>_xlfn.SWITCH(Table4[[#This Row],[month]],"jan",1,"feb",2,"mar",3,"apr",4,"may",5,"jun",6,"jul",7,"aug",8,"sep",9,"oct",10,"nov",11,"dec",12,"no month")</f>
        <v>11</v>
      </c>
      <c r="C1326" s="12" t="str">
        <f>LEFT('All Transactions'!$E1326,3)</f>
        <v>Nov</v>
      </c>
      <c r="D1326" s="12" t="str">
        <f t="shared" si="41"/>
        <v>2025</v>
      </c>
      <c r="E1326" s="16" t="s">
        <v>4235</v>
      </c>
      <c r="F1326" s="17" t="s">
        <v>577</v>
      </c>
      <c r="G1326" s="27" t="s">
        <v>54</v>
      </c>
      <c r="H1326" s="19">
        <v>150</v>
      </c>
      <c r="I1326" s="20" t="s">
        <v>1775</v>
      </c>
      <c r="J1326" s="20" t="s">
        <v>4239</v>
      </c>
      <c r="K1326" s="21" t="s">
        <v>4240</v>
      </c>
      <c r="L1326" s="20" t="s">
        <v>58</v>
      </c>
      <c r="M1326" t="str">
        <f>TEXT(A1326,"dddd")</f>
        <v>Sunday</v>
      </c>
      <c r="N1326" s="35">
        <f>DATE(Table4[[#This Row],[year]],Table4[[#This Row],[month2]],Table4[[#This Row],[day]])</f>
        <v>45983</v>
      </c>
    </row>
    <row r="1327" spans="1:14" ht="16" x14ac:dyDescent="0.35">
      <c r="A1327" t="str">
        <f t="shared" si="40"/>
        <v>22</v>
      </c>
      <c r="B1327">
        <f>_xlfn.SWITCH(Table4[[#This Row],[month]],"jan",1,"feb",2,"mar",3,"apr",4,"may",5,"jun",6,"jul",7,"aug",8,"sep",9,"oct",10,"nov",11,"dec",12,"no month")</f>
        <v>11</v>
      </c>
      <c r="C1327" s="12" t="str">
        <f>LEFT('All Transactions'!$E1327,3)</f>
        <v>Nov</v>
      </c>
      <c r="D1327" s="12" t="str">
        <f t="shared" si="41"/>
        <v>2025</v>
      </c>
      <c r="E1327" s="22" t="s">
        <v>4235</v>
      </c>
      <c r="F1327" s="23" t="s">
        <v>851</v>
      </c>
      <c r="G1327" s="18" t="s">
        <v>28</v>
      </c>
      <c r="H1327" s="24">
        <v>107.46</v>
      </c>
      <c r="I1327" s="25" t="s">
        <v>4241</v>
      </c>
      <c r="J1327" s="25" t="s">
        <v>4242</v>
      </c>
      <c r="K1327" s="26" t="s">
        <v>4243</v>
      </c>
      <c r="L1327" s="25" t="s">
        <v>32</v>
      </c>
      <c r="M1327" t="str">
        <f>TEXT(A1327,"dddd")</f>
        <v>Sunday</v>
      </c>
      <c r="N1327" s="35">
        <f>DATE(Table4[[#This Row],[year]],Table4[[#This Row],[month2]],Table4[[#This Row],[day]])</f>
        <v>45983</v>
      </c>
    </row>
    <row r="1328" spans="1:14" ht="16" x14ac:dyDescent="0.35">
      <c r="A1328" t="str">
        <f t="shared" si="40"/>
        <v>22</v>
      </c>
      <c r="B1328">
        <f>_xlfn.SWITCH(Table4[[#This Row],[month]],"jan",1,"feb",2,"mar",3,"apr",4,"may",5,"jun",6,"jul",7,"aug",8,"sep",9,"oct",10,"nov",11,"dec",12,"no month")</f>
        <v>11</v>
      </c>
      <c r="C1328" s="12" t="str">
        <f>LEFT('All Transactions'!$E1328,3)</f>
        <v>Nov</v>
      </c>
      <c r="D1328" s="12" t="str">
        <f t="shared" si="41"/>
        <v>2025</v>
      </c>
      <c r="E1328" s="16" t="s">
        <v>4235</v>
      </c>
      <c r="F1328" s="17" t="s">
        <v>441</v>
      </c>
      <c r="G1328" s="18" t="s">
        <v>28</v>
      </c>
      <c r="H1328" s="19">
        <v>180</v>
      </c>
      <c r="I1328" s="20" t="s">
        <v>4244</v>
      </c>
      <c r="J1328" s="20" t="s">
        <v>4245</v>
      </c>
      <c r="K1328" s="21" t="s">
        <v>4246</v>
      </c>
      <c r="L1328" s="20" t="s">
        <v>32</v>
      </c>
      <c r="M1328" t="str">
        <f>TEXT(A1328,"dddd")</f>
        <v>Sunday</v>
      </c>
      <c r="N1328" s="35">
        <f>DATE(Table4[[#This Row],[year]],Table4[[#This Row],[month2]],Table4[[#This Row],[day]])</f>
        <v>45983</v>
      </c>
    </row>
    <row r="1329" spans="1:14" ht="16" x14ac:dyDescent="0.35">
      <c r="A1329" t="str">
        <f t="shared" si="40"/>
        <v>22</v>
      </c>
      <c r="B1329">
        <f>_xlfn.SWITCH(Table4[[#This Row],[month]],"jan",1,"feb",2,"mar",3,"apr",4,"may",5,"jun",6,"jul",7,"aug",8,"sep",9,"oct",10,"nov",11,"dec",12,"no month")</f>
        <v>11</v>
      </c>
      <c r="C1329" s="12" t="str">
        <f>LEFT('All Transactions'!$E1329,3)</f>
        <v>Nov</v>
      </c>
      <c r="D1329" s="12" t="str">
        <f t="shared" si="41"/>
        <v>2025</v>
      </c>
      <c r="E1329" s="22" t="s">
        <v>4235</v>
      </c>
      <c r="F1329" s="23" t="s">
        <v>1759</v>
      </c>
      <c r="G1329" s="27" t="s">
        <v>54</v>
      </c>
      <c r="H1329" s="24">
        <v>200</v>
      </c>
      <c r="I1329" s="25" t="s">
        <v>156</v>
      </c>
      <c r="J1329" s="25" t="s">
        <v>4247</v>
      </c>
      <c r="K1329" s="26" t="s">
        <v>4248</v>
      </c>
      <c r="L1329" s="25" t="s">
        <v>58</v>
      </c>
      <c r="M1329" t="str">
        <f>TEXT(A1329,"dddd")</f>
        <v>Sunday</v>
      </c>
      <c r="N1329" s="35">
        <f>DATE(Table4[[#This Row],[year]],Table4[[#This Row],[month2]],Table4[[#This Row],[day]])</f>
        <v>45983</v>
      </c>
    </row>
    <row r="1330" spans="1:14" ht="16" x14ac:dyDescent="0.35">
      <c r="A1330" t="str">
        <f t="shared" si="40"/>
        <v>21</v>
      </c>
      <c r="B1330">
        <f>_xlfn.SWITCH(Table4[[#This Row],[month]],"jan",1,"feb",2,"mar",3,"apr",4,"may",5,"jun",6,"jul",7,"aug",8,"sep",9,"oct",10,"nov",11,"dec",12,"no month")</f>
        <v>11</v>
      </c>
      <c r="C1330" s="12" t="str">
        <f>LEFT('All Transactions'!$E1330,3)</f>
        <v>Nov</v>
      </c>
      <c r="D1330" s="12" t="str">
        <f t="shared" si="41"/>
        <v>2025</v>
      </c>
      <c r="E1330" s="16" t="s">
        <v>4249</v>
      </c>
      <c r="F1330" s="17" t="s">
        <v>2295</v>
      </c>
      <c r="G1330" s="18" t="s">
        <v>28</v>
      </c>
      <c r="H1330" s="19">
        <v>4</v>
      </c>
      <c r="I1330" s="20" t="s">
        <v>1646</v>
      </c>
      <c r="J1330" s="20" t="s">
        <v>4250</v>
      </c>
      <c r="K1330" s="21" t="s">
        <v>4251</v>
      </c>
      <c r="L1330" s="20" t="s">
        <v>32</v>
      </c>
      <c r="M1330" t="str">
        <f>TEXT(A1330,"dddd")</f>
        <v>Saturday</v>
      </c>
      <c r="N1330" s="35">
        <f>DATE(Table4[[#This Row],[year]],Table4[[#This Row],[month2]],Table4[[#This Row],[day]])</f>
        <v>45982</v>
      </c>
    </row>
    <row r="1331" spans="1:14" ht="16" x14ac:dyDescent="0.35">
      <c r="A1331" t="str">
        <f t="shared" si="40"/>
        <v>21</v>
      </c>
      <c r="B1331">
        <f>_xlfn.SWITCH(Table4[[#This Row],[month]],"jan",1,"feb",2,"mar",3,"apr",4,"may",5,"jun",6,"jul",7,"aug",8,"sep",9,"oct",10,"nov",11,"dec",12,"no month")</f>
        <v>11</v>
      </c>
      <c r="C1331" s="12" t="str">
        <f>LEFT('All Transactions'!$E1331,3)</f>
        <v>Nov</v>
      </c>
      <c r="D1331" s="12" t="str">
        <f t="shared" si="41"/>
        <v>2025</v>
      </c>
      <c r="E1331" s="22" t="s">
        <v>4249</v>
      </c>
      <c r="F1331" s="23" t="s">
        <v>597</v>
      </c>
      <c r="G1331" s="18" t="s">
        <v>28</v>
      </c>
      <c r="H1331" s="24">
        <v>20</v>
      </c>
      <c r="I1331" s="25" t="s">
        <v>3424</v>
      </c>
      <c r="J1331" s="25" t="s">
        <v>4252</v>
      </c>
      <c r="K1331" s="26" t="s">
        <v>4253</v>
      </c>
      <c r="L1331" s="25" t="s">
        <v>32</v>
      </c>
      <c r="M1331" t="str">
        <f>TEXT(A1331,"dddd")</f>
        <v>Saturday</v>
      </c>
      <c r="N1331" s="35">
        <f>DATE(Table4[[#This Row],[year]],Table4[[#This Row],[month2]],Table4[[#This Row],[day]])</f>
        <v>45982</v>
      </c>
    </row>
    <row r="1332" spans="1:14" ht="16" x14ac:dyDescent="0.35">
      <c r="A1332" t="str">
        <f t="shared" si="40"/>
        <v>21</v>
      </c>
      <c r="B1332">
        <f>_xlfn.SWITCH(Table4[[#This Row],[month]],"jan",1,"feb",2,"mar",3,"apr",4,"may",5,"jun",6,"jul",7,"aug",8,"sep",9,"oct",10,"nov",11,"dec",12,"no month")</f>
        <v>11</v>
      </c>
      <c r="C1332" s="12" t="str">
        <f>LEFT('All Transactions'!$E1332,3)</f>
        <v>Nov</v>
      </c>
      <c r="D1332" s="12" t="str">
        <f t="shared" si="41"/>
        <v>2025</v>
      </c>
      <c r="E1332" s="16" t="s">
        <v>4249</v>
      </c>
      <c r="F1332" s="17" t="s">
        <v>2073</v>
      </c>
      <c r="G1332" s="18" t="s">
        <v>28</v>
      </c>
      <c r="H1332" s="19">
        <v>24</v>
      </c>
      <c r="I1332" s="20" t="s">
        <v>4177</v>
      </c>
      <c r="J1332" s="20" t="s">
        <v>4254</v>
      </c>
      <c r="K1332" s="21" t="s">
        <v>4255</v>
      </c>
      <c r="L1332" s="20" t="s">
        <v>32</v>
      </c>
      <c r="M1332" t="str">
        <f>TEXT(A1332,"dddd")</f>
        <v>Saturday</v>
      </c>
      <c r="N1332" s="35">
        <f>DATE(Table4[[#This Row],[year]],Table4[[#This Row],[month2]],Table4[[#This Row],[day]])</f>
        <v>45982</v>
      </c>
    </row>
    <row r="1333" spans="1:14" ht="16" x14ac:dyDescent="0.35">
      <c r="A1333" t="str">
        <f t="shared" si="40"/>
        <v>21</v>
      </c>
      <c r="B1333">
        <f>_xlfn.SWITCH(Table4[[#This Row],[month]],"jan",1,"feb",2,"mar",3,"apr",4,"may",5,"jun",6,"jul",7,"aug",8,"sep",9,"oct",10,"nov",11,"dec",12,"no month")</f>
        <v>11</v>
      </c>
      <c r="C1333" s="12" t="str">
        <f>LEFT('All Transactions'!$E1333,3)</f>
        <v>Nov</v>
      </c>
      <c r="D1333" s="12" t="str">
        <f t="shared" si="41"/>
        <v>2025</v>
      </c>
      <c r="E1333" s="22" t="s">
        <v>4249</v>
      </c>
      <c r="F1333" s="23" t="s">
        <v>4256</v>
      </c>
      <c r="G1333" s="18" t="s">
        <v>28</v>
      </c>
      <c r="H1333" s="24">
        <v>12</v>
      </c>
      <c r="I1333" s="25" t="s">
        <v>4177</v>
      </c>
      <c r="J1333" s="25" t="s">
        <v>4257</v>
      </c>
      <c r="K1333" s="26" t="s">
        <v>4258</v>
      </c>
      <c r="L1333" s="25" t="s">
        <v>32</v>
      </c>
      <c r="M1333" t="str">
        <f>TEXT(A1333,"dddd")</f>
        <v>Saturday</v>
      </c>
      <c r="N1333" s="35">
        <f>DATE(Table4[[#This Row],[year]],Table4[[#This Row],[month2]],Table4[[#This Row],[day]])</f>
        <v>45982</v>
      </c>
    </row>
    <row r="1334" spans="1:14" ht="16" x14ac:dyDescent="0.35">
      <c r="A1334" t="str">
        <f t="shared" si="40"/>
        <v>20</v>
      </c>
      <c r="B1334">
        <f>_xlfn.SWITCH(Table4[[#This Row],[month]],"jan",1,"feb",2,"mar",3,"apr",4,"may",5,"jun",6,"jul",7,"aug",8,"sep",9,"oct",10,"nov",11,"dec",12,"no month")</f>
        <v>11</v>
      </c>
      <c r="C1334" s="12" t="str">
        <f>LEFT('All Transactions'!$E1334,3)</f>
        <v>Nov</v>
      </c>
      <c r="D1334" s="12" t="str">
        <f t="shared" si="41"/>
        <v>2025</v>
      </c>
      <c r="E1334" s="16" t="s">
        <v>4259</v>
      </c>
      <c r="F1334" s="17" t="s">
        <v>4199</v>
      </c>
      <c r="G1334" s="18" t="s">
        <v>28</v>
      </c>
      <c r="H1334" s="19">
        <v>160</v>
      </c>
      <c r="I1334" s="20" t="s">
        <v>4260</v>
      </c>
      <c r="J1334" s="20" t="s">
        <v>4261</v>
      </c>
      <c r="K1334" s="21" t="s">
        <v>4262</v>
      </c>
      <c r="L1334" s="20" t="s">
        <v>32</v>
      </c>
      <c r="M1334" t="str">
        <f>TEXT(A1334,"dddd")</f>
        <v>Friday</v>
      </c>
      <c r="N1334" s="35">
        <f>DATE(Table4[[#This Row],[year]],Table4[[#This Row],[month2]],Table4[[#This Row],[day]])</f>
        <v>45981</v>
      </c>
    </row>
    <row r="1335" spans="1:14" ht="16" x14ac:dyDescent="0.35">
      <c r="A1335" t="str">
        <f t="shared" si="40"/>
        <v>19</v>
      </c>
      <c r="B1335">
        <f>_xlfn.SWITCH(Table4[[#This Row],[month]],"jan",1,"feb",2,"mar",3,"apr",4,"may",5,"jun",6,"jul",7,"aug",8,"sep",9,"oct",10,"nov",11,"dec",12,"no month")</f>
        <v>11</v>
      </c>
      <c r="C1335" s="12" t="str">
        <f>LEFT('All Transactions'!$E1335,3)</f>
        <v>Nov</v>
      </c>
      <c r="D1335" s="12" t="str">
        <f t="shared" si="41"/>
        <v>2025</v>
      </c>
      <c r="E1335" s="22" t="s">
        <v>4263</v>
      </c>
      <c r="F1335" s="23" t="s">
        <v>4264</v>
      </c>
      <c r="G1335" s="18" t="s">
        <v>28</v>
      </c>
      <c r="H1335" s="24">
        <v>10</v>
      </c>
      <c r="I1335" s="25" t="s">
        <v>4265</v>
      </c>
      <c r="J1335" s="25" t="s">
        <v>4266</v>
      </c>
      <c r="K1335" s="26" t="s">
        <v>4267</v>
      </c>
      <c r="L1335" s="25" t="s">
        <v>32</v>
      </c>
      <c r="M1335" t="str">
        <f>TEXT(A1335,"dddd")</f>
        <v>Thursday</v>
      </c>
      <c r="N1335" s="35">
        <f>DATE(Table4[[#This Row],[year]],Table4[[#This Row],[month2]],Table4[[#This Row],[day]])</f>
        <v>45980</v>
      </c>
    </row>
    <row r="1336" spans="1:14" ht="16" x14ac:dyDescent="0.35">
      <c r="A1336" t="str">
        <f t="shared" si="40"/>
        <v>19</v>
      </c>
      <c r="B1336">
        <f>_xlfn.SWITCH(Table4[[#This Row],[month]],"jan",1,"feb",2,"mar",3,"apr",4,"may",5,"jun",6,"jul",7,"aug",8,"sep",9,"oct",10,"nov",11,"dec",12,"no month")</f>
        <v>11</v>
      </c>
      <c r="C1336" s="12" t="str">
        <f>LEFT('All Transactions'!$E1336,3)</f>
        <v>Nov</v>
      </c>
      <c r="D1336" s="12" t="str">
        <f t="shared" si="41"/>
        <v>2025</v>
      </c>
      <c r="E1336" s="16" t="s">
        <v>4263</v>
      </c>
      <c r="F1336" s="17" t="s">
        <v>2995</v>
      </c>
      <c r="G1336" s="18" t="s">
        <v>28</v>
      </c>
      <c r="H1336" s="19">
        <v>40</v>
      </c>
      <c r="I1336" s="20" t="s">
        <v>3424</v>
      </c>
      <c r="J1336" s="20" t="s">
        <v>4268</v>
      </c>
      <c r="K1336" s="21" t="s">
        <v>4269</v>
      </c>
      <c r="L1336" s="20" t="s">
        <v>32</v>
      </c>
      <c r="M1336" t="str">
        <f>TEXT(A1336,"dddd")</f>
        <v>Thursday</v>
      </c>
      <c r="N1336" s="35">
        <f>DATE(Table4[[#This Row],[year]],Table4[[#This Row],[month2]],Table4[[#This Row],[day]])</f>
        <v>45980</v>
      </c>
    </row>
    <row r="1337" spans="1:14" ht="16" x14ac:dyDescent="0.35">
      <c r="A1337" t="str">
        <f t="shared" si="40"/>
        <v>19</v>
      </c>
      <c r="B1337">
        <f>_xlfn.SWITCH(Table4[[#This Row],[month]],"jan",1,"feb",2,"mar",3,"apr",4,"may",5,"jun",6,"jul",7,"aug",8,"sep",9,"oct",10,"nov",11,"dec",12,"no month")</f>
        <v>11</v>
      </c>
      <c r="C1337" s="12" t="str">
        <f>LEFT('All Transactions'!$E1337,3)</f>
        <v>Nov</v>
      </c>
      <c r="D1337" s="12" t="str">
        <f t="shared" si="41"/>
        <v>2025</v>
      </c>
      <c r="E1337" s="22" t="s">
        <v>4263</v>
      </c>
      <c r="F1337" s="23" t="s">
        <v>1142</v>
      </c>
      <c r="G1337" s="18" t="s">
        <v>28</v>
      </c>
      <c r="H1337" s="24">
        <v>24</v>
      </c>
      <c r="I1337" s="25" t="s">
        <v>4177</v>
      </c>
      <c r="J1337" s="25" t="s">
        <v>4270</v>
      </c>
      <c r="K1337" s="26" t="s">
        <v>4271</v>
      </c>
      <c r="L1337" s="25" t="s">
        <v>32</v>
      </c>
      <c r="M1337" t="str">
        <f>TEXT(A1337,"dddd")</f>
        <v>Thursday</v>
      </c>
      <c r="N1337" s="35">
        <f>DATE(Table4[[#This Row],[year]],Table4[[#This Row],[month2]],Table4[[#This Row],[day]])</f>
        <v>45980</v>
      </c>
    </row>
    <row r="1338" spans="1:14" ht="16" x14ac:dyDescent="0.35">
      <c r="A1338" t="str">
        <f t="shared" si="40"/>
        <v>19</v>
      </c>
      <c r="B1338">
        <f>_xlfn.SWITCH(Table4[[#This Row],[month]],"jan",1,"feb",2,"mar",3,"apr",4,"may",5,"jun",6,"jul",7,"aug",8,"sep",9,"oct",10,"nov",11,"dec",12,"no month")</f>
        <v>11</v>
      </c>
      <c r="C1338" s="12" t="str">
        <f>LEFT('All Transactions'!$E1338,3)</f>
        <v>Nov</v>
      </c>
      <c r="D1338" s="12" t="str">
        <f t="shared" si="41"/>
        <v>2025</v>
      </c>
      <c r="E1338" s="16" t="s">
        <v>4263</v>
      </c>
      <c r="F1338" s="17" t="s">
        <v>4272</v>
      </c>
      <c r="G1338" s="18" t="s">
        <v>28</v>
      </c>
      <c r="H1338" s="19">
        <v>12</v>
      </c>
      <c r="I1338" s="20" t="s">
        <v>4177</v>
      </c>
      <c r="J1338" s="20" t="s">
        <v>4273</v>
      </c>
      <c r="K1338" s="21" t="s">
        <v>4274</v>
      </c>
      <c r="L1338" s="20" t="s">
        <v>32</v>
      </c>
      <c r="M1338" t="str">
        <f>TEXT(A1338,"dddd")</f>
        <v>Thursday</v>
      </c>
      <c r="N1338" s="35">
        <f>DATE(Table4[[#This Row],[year]],Table4[[#This Row],[month2]],Table4[[#This Row],[day]])</f>
        <v>45980</v>
      </c>
    </row>
    <row r="1339" spans="1:14" ht="16" x14ac:dyDescent="0.35">
      <c r="A1339" t="str">
        <f t="shared" si="40"/>
        <v>18</v>
      </c>
      <c r="B1339">
        <f>_xlfn.SWITCH(Table4[[#This Row],[month]],"jan",1,"feb",2,"mar",3,"apr",4,"may",5,"jun",6,"jul",7,"aug",8,"sep",9,"oct",10,"nov",11,"dec",12,"no month")</f>
        <v>11</v>
      </c>
      <c r="C1339" s="12" t="str">
        <f>LEFT('All Transactions'!$E1339,3)</f>
        <v>Nov</v>
      </c>
      <c r="D1339" s="12" t="str">
        <f t="shared" si="41"/>
        <v>2025</v>
      </c>
      <c r="E1339" s="22" t="s">
        <v>4275</v>
      </c>
      <c r="F1339" s="23" t="s">
        <v>4276</v>
      </c>
      <c r="G1339" s="18" t="s">
        <v>28</v>
      </c>
      <c r="H1339" s="24">
        <v>35</v>
      </c>
      <c r="I1339" s="25" t="s">
        <v>4224</v>
      </c>
      <c r="J1339" s="25" t="s">
        <v>4277</v>
      </c>
      <c r="K1339" s="26" t="s">
        <v>4278</v>
      </c>
      <c r="L1339" s="25" t="s">
        <v>32</v>
      </c>
      <c r="M1339" t="str">
        <f>TEXT(A1339,"dddd")</f>
        <v>Wednesday</v>
      </c>
      <c r="N1339" s="35">
        <f>DATE(Table4[[#This Row],[year]],Table4[[#This Row],[month2]],Table4[[#This Row],[day]])</f>
        <v>45979</v>
      </c>
    </row>
    <row r="1340" spans="1:14" ht="16" x14ac:dyDescent="0.35">
      <c r="A1340" t="str">
        <f t="shared" si="40"/>
        <v>18</v>
      </c>
      <c r="B1340">
        <f>_xlfn.SWITCH(Table4[[#This Row],[month]],"jan",1,"feb",2,"mar",3,"apr",4,"may",5,"jun",6,"jul",7,"aug",8,"sep",9,"oct",10,"nov",11,"dec",12,"no month")</f>
        <v>11</v>
      </c>
      <c r="C1340" s="12" t="str">
        <f>LEFT('All Transactions'!$E1340,3)</f>
        <v>Nov</v>
      </c>
      <c r="D1340" s="12" t="str">
        <f t="shared" si="41"/>
        <v>2025</v>
      </c>
      <c r="E1340" s="16" t="s">
        <v>4275</v>
      </c>
      <c r="F1340" s="17" t="s">
        <v>1702</v>
      </c>
      <c r="G1340" s="18" t="s">
        <v>28</v>
      </c>
      <c r="H1340" s="19">
        <v>22</v>
      </c>
      <c r="I1340" s="20" t="s">
        <v>4177</v>
      </c>
      <c r="J1340" s="20" t="s">
        <v>4279</v>
      </c>
      <c r="K1340" s="21" t="s">
        <v>4280</v>
      </c>
      <c r="L1340" s="20" t="s">
        <v>32</v>
      </c>
      <c r="M1340" t="str">
        <f>TEXT(A1340,"dddd")</f>
        <v>Wednesday</v>
      </c>
      <c r="N1340" s="35">
        <f>DATE(Table4[[#This Row],[year]],Table4[[#This Row],[month2]],Table4[[#This Row],[day]])</f>
        <v>45979</v>
      </c>
    </row>
    <row r="1341" spans="1:14" ht="16" x14ac:dyDescent="0.35">
      <c r="A1341" t="str">
        <f t="shared" si="40"/>
        <v>18</v>
      </c>
      <c r="B1341">
        <f>_xlfn.SWITCH(Table4[[#This Row],[month]],"jan",1,"feb",2,"mar",3,"apr",4,"may",5,"jun",6,"jul",7,"aug",8,"sep",9,"oct",10,"nov",11,"dec",12,"no month")</f>
        <v>11</v>
      </c>
      <c r="C1341" s="12" t="str">
        <f>LEFT('All Transactions'!$E1341,3)</f>
        <v>Nov</v>
      </c>
      <c r="D1341" s="12" t="str">
        <f t="shared" si="41"/>
        <v>2025</v>
      </c>
      <c r="E1341" s="22" t="s">
        <v>4275</v>
      </c>
      <c r="F1341" s="23" t="s">
        <v>1641</v>
      </c>
      <c r="G1341" s="18" t="s">
        <v>28</v>
      </c>
      <c r="H1341" s="24">
        <v>2400</v>
      </c>
      <c r="I1341" s="25" t="s">
        <v>4281</v>
      </c>
      <c r="J1341" s="25" t="s">
        <v>4282</v>
      </c>
      <c r="K1341" s="26" t="s">
        <v>4283</v>
      </c>
      <c r="L1341" s="25" t="s">
        <v>32</v>
      </c>
      <c r="M1341" t="str">
        <f>TEXT(A1341,"dddd")</f>
        <v>Wednesday</v>
      </c>
      <c r="N1341" s="35">
        <f>DATE(Table4[[#This Row],[year]],Table4[[#This Row],[month2]],Table4[[#This Row],[day]])</f>
        <v>45979</v>
      </c>
    </row>
    <row r="1342" spans="1:14" ht="16" x14ac:dyDescent="0.35">
      <c r="A1342" t="str">
        <f t="shared" si="40"/>
        <v>18</v>
      </c>
      <c r="B1342">
        <f>_xlfn.SWITCH(Table4[[#This Row],[month]],"jan",1,"feb",2,"mar",3,"apr",4,"may",5,"jun",6,"jul",7,"aug",8,"sep",9,"oct",10,"nov",11,"dec",12,"no month")</f>
        <v>11</v>
      </c>
      <c r="C1342" s="12" t="str">
        <f>LEFT('All Transactions'!$E1342,3)</f>
        <v>Nov</v>
      </c>
      <c r="D1342" s="12" t="str">
        <f t="shared" si="41"/>
        <v>2025</v>
      </c>
      <c r="E1342" s="16" t="s">
        <v>4275</v>
      </c>
      <c r="F1342" s="17" t="s">
        <v>1621</v>
      </c>
      <c r="G1342" s="18" t="s">
        <v>28</v>
      </c>
      <c r="H1342" s="19">
        <v>20</v>
      </c>
      <c r="I1342" s="20" t="s">
        <v>4284</v>
      </c>
      <c r="J1342" s="20" t="s">
        <v>4285</v>
      </c>
      <c r="K1342" s="21" t="s">
        <v>4286</v>
      </c>
      <c r="L1342" s="20" t="s">
        <v>32</v>
      </c>
      <c r="M1342" t="str">
        <f>TEXT(A1342,"dddd")</f>
        <v>Wednesday</v>
      </c>
      <c r="N1342" s="35">
        <f>DATE(Table4[[#This Row],[year]],Table4[[#This Row],[month2]],Table4[[#This Row],[day]])</f>
        <v>45979</v>
      </c>
    </row>
    <row r="1343" spans="1:14" ht="16" x14ac:dyDescent="0.35">
      <c r="A1343" t="str">
        <f t="shared" si="40"/>
        <v>17</v>
      </c>
      <c r="B1343">
        <f>_xlfn.SWITCH(Table4[[#This Row],[month]],"jan",1,"feb",2,"mar",3,"apr",4,"may",5,"jun",6,"jul",7,"aug",8,"sep",9,"oct",10,"nov",11,"dec",12,"no month")</f>
        <v>11</v>
      </c>
      <c r="C1343" s="12" t="str">
        <f>LEFT('All Transactions'!$E1343,3)</f>
        <v>Nov</v>
      </c>
      <c r="D1343" s="12" t="str">
        <f t="shared" si="41"/>
        <v>2025</v>
      </c>
      <c r="E1343" s="22" t="s">
        <v>4287</v>
      </c>
      <c r="F1343" s="23" t="s">
        <v>3214</v>
      </c>
      <c r="G1343" s="18" t="s">
        <v>28</v>
      </c>
      <c r="H1343" s="24">
        <v>12</v>
      </c>
      <c r="I1343" s="25" t="s">
        <v>4177</v>
      </c>
      <c r="J1343" s="25" t="s">
        <v>4288</v>
      </c>
      <c r="K1343" s="26" t="s">
        <v>4289</v>
      </c>
      <c r="L1343" s="25" t="s">
        <v>32</v>
      </c>
      <c r="M1343" t="str">
        <f>TEXT(A1343,"dddd")</f>
        <v>Tuesday</v>
      </c>
      <c r="N1343" s="35">
        <f>DATE(Table4[[#This Row],[year]],Table4[[#This Row],[month2]],Table4[[#This Row],[day]])</f>
        <v>45978</v>
      </c>
    </row>
    <row r="1344" spans="1:14" ht="16" x14ac:dyDescent="0.35">
      <c r="A1344" t="str">
        <f t="shared" si="40"/>
        <v>17</v>
      </c>
      <c r="B1344">
        <f>_xlfn.SWITCH(Table4[[#This Row],[month]],"jan",1,"feb",2,"mar",3,"apr",4,"may",5,"jun",6,"jul",7,"aug",8,"sep",9,"oct",10,"nov",11,"dec",12,"no month")</f>
        <v>11</v>
      </c>
      <c r="C1344" s="12" t="str">
        <f>LEFT('All Transactions'!$E1344,3)</f>
        <v>Nov</v>
      </c>
      <c r="D1344" s="12" t="str">
        <f t="shared" si="41"/>
        <v>2025</v>
      </c>
      <c r="E1344" s="16" t="s">
        <v>4287</v>
      </c>
      <c r="F1344" s="17" t="s">
        <v>2610</v>
      </c>
      <c r="G1344" s="18" t="s">
        <v>28</v>
      </c>
      <c r="H1344" s="19">
        <v>12</v>
      </c>
      <c r="I1344" s="20" t="s">
        <v>4177</v>
      </c>
      <c r="J1344" s="20" t="s">
        <v>4290</v>
      </c>
      <c r="K1344" s="21" t="s">
        <v>4291</v>
      </c>
      <c r="L1344" s="20" t="s">
        <v>32</v>
      </c>
      <c r="M1344" t="str">
        <f>TEXT(A1344,"dddd")</f>
        <v>Tuesday</v>
      </c>
      <c r="N1344" s="35">
        <f>DATE(Table4[[#This Row],[year]],Table4[[#This Row],[month2]],Table4[[#This Row],[day]])</f>
        <v>45978</v>
      </c>
    </row>
    <row r="1345" spans="1:14" ht="16" x14ac:dyDescent="0.35">
      <c r="A1345" t="str">
        <f t="shared" si="40"/>
        <v>17</v>
      </c>
      <c r="B1345">
        <f>_xlfn.SWITCH(Table4[[#This Row],[month]],"jan",1,"feb",2,"mar",3,"apr",4,"may",5,"jun",6,"jul",7,"aug",8,"sep",9,"oct",10,"nov",11,"dec",12,"no month")</f>
        <v>11</v>
      </c>
      <c r="C1345" s="12" t="str">
        <f>LEFT('All Transactions'!$E1345,3)</f>
        <v>Nov</v>
      </c>
      <c r="D1345" s="12" t="str">
        <f t="shared" si="41"/>
        <v>2025</v>
      </c>
      <c r="E1345" s="22" t="s">
        <v>4287</v>
      </c>
      <c r="F1345" s="23" t="s">
        <v>4292</v>
      </c>
      <c r="G1345" s="27" t="s">
        <v>54</v>
      </c>
      <c r="H1345" s="24">
        <v>100</v>
      </c>
      <c r="I1345" s="25" t="s">
        <v>947</v>
      </c>
      <c r="J1345" s="25" t="s">
        <v>4293</v>
      </c>
      <c r="K1345" s="26" t="s">
        <v>4294</v>
      </c>
      <c r="L1345" s="25" t="s">
        <v>58</v>
      </c>
      <c r="M1345" t="str">
        <f>TEXT(A1345,"dddd")</f>
        <v>Tuesday</v>
      </c>
      <c r="N1345" s="35">
        <f>DATE(Table4[[#This Row],[year]],Table4[[#This Row],[month2]],Table4[[#This Row],[day]])</f>
        <v>45978</v>
      </c>
    </row>
    <row r="1346" spans="1:14" ht="16" x14ac:dyDescent="0.35">
      <c r="A1346" t="str">
        <f t="shared" si="40"/>
        <v>16</v>
      </c>
      <c r="B1346">
        <f>_xlfn.SWITCH(Table4[[#This Row],[month]],"jan",1,"feb",2,"mar",3,"apr",4,"may",5,"jun",6,"jul",7,"aug",8,"sep",9,"oct",10,"nov",11,"dec",12,"no month")</f>
        <v>11</v>
      </c>
      <c r="C1346" s="12" t="str">
        <f>LEFT('All Transactions'!$E1346,3)</f>
        <v>Nov</v>
      </c>
      <c r="D1346" s="12" t="str">
        <f t="shared" si="41"/>
        <v>2025</v>
      </c>
      <c r="E1346" s="16" t="s">
        <v>4295</v>
      </c>
      <c r="F1346" s="17" t="s">
        <v>2355</v>
      </c>
      <c r="G1346" s="18" t="s">
        <v>28</v>
      </c>
      <c r="H1346" s="19">
        <v>401.74</v>
      </c>
      <c r="I1346" s="20" t="s">
        <v>3563</v>
      </c>
      <c r="J1346" s="20" t="s">
        <v>4296</v>
      </c>
      <c r="K1346" s="21" t="s">
        <v>4297</v>
      </c>
      <c r="L1346" s="20" t="s">
        <v>32</v>
      </c>
      <c r="M1346" t="str">
        <f>TEXT(A1346,"dddd")</f>
        <v>Monday</v>
      </c>
      <c r="N1346" s="35">
        <f>DATE(Table4[[#This Row],[year]],Table4[[#This Row],[month2]],Table4[[#This Row],[day]])</f>
        <v>45977</v>
      </c>
    </row>
    <row r="1347" spans="1:14" ht="16" x14ac:dyDescent="0.35">
      <c r="A1347" t="str">
        <f t="shared" ref="A1347:A1410" si="42">MID(E1347,5,2)</f>
        <v>16</v>
      </c>
      <c r="B1347">
        <f>_xlfn.SWITCH(Table4[[#This Row],[month]],"jan",1,"feb",2,"mar",3,"apr",4,"may",5,"jun",6,"jul",7,"aug",8,"sep",9,"oct",10,"nov",11,"dec",12,"no month")</f>
        <v>11</v>
      </c>
      <c r="C1347" s="12" t="str">
        <f>LEFT('All Transactions'!$E1347,3)</f>
        <v>Nov</v>
      </c>
      <c r="D1347" s="12" t="str">
        <f t="shared" ref="D1347:D1410" si="43">RIGHT(E1347,4)</f>
        <v>2025</v>
      </c>
      <c r="E1347" s="22" t="s">
        <v>4295</v>
      </c>
      <c r="F1347" s="23" t="s">
        <v>2295</v>
      </c>
      <c r="G1347" s="18" t="s">
        <v>28</v>
      </c>
      <c r="H1347" s="24">
        <v>32</v>
      </c>
      <c r="I1347" s="25" t="s">
        <v>4177</v>
      </c>
      <c r="J1347" s="25" t="s">
        <v>4298</v>
      </c>
      <c r="K1347" s="26" t="s">
        <v>4299</v>
      </c>
      <c r="L1347" s="25" t="s">
        <v>32</v>
      </c>
      <c r="M1347" t="str">
        <f>TEXT(A1347,"dddd")</f>
        <v>Monday</v>
      </c>
      <c r="N1347" s="35">
        <f>DATE(Table4[[#This Row],[year]],Table4[[#This Row],[month2]],Table4[[#This Row],[day]])</f>
        <v>45977</v>
      </c>
    </row>
    <row r="1348" spans="1:14" ht="16" x14ac:dyDescent="0.35">
      <c r="A1348" t="str">
        <f t="shared" si="42"/>
        <v>16</v>
      </c>
      <c r="B1348">
        <f>_xlfn.SWITCH(Table4[[#This Row],[month]],"jan",1,"feb",2,"mar",3,"apr",4,"may",5,"jun",6,"jul",7,"aug",8,"sep",9,"oct",10,"nov",11,"dec",12,"no month")</f>
        <v>11</v>
      </c>
      <c r="C1348" s="12" t="str">
        <f>LEFT('All Transactions'!$E1348,3)</f>
        <v>Nov</v>
      </c>
      <c r="D1348" s="12" t="str">
        <f t="shared" si="43"/>
        <v>2025</v>
      </c>
      <c r="E1348" s="16" t="s">
        <v>4295</v>
      </c>
      <c r="F1348" s="17" t="s">
        <v>4300</v>
      </c>
      <c r="G1348" s="27" t="s">
        <v>54</v>
      </c>
      <c r="H1348" s="19">
        <v>50</v>
      </c>
      <c r="I1348" s="20" t="s">
        <v>4301</v>
      </c>
      <c r="J1348" s="20" t="s">
        <v>4302</v>
      </c>
      <c r="K1348" s="21" t="s">
        <v>4303</v>
      </c>
      <c r="L1348" s="20" t="s">
        <v>58</v>
      </c>
      <c r="M1348" t="str">
        <f>TEXT(A1348,"dddd")</f>
        <v>Monday</v>
      </c>
      <c r="N1348" s="35">
        <f>DATE(Table4[[#This Row],[year]],Table4[[#This Row],[month2]],Table4[[#This Row],[day]])</f>
        <v>45977</v>
      </c>
    </row>
    <row r="1349" spans="1:14" ht="16" x14ac:dyDescent="0.35">
      <c r="A1349" t="str">
        <f t="shared" si="42"/>
        <v>16</v>
      </c>
      <c r="B1349">
        <f>_xlfn.SWITCH(Table4[[#This Row],[month]],"jan",1,"feb",2,"mar",3,"apr",4,"may",5,"jun",6,"jul",7,"aug",8,"sep",9,"oct",10,"nov",11,"dec",12,"no month")</f>
        <v>11</v>
      </c>
      <c r="C1349" s="12" t="str">
        <f>LEFT('All Transactions'!$E1349,3)</f>
        <v>Nov</v>
      </c>
      <c r="D1349" s="12" t="str">
        <f t="shared" si="43"/>
        <v>2025</v>
      </c>
      <c r="E1349" s="22" t="s">
        <v>4295</v>
      </c>
      <c r="F1349" s="23" t="s">
        <v>2509</v>
      </c>
      <c r="G1349" s="27" t="s">
        <v>54</v>
      </c>
      <c r="H1349" s="24">
        <v>500</v>
      </c>
      <c r="I1349" s="25" t="s">
        <v>4301</v>
      </c>
      <c r="J1349" s="25" t="s">
        <v>4304</v>
      </c>
      <c r="K1349" s="26" t="s">
        <v>4305</v>
      </c>
      <c r="L1349" s="25" t="s">
        <v>58</v>
      </c>
      <c r="M1349" t="str">
        <f>TEXT(A1349,"dddd")</f>
        <v>Monday</v>
      </c>
      <c r="N1349" s="35">
        <f>DATE(Table4[[#This Row],[year]],Table4[[#This Row],[month2]],Table4[[#This Row],[day]])</f>
        <v>45977</v>
      </c>
    </row>
    <row r="1350" spans="1:14" ht="16" x14ac:dyDescent="0.35">
      <c r="A1350" t="str">
        <f t="shared" si="42"/>
        <v>16</v>
      </c>
      <c r="B1350">
        <f>_xlfn.SWITCH(Table4[[#This Row],[month]],"jan",1,"feb",2,"mar",3,"apr",4,"may",5,"jun",6,"jul",7,"aug",8,"sep",9,"oct",10,"nov",11,"dec",12,"no month")</f>
        <v>11</v>
      </c>
      <c r="C1350" s="12" t="str">
        <f>LEFT('All Transactions'!$E1350,3)</f>
        <v>Nov</v>
      </c>
      <c r="D1350" s="12" t="str">
        <f t="shared" si="43"/>
        <v>2025</v>
      </c>
      <c r="E1350" s="16" t="s">
        <v>4295</v>
      </c>
      <c r="F1350" s="17" t="s">
        <v>4306</v>
      </c>
      <c r="G1350" s="18" t="s">
        <v>28</v>
      </c>
      <c r="H1350" s="19">
        <v>500</v>
      </c>
      <c r="I1350" s="20" t="s">
        <v>4244</v>
      </c>
      <c r="J1350" s="20" t="s">
        <v>4307</v>
      </c>
      <c r="K1350" s="21" t="s">
        <v>4308</v>
      </c>
      <c r="L1350" s="20" t="s">
        <v>32</v>
      </c>
      <c r="M1350" t="str">
        <f>TEXT(A1350,"dddd")</f>
        <v>Monday</v>
      </c>
      <c r="N1350" s="35">
        <f>DATE(Table4[[#This Row],[year]],Table4[[#This Row],[month2]],Table4[[#This Row],[day]])</f>
        <v>45977</v>
      </c>
    </row>
    <row r="1351" spans="1:14" ht="16" x14ac:dyDescent="0.35">
      <c r="A1351" t="str">
        <f t="shared" si="42"/>
        <v>16</v>
      </c>
      <c r="B1351">
        <f>_xlfn.SWITCH(Table4[[#This Row],[month]],"jan",1,"feb",2,"mar",3,"apr",4,"may",5,"jun",6,"jul",7,"aug",8,"sep",9,"oct",10,"nov",11,"dec",12,"no month")</f>
        <v>11</v>
      </c>
      <c r="C1351" s="12" t="str">
        <f>LEFT('All Transactions'!$E1351,3)</f>
        <v>Nov</v>
      </c>
      <c r="D1351" s="12" t="str">
        <f t="shared" si="43"/>
        <v>2025</v>
      </c>
      <c r="E1351" s="22" t="s">
        <v>4295</v>
      </c>
      <c r="F1351" s="23" t="s">
        <v>4309</v>
      </c>
      <c r="G1351" s="18" t="s">
        <v>28</v>
      </c>
      <c r="H1351" s="24">
        <v>100</v>
      </c>
      <c r="I1351" s="25" t="s">
        <v>167</v>
      </c>
      <c r="J1351" s="25" t="s">
        <v>4310</v>
      </c>
      <c r="K1351" s="26" t="s">
        <v>4311</v>
      </c>
      <c r="L1351" s="25" t="s">
        <v>32</v>
      </c>
      <c r="M1351" t="str">
        <f>TEXT(A1351,"dddd")</f>
        <v>Monday</v>
      </c>
      <c r="N1351" s="35">
        <f>DATE(Table4[[#This Row],[year]],Table4[[#This Row],[month2]],Table4[[#This Row],[day]])</f>
        <v>45977</v>
      </c>
    </row>
    <row r="1352" spans="1:14" ht="16" x14ac:dyDescent="0.35">
      <c r="A1352" t="str">
        <f t="shared" si="42"/>
        <v>16</v>
      </c>
      <c r="B1352">
        <f>_xlfn.SWITCH(Table4[[#This Row],[month]],"jan",1,"feb",2,"mar",3,"apr",4,"may",5,"jun",6,"jul",7,"aug",8,"sep",9,"oct",10,"nov",11,"dec",12,"no month")</f>
        <v>11</v>
      </c>
      <c r="C1352" s="12" t="str">
        <f>LEFT('All Transactions'!$E1352,3)</f>
        <v>Nov</v>
      </c>
      <c r="D1352" s="12" t="str">
        <f t="shared" si="43"/>
        <v>2025</v>
      </c>
      <c r="E1352" s="16" t="s">
        <v>4295</v>
      </c>
      <c r="F1352" s="17" t="s">
        <v>3728</v>
      </c>
      <c r="G1352" s="18" t="s">
        <v>28</v>
      </c>
      <c r="H1352" s="19">
        <v>10</v>
      </c>
      <c r="I1352" s="20" t="s">
        <v>4312</v>
      </c>
      <c r="J1352" s="20" t="s">
        <v>4313</v>
      </c>
      <c r="K1352" s="21" t="s">
        <v>4314</v>
      </c>
      <c r="L1352" s="20" t="s">
        <v>32</v>
      </c>
      <c r="M1352" t="str">
        <f>TEXT(A1352,"dddd")</f>
        <v>Monday</v>
      </c>
      <c r="N1352" s="35">
        <f>DATE(Table4[[#This Row],[year]],Table4[[#This Row],[month2]],Table4[[#This Row],[day]])</f>
        <v>45977</v>
      </c>
    </row>
    <row r="1353" spans="1:14" ht="16" x14ac:dyDescent="0.35">
      <c r="A1353" t="str">
        <f t="shared" si="42"/>
        <v>16</v>
      </c>
      <c r="B1353">
        <f>_xlfn.SWITCH(Table4[[#This Row],[month]],"jan",1,"feb",2,"mar",3,"apr",4,"may",5,"jun",6,"jul",7,"aug",8,"sep",9,"oct",10,"nov",11,"dec",12,"no month")</f>
        <v>11</v>
      </c>
      <c r="C1353" s="12" t="str">
        <f>LEFT('All Transactions'!$E1353,3)</f>
        <v>Nov</v>
      </c>
      <c r="D1353" s="12" t="str">
        <f t="shared" si="43"/>
        <v>2025</v>
      </c>
      <c r="E1353" s="22" t="s">
        <v>4295</v>
      </c>
      <c r="F1353" s="23" t="s">
        <v>4315</v>
      </c>
      <c r="G1353" s="18" t="s">
        <v>28</v>
      </c>
      <c r="H1353" s="24">
        <v>35</v>
      </c>
      <c r="I1353" s="25" t="s">
        <v>4316</v>
      </c>
      <c r="J1353" s="25" t="s">
        <v>4317</v>
      </c>
      <c r="K1353" s="26" t="s">
        <v>4318</v>
      </c>
      <c r="L1353" s="25" t="s">
        <v>32</v>
      </c>
      <c r="M1353" t="str">
        <f>TEXT(A1353,"dddd")</f>
        <v>Monday</v>
      </c>
      <c r="N1353" s="35">
        <f>DATE(Table4[[#This Row],[year]],Table4[[#This Row],[month2]],Table4[[#This Row],[day]])</f>
        <v>45977</v>
      </c>
    </row>
    <row r="1354" spans="1:14" ht="16" x14ac:dyDescent="0.35">
      <c r="A1354" t="str">
        <f t="shared" si="42"/>
        <v>16</v>
      </c>
      <c r="B1354">
        <f>_xlfn.SWITCH(Table4[[#This Row],[month]],"jan",1,"feb",2,"mar",3,"apr",4,"may",5,"jun",6,"jul",7,"aug",8,"sep",9,"oct",10,"nov",11,"dec",12,"no month")</f>
        <v>11</v>
      </c>
      <c r="C1354" s="12" t="str">
        <f>LEFT('All Transactions'!$E1354,3)</f>
        <v>Nov</v>
      </c>
      <c r="D1354" s="12" t="str">
        <f t="shared" si="43"/>
        <v>2025</v>
      </c>
      <c r="E1354" s="16" t="s">
        <v>4295</v>
      </c>
      <c r="F1354" s="17" t="s">
        <v>4319</v>
      </c>
      <c r="G1354" s="18" t="s">
        <v>28</v>
      </c>
      <c r="H1354" s="19">
        <v>37</v>
      </c>
      <c r="I1354" s="20" t="s">
        <v>4200</v>
      </c>
      <c r="J1354" s="20" t="s">
        <v>4320</v>
      </c>
      <c r="K1354" s="21" t="s">
        <v>4321</v>
      </c>
      <c r="L1354" s="20" t="s">
        <v>32</v>
      </c>
      <c r="M1354" t="str">
        <f>TEXT(A1354,"dddd")</f>
        <v>Monday</v>
      </c>
      <c r="N1354" s="35">
        <f>DATE(Table4[[#This Row],[year]],Table4[[#This Row],[month2]],Table4[[#This Row],[day]])</f>
        <v>45977</v>
      </c>
    </row>
    <row r="1355" spans="1:14" ht="16" x14ac:dyDescent="0.35">
      <c r="A1355" t="str">
        <f t="shared" si="42"/>
        <v>15</v>
      </c>
      <c r="B1355">
        <f>_xlfn.SWITCH(Table4[[#This Row],[month]],"jan",1,"feb",2,"mar",3,"apr",4,"may",5,"jun",6,"jul",7,"aug",8,"sep",9,"oct",10,"nov",11,"dec",12,"no month")</f>
        <v>11</v>
      </c>
      <c r="C1355" s="12" t="str">
        <f>LEFT('All Transactions'!$E1355,3)</f>
        <v>Nov</v>
      </c>
      <c r="D1355" s="12" t="str">
        <f t="shared" si="43"/>
        <v>2025</v>
      </c>
      <c r="E1355" s="22" t="s">
        <v>4322</v>
      </c>
      <c r="F1355" s="23" t="s">
        <v>4323</v>
      </c>
      <c r="G1355" s="18" t="s">
        <v>28</v>
      </c>
      <c r="H1355" s="24">
        <v>50</v>
      </c>
      <c r="I1355" s="25" t="s">
        <v>4244</v>
      </c>
      <c r="J1355" s="25" t="s">
        <v>4324</v>
      </c>
      <c r="K1355" s="26" t="s">
        <v>4325</v>
      </c>
      <c r="L1355" s="25" t="s">
        <v>32</v>
      </c>
      <c r="M1355" t="str">
        <f>TEXT(A1355,"dddd")</f>
        <v>Sunday</v>
      </c>
      <c r="N1355" s="35">
        <f>DATE(Table4[[#This Row],[year]],Table4[[#This Row],[month2]],Table4[[#This Row],[day]])</f>
        <v>45976</v>
      </c>
    </row>
    <row r="1356" spans="1:14" ht="16" x14ac:dyDescent="0.35">
      <c r="A1356" t="str">
        <f t="shared" si="42"/>
        <v>15</v>
      </c>
      <c r="B1356">
        <f>_xlfn.SWITCH(Table4[[#This Row],[month]],"jan",1,"feb",2,"mar",3,"apr",4,"may",5,"jun",6,"jul",7,"aug",8,"sep",9,"oct",10,"nov",11,"dec",12,"no month")</f>
        <v>11</v>
      </c>
      <c r="C1356" s="12" t="str">
        <f>LEFT('All Transactions'!$E1356,3)</f>
        <v>Nov</v>
      </c>
      <c r="D1356" s="12" t="str">
        <f t="shared" si="43"/>
        <v>2025</v>
      </c>
      <c r="E1356" s="16" t="s">
        <v>4322</v>
      </c>
      <c r="F1356" s="17" t="s">
        <v>3164</v>
      </c>
      <c r="G1356" s="18" t="s">
        <v>28</v>
      </c>
      <c r="H1356" s="19">
        <v>10</v>
      </c>
      <c r="I1356" s="20" t="s">
        <v>4326</v>
      </c>
      <c r="J1356" s="20" t="s">
        <v>4327</v>
      </c>
      <c r="K1356" s="21" t="s">
        <v>4328</v>
      </c>
      <c r="L1356" s="20" t="s">
        <v>32</v>
      </c>
      <c r="M1356" t="str">
        <f>TEXT(A1356,"dddd")</f>
        <v>Sunday</v>
      </c>
      <c r="N1356" s="35">
        <f>DATE(Table4[[#This Row],[year]],Table4[[#This Row],[month2]],Table4[[#This Row],[day]])</f>
        <v>45976</v>
      </c>
    </row>
    <row r="1357" spans="1:14" ht="16" x14ac:dyDescent="0.35">
      <c r="A1357" t="str">
        <f t="shared" si="42"/>
        <v>14</v>
      </c>
      <c r="B1357">
        <f>_xlfn.SWITCH(Table4[[#This Row],[month]],"jan",1,"feb",2,"mar",3,"apr",4,"may",5,"jun",6,"jul",7,"aug",8,"sep",9,"oct",10,"nov",11,"dec",12,"no month")</f>
        <v>11</v>
      </c>
      <c r="C1357" s="12" t="str">
        <f>LEFT('All Transactions'!$E1357,3)</f>
        <v>Nov</v>
      </c>
      <c r="D1357" s="12" t="str">
        <f t="shared" si="43"/>
        <v>2025</v>
      </c>
      <c r="E1357" s="22" t="s">
        <v>4329</v>
      </c>
      <c r="F1357" s="23" t="s">
        <v>1086</v>
      </c>
      <c r="G1357" s="18" t="s">
        <v>28</v>
      </c>
      <c r="H1357" s="24">
        <v>80</v>
      </c>
      <c r="I1357" s="25" t="s">
        <v>4177</v>
      </c>
      <c r="J1357" s="25" t="s">
        <v>4330</v>
      </c>
      <c r="K1357" s="26" t="s">
        <v>4331</v>
      </c>
      <c r="L1357" s="25" t="s">
        <v>32</v>
      </c>
      <c r="M1357" t="str">
        <f>TEXT(A1357,"dddd")</f>
        <v>Saturday</v>
      </c>
      <c r="N1357" s="35">
        <f>DATE(Table4[[#This Row],[year]],Table4[[#This Row],[month2]],Table4[[#This Row],[day]])</f>
        <v>45975</v>
      </c>
    </row>
    <row r="1358" spans="1:14" ht="16" x14ac:dyDescent="0.35">
      <c r="A1358" t="str">
        <f t="shared" si="42"/>
        <v>14</v>
      </c>
      <c r="B1358">
        <f>_xlfn.SWITCH(Table4[[#This Row],[month]],"jan",1,"feb",2,"mar",3,"apr",4,"may",5,"jun",6,"jul",7,"aug",8,"sep",9,"oct",10,"nov",11,"dec",12,"no month")</f>
        <v>11</v>
      </c>
      <c r="C1358" s="12" t="str">
        <f>LEFT('All Transactions'!$E1358,3)</f>
        <v>Nov</v>
      </c>
      <c r="D1358" s="12" t="str">
        <f t="shared" si="43"/>
        <v>2025</v>
      </c>
      <c r="E1358" s="16" t="s">
        <v>4329</v>
      </c>
      <c r="F1358" s="17" t="s">
        <v>903</v>
      </c>
      <c r="G1358" s="27" t="s">
        <v>54</v>
      </c>
      <c r="H1358" s="19">
        <v>2</v>
      </c>
      <c r="I1358" s="20" t="s">
        <v>4332</v>
      </c>
      <c r="J1358" s="20" t="s">
        <v>4333</v>
      </c>
      <c r="K1358" s="21" t="s">
        <v>4334</v>
      </c>
      <c r="L1358" s="20" t="s">
        <v>58</v>
      </c>
      <c r="M1358" t="str">
        <f>TEXT(A1358,"dddd")</f>
        <v>Saturday</v>
      </c>
      <c r="N1358" s="35">
        <f>DATE(Table4[[#This Row],[year]],Table4[[#This Row],[month2]],Table4[[#This Row],[day]])</f>
        <v>45975</v>
      </c>
    </row>
    <row r="1359" spans="1:14" ht="16" x14ac:dyDescent="0.35">
      <c r="A1359" t="str">
        <f t="shared" si="42"/>
        <v>14</v>
      </c>
      <c r="B1359">
        <f>_xlfn.SWITCH(Table4[[#This Row],[month]],"jan",1,"feb",2,"mar",3,"apr",4,"may",5,"jun",6,"jul",7,"aug",8,"sep",9,"oct",10,"nov",11,"dec",12,"no month")</f>
        <v>11</v>
      </c>
      <c r="C1359" s="12" t="str">
        <f>LEFT('All Transactions'!$E1359,3)</f>
        <v>Nov</v>
      </c>
      <c r="D1359" s="12" t="str">
        <f t="shared" si="43"/>
        <v>2025</v>
      </c>
      <c r="E1359" s="22" t="s">
        <v>4329</v>
      </c>
      <c r="F1359" s="23" t="s">
        <v>4335</v>
      </c>
      <c r="G1359" s="18" t="s">
        <v>28</v>
      </c>
      <c r="H1359" s="24">
        <v>2</v>
      </c>
      <c r="I1359" s="25" t="s">
        <v>3961</v>
      </c>
      <c r="J1359" s="25" t="s">
        <v>4336</v>
      </c>
      <c r="K1359" s="26" t="s">
        <v>4337</v>
      </c>
      <c r="L1359" s="25" t="s">
        <v>32</v>
      </c>
      <c r="M1359" t="str">
        <f>TEXT(A1359,"dddd")</f>
        <v>Saturday</v>
      </c>
      <c r="N1359" s="35">
        <f>DATE(Table4[[#This Row],[year]],Table4[[#This Row],[month2]],Table4[[#This Row],[day]])</f>
        <v>45975</v>
      </c>
    </row>
    <row r="1360" spans="1:14" ht="16" x14ac:dyDescent="0.35">
      <c r="A1360" t="str">
        <f t="shared" si="42"/>
        <v>14</v>
      </c>
      <c r="B1360">
        <f>_xlfn.SWITCH(Table4[[#This Row],[month]],"jan",1,"feb",2,"mar",3,"apr",4,"may",5,"jun",6,"jul",7,"aug",8,"sep",9,"oct",10,"nov",11,"dec",12,"no month")</f>
        <v>11</v>
      </c>
      <c r="C1360" s="12" t="str">
        <f>LEFT('All Transactions'!$E1360,3)</f>
        <v>Nov</v>
      </c>
      <c r="D1360" s="12" t="str">
        <f t="shared" si="43"/>
        <v>2025</v>
      </c>
      <c r="E1360" s="16" t="s">
        <v>4329</v>
      </c>
      <c r="F1360" s="17" t="s">
        <v>27</v>
      </c>
      <c r="G1360" s="18" t="s">
        <v>28</v>
      </c>
      <c r="H1360" s="19">
        <v>200</v>
      </c>
      <c r="I1360" s="20" t="s">
        <v>4338</v>
      </c>
      <c r="J1360" s="20" t="s">
        <v>4339</v>
      </c>
      <c r="K1360" s="21" t="s">
        <v>4340</v>
      </c>
      <c r="L1360" s="20" t="s">
        <v>32</v>
      </c>
      <c r="M1360" t="str">
        <f>TEXT(A1360,"dddd")</f>
        <v>Saturday</v>
      </c>
      <c r="N1360" s="35">
        <f>DATE(Table4[[#This Row],[year]],Table4[[#This Row],[month2]],Table4[[#This Row],[day]])</f>
        <v>45975</v>
      </c>
    </row>
    <row r="1361" spans="1:14" ht="16" x14ac:dyDescent="0.35">
      <c r="A1361" t="str">
        <f t="shared" si="42"/>
        <v>13</v>
      </c>
      <c r="B1361">
        <f>_xlfn.SWITCH(Table4[[#This Row],[month]],"jan",1,"feb",2,"mar",3,"apr",4,"may",5,"jun",6,"jul",7,"aug",8,"sep",9,"oct",10,"nov",11,"dec",12,"no month")</f>
        <v>11</v>
      </c>
      <c r="C1361" s="12" t="str">
        <f>LEFT('All Transactions'!$E1361,3)</f>
        <v>Nov</v>
      </c>
      <c r="D1361" s="12" t="str">
        <f t="shared" si="43"/>
        <v>2025</v>
      </c>
      <c r="E1361" s="22" t="s">
        <v>4341</v>
      </c>
      <c r="F1361" s="23" t="s">
        <v>1875</v>
      </c>
      <c r="G1361" s="18" t="s">
        <v>28</v>
      </c>
      <c r="H1361" s="24">
        <v>69</v>
      </c>
      <c r="I1361" s="25" t="s">
        <v>4342</v>
      </c>
      <c r="J1361" s="25" t="s">
        <v>4343</v>
      </c>
      <c r="K1361" s="26" t="s">
        <v>4344</v>
      </c>
      <c r="L1361" s="25" t="s">
        <v>32</v>
      </c>
      <c r="M1361" t="str">
        <f>TEXT(A1361,"dddd")</f>
        <v>Friday</v>
      </c>
      <c r="N1361" s="35">
        <f>DATE(Table4[[#This Row],[year]],Table4[[#This Row],[month2]],Table4[[#This Row],[day]])</f>
        <v>45974</v>
      </c>
    </row>
    <row r="1362" spans="1:14" ht="16" x14ac:dyDescent="0.35">
      <c r="A1362" t="str">
        <f t="shared" si="42"/>
        <v>13</v>
      </c>
      <c r="B1362">
        <f>_xlfn.SWITCH(Table4[[#This Row],[month]],"jan",1,"feb",2,"mar",3,"apr",4,"may",5,"jun",6,"jul",7,"aug",8,"sep",9,"oct",10,"nov",11,"dec",12,"no month")</f>
        <v>11</v>
      </c>
      <c r="C1362" s="12" t="str">
        <f>LEFT('All Transactions'!$E1362,3)</f>
        <v>Nov</v>
      </c>
      <c r="D1362" s="12" t="str">
        <f t="shared" si="43"/>
        <v>2025</v>
      </c>
      <c r="E1362" s="16" t="s">
        <v>4341</v>
      </c>
      <c r="F1362" s="17" t="s">
        <v>1957</v>
      </c>
      <c r="G1362" s="18" t="s">
        <v>28</v>
      </c>
      <c r="H1362" s="19">
        <v>15</v>
      </c>
      <c r="I1362" s="20" t="s">
        <v>4284</v>
      </c>
      <c r="J1362" s="20" t="s">
        <v>4345</v>
      </c>
      <c r="K1362" s="21" t="s">
        <v>4346</v>
      </c>
      <c r="L1362" s="20" t="s">
        <v>32</v>
      </c>
      <c r="M1362" t="str">
        <f>TEXT(A1362,"dddd")</f>
        <v>Friday</v>
      </c>
      <c r="N1362" s="35">
        <f>DATE(Table4[[#This Row],[year]],Table4[[#This Row],[month2]],Table4[[#This Row],[day]])</f>
        <v>45974</v>
      </c>
    </row>
    <row r="1363" spans="1:14" ht="16" x14ac:dyDescent="0.35">
      <c r="A1363" t="str">
        <f t="shared" si="42"/>
        <v>13</v>
      </c>
      <c r="B1363">
        <f>_xlfn.SWITCH(Table4[[#This Row],[month]],"jan",1,"feb",2,"mar",3,"apr",4,"may",5,"jun",6,"jul",7,"aug",8,"sep",9,"oct",10,"nov",11,"dec",12,"no month")</f>
        <v>11</v>
      </c>
      <c r="C1363" s="12" t="str">
        <f>LEFT('All Transactions'!$E1363,3)</f>
        <v>Nov</v>
      </c>
      <c r="D1363" s="12" t="str">
        <f t="shared" si="43"/>
        <v>2025</v>
      </c>
      <c r="E1363" s="22" t="s">
        <v>4341</v>
      </c>
      <c r="F1363" s="23" t="s">
        <v>3326</v>
      </c>
      <c r="G1363" s="18" t="s">
        <v>28</v>
      </c>
      <c r="H1363" s="24">
        <v>60</v>
      </c>
      <c r="I1363" s="25" t="s">
        <v>4347</v>
      </c>
      <c r="J1363" s="25" t="s">
        <v>4348</v>
      </c>
      <c r="K1363" s="26" t="s">
        <v>4349</v>
      </c>
      <c r="L1363" s="25" t="s">
        <v>32</v>
      </c>
      <c r="M1363" t="str">
        <f>TEXT(A1363,"dddd")</f>
        <v>Friday</v>
      </c>
      <c r="N1363" s="35">
        <f>DATE(Table4[[#This Row],[year]],Table4[[#This Row],[month2]],Table4[[#This Row],[day]])</f>
        <v>45974</v>
      </c>
    </row>
    <row r="1364" spans="1:14" ht="16" x14ac:dyDescent="0.35">
      <c r="A1364" t="str">
        <f t="shared" si="42"/>
        <v>12</v>
      </c>
      <c r="B1364">
        <f>_xlfn.SWITCH(Table4[[#This Row],[month]],"jan",1,"feb",2,"mar",3,"apr",4,"may",5,"jun",6,"jul",7,"aug",8,"sep",9,"oct",10,"nov",11,"dec",12,"no month")</f>
        <v>11</v>
      </c>
      <c r="C1364" s="12" t="str">
        <f>LEFT('All Transactions'!$E1364,3)</f>
        <v>Nov</v>
      </c>
      <c r="D1364" s="12" t="str">
        <f t="shared" si="43"/>
        <v>2025</v>
      </c>
      <c r="E1364" s="16" t="s">
        <v>4350</v>
      </c>
      <c r="F1364" s="17" t="s">
        <v>3373</v>
      </c>
      <c r="G1364" s="18" t="s">
        <v>28</v>
      </c>
      <c r="H1364" s="19">
        <v>40</v>
      </c>
      <c r="I1364" s="20" t="s">
        <v>4351</v>
      </c>
      <c r="J1364" s="20" t="s">
        <v>4352</v>
      </c>
      <c r="K1364" s="21" t="s">
        <v>4353</v>
      </c>
      <c r="L1364" s="20" t="s">
        <v>32</v>
      </c>
      <c r="M1364" t="str">
        <f>TEXT(A1364,"dddd")</f>
        <v>Thursday</v>
      </c>
      <c r="N1364" s="35">
        <f>DATE(Table4[[#This Row],[year]],Table4[[#This Row],[month2]],Table4[[#This Row],[day]])</f>
        <v>45973</v>
      </c>
    </row>
    <row r="1365" spans="1:14" ht="16" x14ac:dyDescent="0.35">
      <c r="A1365" t="str">
        <f t="shared" si="42"/>
        <v>12</v>
      </c>
      <c r="B1365">
        <f>_xlfn.SWITCH(Table4[[#This Row],[month]],"jan",1,"feb",2,"mar",3,"apr",4,"may",5,"jun",6,"jul",7,"aug",8,"sep",9,"oct",10,"nov",11,"dec",12,"no month")</f>
        <v>11</v>
      </c>
      <c r="C1365" s="12" t="str">
        <f>LEFT('All Transactions'!$E1365,3)</f>
        <v>Nov</v>
      </c>
      <c r="D1365" s="12" t="str">
        <f t="shared" si="43"/>
        <v>2025</v>
      </c>
      <c r="E1365" s="22" t="s">
        <v>4350</v>
      </c>
      <c r="F1365" s="23" t="s">
        <v>3187</v>
      </c>
      <c r="G1365" s="18" t="s">
        <v>28</v>
      </c>
      <c r="H1365" s="24">
        <v>10</v>
      </c>
      <c r="I1365" s="25" t="s">
        <v>4284</v>
      </c>
      <c r="J1365" s="25" t="s">
        <v>4354</v>
      </c>
      <c r="K1365" s="26" t="s">
        <v>4355</v>
      </c>
      <c r="L1365" s="25" t="s">
        <v>32</v>
      </c>
      <c r="M1365" t="str">
        <f>TEXT(A1365,"dddd")</f>
        <v>Thursday</v>
      </c>
      <c r="N1365" s="35">
        <f>DATE(Table4[[#This Row],[year]],Table4[[#This Row],[month2]],Table4[[#This Row],[day]])</f>
        <v>45973</v>
      </c>
    </row>
    <row r="1366" spans="1:14" ht="16" x14ac:dyDescent="0.35">
      <c r="A1366" t="str">
        <f t="shared" si="42"/>
        <v>11</v>
      </c>
      <c r="B1366">
        <f>_xlfn.SWITCH(Table4[[#This Row],[month]],"jan",1,"feb",2,"mar",3,"apr",4,"may",5,"jun",6,"jul",7,"aug",8,"sep",9,"oct",10,"nov",11,"dec",12,"no month")</f>
        <v>11</v>
      </c>
      <c r="C1366" s="12" t="str">
        <f>LEFT('All Transactions'!$E1366,3)</f>
        <v>Nov</v>
      </c>
      <c r="D1366" s="12" t="str">
        <f t="shared" si="43"/>
        <v>2025</v>
      </c>
      <c r="E1366" s="16" t="s">
        <v>4356</v>
      </c>
      <c r="F1366" s="17" t="s">
        <v>706</v>
      </c>
      <c r="G1366" s="18" t="s">
        <v>28</v>
      </c>
      <c r="H1366" s="19">
        <v>70</v>
      </c>
      <c r="I1366" s="20" t="s">
        <v>4357</v>
      </c>
      <c r="J1366" s="20" t="s">
        <v>4358</v>
      </c>
      <c r="K1366" s="21" t="s">
        <v>4359</v>
      </c>
      <c r="L1366" s="20" t="s">
        <v>32</v>
      </c>
      <c r="M1366" t="str">
        <f>TEXT(A1366,"dddd")</f>
        <v>Wednesday</v>
      </c>
      <c r="N1366" s="35">
        <f>DATE(Table4[[#This Row],[year]],Table4[[#This Row],[month2]],Table4[[#This Row],[day]])</f>
        <v>45972</v>
      </c>
    </row>
    <row r="1367" spans="1:14" ht="16" x14ac:dyDescent="0.35">
      <c r="A1367" t="str">
        <f t="shared" si="42"/>
        <v>10</v>
      </c>
      <c r="B1367">
        <f>_xlfn.SWITCH(Table4[[#This Row],[month]],"jan",1,"feb",2,"mar",3,"apr",4,"may",5,"jun",6,"jul",7,"aug",8,"sep",9,"oct",10,"nov",11,"dec",12,"no month")</f>
        <v>11</v>
      </c>
      <c r="C1367" s="12" t="str">
        <f>LEFT('All Transactions'!$E1367,3)</f>
        <v>Nov</v>
      </c>
      <c r="D1367" s="12" t="str">
        <f t="shared" si="43"/>
        <v>2025</v>
      </c>
      <c r="E1367" s="22" t="s">
        <v>4360</v>
      </c>
      <c r="F1367" s="23" t="s">
        <v>134</v>
      </c>
      <c r="G1367" s="27" t="s">
        <v>54</v>
      </c>
      <c r="H1367" s="24">
        <v>1100</v>
      </c>
      <c r="I1367" s="25" t="s">
        <v>3631</v>
      </c>
      <c r="J1367" s="25" t="s">
        <v>4361</v>
      </c>
      <c r="K1367" s="26" t="s">
        <v>4362</v>
      </c>
      <c r="L1367" s="25" t="s">
        <v>58</v>
      </c>
      <c r="M1367" t="str">
        <f>TEXT(A1367,"dddd")</f>
        <v>Tuesday</v>
      </c>
      <c r="N1367" s="35">
        <f>DATE(Table4[[#This Row],[year]],Table4[[#This Row],[month2]],Table4[[#This Row],[day]])</f>
        <v>45971</v>
      </c>
    </row>
    <row r="1368" spans="1:14" ht="16" x14ac:dyDescent="0.35">
      <c r="A1368" t="str">
        <f t="shared" si="42"/>
        <v>09</v>
      </c>
      <c r="B1368">
        <f>_xlfn.SWITCH(Table4[[#This Row],[month]],"jan",1,"feb",2,"mar",3,"apr",4,"may",5,"jun",6,"jul",7,"aug",8,"sep",9,"oct",10,"nov",11,"dec",12,"no month")</f>
        <v>11</v>
      </c>
      <c r="C1368" s="12" t="str">
        <f>LEFT('All Transactions'!$E1368,3)</f>
        <v>Nov</v>
      </c>
      <c r="D1368" s="12" t="str">
        <f t="shared" si="43"/>
        <v>2025</v>
      </c>
      <c r="E1368" s="16" t="s">
        <v>4363</v>
      </c>
      <c r="F1368" s="17" t="s">
        <v>4364</v>
      </c>
      <c r="G1368" s="18" t="s">
        <v>28</v>
      </c>
      <c r="H1368" s="19">
        <v>15</v>
      </c>
      <c r="I1368" s="20" t="s">
        <v>4365</v>
      </c>
      <c r="J1368" s="20" t="s">
        <v>4366</v>
      </c>
      <c r="K1368" s="21" t="s">
        <v>4367</v>
      </c>
      <c r="L1368" s="20" t="s">
        <v>32</v>
      </c>
      <c r="M1368" t="str">
        <f>TEXT(A1368,"dddd")</f>
        <v>Monday</v>
      </c>
      <c r="N1368" s="35">
        <f>DATE(Table4[[#This Row],[year]],Table4[[#This Row],[month2]],Table4[[#This Row],[day]])</f>
        <v>45970</v>
      </c>
    </row>
    <row r="1369" spans="1:14" ht="16" x14ac:dyDescent="0.35">
      <c r="A1369" t="str">
        <f t="shared" si="42"/>
        <v>09</v>
      </c>
      <c r="B1369">
        <f>_xlfn.SWITCH(Table4[[#This Row],[month]],"jan",1,"feb",2,"mar",3,"apr",4,"may",5,"jun",6,"jul",7,"aug",8,"sep",9,"oct",10,"nov",11,"dec",12,"no month")</f>
        <v>11</v>
      </c>
      <c r="C1369" s="12" t="str">
        <f>LEFT('All Transactions'!$E1369,3)</f>
        <v>Nov</v>
      </c>
      <c r="D1369" s="12" t="str">
        <f t="shared" si="43"/>
        <v>2025</v>
      </c>
      <c r="E1369" s="22" t="s">
        <v>4363</v>
      </c>
      <c r="F1369" s="23" t="s">
        <v>4368</v>
      </c>
      <c r="G1369" s="18" t="s">
        <v>28</v>
      </c>
      <c r="H1369" s="24">
        <v>123</v>
      </c>
      <c r="I1369" s="25" t="s">
        <v>4108</v>
      </c>
      <c r="J1369" s="25" t="s">
        <v>4369</v>
      </c>
      <c r="K1369" s="26" t="s">
        <v>4370</v>
      </c>
      <c r="L1369" s="25" t="s">
        <v>32</v>
      </c>
      <c r="M1369" t="str">
        <f>TEXT(A1369,"dddd")</f>
        <v>Monday</v>
      </c>
      <c r="N1369" s="35">
        <f>DATE(Table4[[#This Row],[year]],Table4[[#This Row],[month2]],Table4[[#This Row],[day]])</f>
        <v>45970</v>
      </c>
    </row>
    <row r="1370" spans="1:14" ht="16" x14ac:dyDescent="0.35">
      <c r="A1370" t="str">
        <f t="shared" si="42"/>
        <v>09</v>
      </c>
      <c r="B1370">
        <f>_xlfn.SWITCH(Table4[[#This Row],[month]],"jan",1,"feb",2,"mar",3,"apr",4,"may",5,"jun",6,"jul",7,"aug",8,"sep",9,"oct",10,"nov",11,"dec",12,"no month")</f>
        <v>11</v>
      </c>
      <c r="C1370" s="12" t="str">
        <f>LEFT('All Transactions'!$E1370,3)</f>
        <v>Nov</v>
      </c>
      <c r="D1370" s="12" t="str">
        <f t="shared" si="43"/>
        <v>2025</v>
      </c>
      <c r="E1370" s="16" t="s">
        <v>4363</v>
      </c>
      <c r="F1370" s="17" t="s">
        <v>4371</v>
      </c>
      <c r="G1370" s="27" t="s">
        <v>54</v>
      </c>
      <c r="H1370" s="19">
        <v>120</v>
      </c>
      <c r="I1370" s="20" t="s">
        <v>1775</v>
      </c>
      <c r="J1370" s="20" t="s">
        <v>4372</v>
      </c>
      <c r="K1370" s="21" t="s">
        <v>4373</v>
      </c>
      <c r="L1370" s="20" t="s">
        <v>58</v>
      </c>
      <c r="M1370" t="str">
        <f>TEXT(A1370,"dddd")</f>
        <v>Monday</v>
      </c>
      <c r="N1370" s="35">
        <f>DATE(Table4[[#This Row],[year]],Table4[[#This Row],[month2]],Table4[[#This Row],[day]])</f>
        <v>45970</v>
      </c>
    </row>
    <row r="1371" spans="1:14" ht="16" x14ac:dyDescent="0.35">
      <c r="A1371" t="str">
        <f t="shared" si="42"/>
        <v>07</v>
      </c>
      <c r="B1371">
        <f>_xlfn.SWITCH(Table4[[#This Row],[month]],"jan",1,"feb",2,"mar",3,"apr",4,"may",5,"jun",6,"jul",7,"aug",8,"sep",9,"oct",10,"nov",11,"dec",12,"no month")</f>
        <v>11</v>
      </c>
      <c r="C1371" s="12" t="str">
        <f>LEFT('All Transactions'!$E1371,3)</f>
        <v>Nov</v>
      </c>
      <c r="D1371" s="12" t="str">
        <f t="shared" si="43"/>
        <v>2025</v>
      </c>
      <c r="E1371" s="22" t="s">
        <v>4374</v>
      </c>
      <c r="F1371" s="23" t="s">
        <v>3282</v>
      </c>
      <c r="G1371" s="18" t="s">
        <v>28</v>
      </c>
      <c r="H1371" s="24">
        <v>100</v>
      </c>
      <c r="I1371" s="25" t="s">
        <v>4375</v>
      </c>
      <c r="J1371" s="25" t="s">
        <v>4376</v>
      </c>
      <c r="K1371" s="26" t="s">
        <v>4377</v>
      </c>
      <c r="L1371" s="25" t="s">
        <v>32</v>
      </c>
      <c r="M1371" t="str">
        <f>TEXT(A1371,"dddd")</f>
        <v>Saturday</v>
      </c>
      <c r="N1371" s="35">
        <f>DATE(Table4[[#This Row],[year]],Table4[[#This Row],[month2]],Table4[[#This Row],[day]])</f>
        <v>45968</v>
      </c>
    </row>
    <row r="1372" spans="1:14" ht="16" x14ac:dyDescent="0.35">
      <c r="A1372" t="str">
        <f t="shared" si="42"/>
        <v>06</v>
      </c>
      <c r="B1372">
        <f>_xlfn.SWITCH(Table4[[#This Row],[month]],"jan",1,"feb",2,"mar",3,"apr",4,"may",5,"jun",6,"jul",7,"aug",8,"sep",9,"oct",10,"nov",11,"dec",12,"no month")</f>
        <v>11</v>
      </c>
      <c r="C1372" s="12" t="str">
        <f>LEFT('All Transactions'!$E1372,3)</f>
        <v>Nov</v>
      </c>
      <c r="D1372" s="12" t="str">
        <f t="shared" si="43"/>
        <v>2025</v>
      </c>
      <c r="E1372" s="16" t="s">
        <v>4378</v>
      </c>
      <c r="F1372" s="17" t="s">
        <v>1575</v>
      </c>
      <c r="G1372" s="27" t="s">
        <v>54</v>
      </c>
      <c r="H1372" s="19">
        <v>19</v>
      </c>
      <c r="I1372" s="20" t="s">
        <v>3631</v>
      </c>
      <c r="J1372" s="20" t="s">
        <v>4379</v>
      </c>
      <c r="K1372" s="21" t="s">
        <v>4380</v>
      </c>
      <c r="L1372" s="20" t="s">
        <v>58</v>
      </c>
      <c r="M1372" t="str">
        <f>TEXT(A1372,"dddd")</f>
        <v>Friday</v>
      </c>
      <c r="N1372" s="35">
        <f>DATE(Table4[[#This Row],[year]],Table4[[#This Row],[month2]],Table4[[#This Row],[day]])</f>
        <v>45967</v>
      </c>
    </row>
    <row r="1373" spans="1:14" ht="16" x14ac:dyDescent="0.35">
      <c r="A1373" t="str">
        <f t="shared" si="42"/>
        <v>06</v>
      </c>
      <c r="B1373">
        <f>_xlfn.SWITCH(Table4[[#This Row],[month]],"jan",1,"feb",2,"mar",3,"apr",4,"may",5,"jun",6,"jul",7,"aug",8,"sep",9,"oct",10,"nov",11,"dec",12,"no month")</f>
        <v>11</v>
      </c>
      <c r="C1373" s="12" t="str">
        <f>LEFT('All Transactions'!$E1373,3)</f>
        <v>Nov</v>
      </c>
      <c r="D1373" s="12" t="str">
        <f t="shared" si="43"/>
        <v>2025</v>
      </c>
      <c r="E1373" s="22" t="s">
        <v>4378</v>
      </c>
      <c r="F1373" s="23" t="s">
        <v>1734</v>
      </c>
      <c r="G1373" s="18" t="s">
        <v>28</v>
      </c>
      <c r="H1373" s="24">
        <v>19</v>
      </c>
      <c r="I1373" s="25" t="s">
        <v>4381</v>
      </c>
      <c r="J1373" s="25" t="s">
        <v>4382</v>
      </c>
      <c r="K1373" s="26" t="s">
        <v>4383</v>
      </c>
      <c r="L1373" s="25" t="s">
        <v>32</v>
      </c>
      <c r="M1373" t="str">
        <f>TEXT(A1373,"dddd")</f>
        <v>Friday</v>
      </c>
      <c r="N1373" s="35">
        <f>DATE(Table4[[#This Row],[year]],Table4[[#This Row],[month2]],Table4[[#This Row],[day]])</f>
        <v>45967</v>
      </c>
    </row>
    <row r="1374" spans="1:14" ht="16" x14ac:dyDescent="0.35">
      <c r="A1374" t="str">
        <f t="shared" si="42"/>
        <v>06</v>
      </c>
      <c r="B1374">
        <f>_xlfn.SWITCH(Table4[[#This Row],[month]],"jan",1,"feb",2,"mar",3,"apr",4,"may",5,"jun",6,"jul",7,"aug",8,"sep",9,"oct",10,"nov",11,"dec",12,"no month")</f>
        <v>11</v>
      </c>
      <c r="C1374" s="12" t="str">
        <f>LEFT('All Transactions'!$E1374,3)</f>
        <v>Nov</v>
      </c>
      <c r="D1374" s="12" t="str">
        <f t="shared" si="43"/>
        <v>2025</v>
      </c>
      <c r="E1374" s="16" t="s">
        <v>4378</v>
      </c>
      <c r="F1374" s="17" t="s">
        <v>1013</v>
      </c>
      <c r="G1374" s="18" t="s">
        <v>28</v>
      </c>
      <c r="H1374" s="19">
        <v>25</v>
      </c>
      <c r="I1374" s="20" t="s">
        <v>4384</v>
      </c>
      <c r="J1374" s="20" t="s">
        <v>4385</v>
      </c>
      <c r="K1374" s="21" t="s">
        <v>4386</v>
      </c>
      <c r="L1374" s="20" t="s">
        <v>32</v>
      </c>
      <c r="M1374" t="str">
        <f>TEXT(A1374,"dddd")</f>
        <v>Friday</v>
      </c>
      <c r="N1374" s="35">
        <f>DATE(Table4[[#This Row],[year]],Table4[[#This Row],[month2]],Table4[[#This Row],[day]])</f>
        <v>45967</v>
      </c>
    </row>
    <row r="1375" spans="1:14" ht="16" x14ac:dyDescent="0.35">
      <c r="A1375" t="str">
        <f t="shared" si="42"/>
        <v>06</v>
      </c>
      <c r="B1375">
        <f>_xlfn.SWITCH(Table4[[#This Row],[month]],"jan",1,"feb",2,"mar",3,"apr",4,"may",5,"jun",6,"jul",7,"aug",8,"sep",9,"oct",10,"nov",11,"dec",12,"no month")</f>
        <v>11</v>
      </c>
      <c r="C1375" s="12" t="str">
        <f>LEFT('All Transactions'!$E1375,3)</f>
        <v>Nov</v>
      </c>
      <c r="D1375" s="12" t="str">
        <f t="shared" si="43"/>
        <v>2025</v>
      </c>
      <c r="E1375" s="22" t="s">
        <v>4378</v>
      </c>
      <c r="F1375" s="23" t="s">
        <v>3128</v>
      </c>
      <c r="G1375" s="18" t="s">
        <v>28</v>
      </c>
      <c r="H1375" s="24">
        <v>10</v>
      </c>
      <c r="I1375" s="25" t="s">
        <v>4387</v>
      </c>
      <c r="J1375" s="25" t="s">
        <v>4388</v>
      </c>
      <c r="K1375" s="26" t="s">
        <v>4389</v>
      </c>
      <c r="L1375" s="25" t="s">
        <v>32</v>
      </c>
      <c r="M1375" t="str">
        <f>TEXT(A1375,"dddd")</f>
        <v>Friday</v>
      </c>
      <c r="N1375" s="35">
        <f>DATE(Table4[[#This Row],[year]],Table4[[#This Row],[month2]],Table4[[#This Row],[day]])</f>
        <v>45967</v>
      </c>
    </row>
    <row r="1376" spans="1:14" ht="16" x14ac:dyDescent="0.35">
      <c r="A1376" t="str">
        <f t="shared" si="42"/>
        <v>06</v>
      </c>
      <c r="B1376">
        <f>_xlfn.SWITCH(Table4[[#This Row],[month]],"jan",1,"feb",2,"mar",3,"apr",4,"may",5,"jun",6,"jul",7,"aug",8,"sep",9,"oct",10,"nov",11,"dec",12,"no month")</f>
        <v>11</v>
      </c>
      <c r="C1376" s="12" t="str">
        <f>LEFT('All Transactions'!$E1376,3)</f>
        <v>Nov</v>
      </c>
      <c r="D1376" s="12" t="str">
        <f t="shared" si="43"/>
        <v>2025</v>
      </c>
      <c r="E1376" s="16" t="s">
        <v>4378</v>
      </c>
      <c r="F1376" s="17" t="s">
        <v>3128</v>
      </c>
      <c r="G1376" s="18" t="s">
        <v>28</v>
      </c>
      <c r="H1376" s="19">
        <v>20</v>
      </c>
      <c r="I1376" s="20" t="s">
        <v>4390</v>
      </c>
      <c r="J1376" s="20" t="s">
        <v>4391</v>
      </c>
      <c r="K1376" s="21" t="s">
        <v>4392</v>
      </c>
      <c r="L1376" s="20" t="s">
        <v>32</v>
      </c>
      <c r="M1376" t="str">
        <f>TEXT(A1376,"dddd")</f>
        <v>Friday</v>
      </c>
      <c r="N1376" s="35">
        <f>DATE(Table4[[#This Row],[year]],Table4[[#This Row],[month2]],Table4[[#This Row],[day]])</f>
        <v>45967</v>
      </c>
    </row>
    <row r="1377" spans="1:14" ht="16" x14ac:dyDescent="0.35">
      <c r="A1377" t="str">
        <f t="shared" si="42"/>
        <v>06</v>
      </c>
      <c r="B1377">
        <f>_xlfn.SWITCH(Table4[[#This Row],[month]],"jan",1,"feb",2,"mar",3,"apr",4,"may",5,"jun",6,"jul",7,"aug",8,"sep",9,"oct",10,"nov",11,"dec",12,"no month")</f>
        <v>11</v>
      </c>
      <c r="C1377" s="12" t="str">
        <f>LEFT('All Transactions'!$E1377,3)</f>
        <v>Nov</v>
      </c>
      <c r="D1377" s="12" t="str">
        <f t="shared" si="43"/>
        <v>2025</v>
      </c>
      <c r="E1377" s="22" t="s">
        <v>4378</v>
      </c>
      <c r="F1377" s="23" t="s">
        <v>4393</v>
      </c>
      <c r="G1377" s="27" t="s">
        <v>54</v>
      </c>
      <c r="H1377" s="24">
        <v>140</v>
      </c>
      <c r="I1377" s="25" t="s">
        <v>4105</v>
      </c>
      <c r="J1377" s="25" t="s">
        <v>4394</v>
      </c>
      <c r="K1377" s="26" t="s">
        <v>4395</v>
      </c>
      <c r="L1377" s="25" t="s">
        <v>58</v>
      </c>
      <c r="M1377" t="str">
        <f>TEXT(A1377,"dddd")</f>
        <v>Friday</v>
      </c>
      <c r="N1377" s="35">
        <f>DATE(Table4[[#This Row],[year]],Table4[[#This Row],[month2]],Table4[[#This Row],[day]])</f>
        <v>45967</v>
      </c>
    </row>
    <row r="1378" spans="1:14" ht="16" x14ac:dyDescent="0.35">
      <c r="A1378" t="str">
        <f t="shared" si="42"/>
        <v>06</v>
      </c>
      <c r="B1378">
        <f>_xlfn.SWITCH(Table4[[#This Row],[month]],"jan",1,"feb",2,"mar",3,"apr",4,"may",5,"jun",6,"jul",7,"aug",8,"sep",9,"oct",10,"nov",11,"dec",12,"no month")</f>
        <v>11</v>
      </c>
      <c r="C1378" s="12" t="str">
        <f>LEFT('All Transactions'!$E1378,3)</f>
        <v>Nov</v>
      </c>
      <c r="D1378" s="12" t="str">
        <f t="shared" si="43"/>
        <v>2025</v>
      </c>
      <c r="E1378" s="16" t="s">
        <v>4378</v>
      </c>
      <c r="F1378" s="17" t="s">
        <v>4396</v>
      </c>
      <c r="G1378" s="27" t="s">
        <v>54</v>
      </c>
      <c r="H1378" s="19">
        <v>90</v>
      </c>
      <c r="I1378" s="20" t="s">
        <v>3922</v>
      </c>
      <c r="J1378" s="20" t="s">
        <v>4397</v>
      </c>
      <c r="K1378" s="21" t="s">
        <v>4398</v>
      </c>
      <c r="L1378" s="20" t="s">
        <v>58</v>
      </c>
      <c r="M1378" t="str">
        <f>TEXT(A1378,"dddd")</f>
        <v>Friday</v>
      </c>
      <c r="N1378" s="35">
        <f>DATE(Table4[[#This Row],[year]],Table4[[#This Row],[month2]],Table4[[#This Row],[day]])</f>
        <v>45967</v>
      </c>
    </row>
    <row r="1379" spans="1:14" ht="16" x14ac:dyDescent="0.35">
      <c r="A1379" t="str">
        <f t="shared" si="42"/>
        <v>06</v>
      </c>
      <c r="B1379">
        <f>_xlfn.SWITCH(Table4[[#This Row],[month]],"jan",1,"feb",2,"mar",3,"apr",4,"may",5,"jun",6,"jul",7,"aug",8,"sep",9,"oct",10,"nov",11,"dec",12,"no month")</f>
        <v>11</v>
      </c>
      <c r="C1379" s="12" t="str">
        <f>LEFT('All Transactions'!$E1379,3)</f>
        <v>Nov</v>
      </c>
      <c r="D1379" s="12" t="str">
        <f t="shared" si="43"/>
        <v>2025</v>
      </c>
      <c r="E1379" s="22" t="s">
        <v>4378</v>
      </c>
      <c r="F1379" s="23" t="s">
        <v>4399</v>
      </c>
      <c r="G1379" s="18" t="s">
        <v>28</v>
      </c>
      <c r="H1379" s="24">
        <v>270</v>
      </c>
      <c r="I1379" s="25" t="s">
        <v>4400</v>
      </c>
      <c r="J1379" s="25" t="s">
        <v>4401</v>
      </c>
      <c r="K1379" s="26" t="s">
        <v>4402</v>
      </c>
      <c r="L1379" s="25" t="s">
        <v>32</v>
      </c>
      <c r="M1379" t="str">
        <f>TEXT(A1379,"dddd")</f>
        <v>Friday</v>
      </c>
      <c r="N1379" s="35">
        <f>DATE(Table4[[#This Row],[year]],Table4[[#This Row],[month2]],Table4[[#This Row],[day]])</f>
        <v>45967</v>
      </c>
    </row>
    <row r="1380" spans="1:14" ht="16" x14ac:dyDescent="0.35">
      <c r="A1380" t="str">
        <f t="shared" si="42"/>
        <v>05</v>
      </c>
      <c r="B1380">
        <f>_xlfn.SWITCH(Table4[[#This Row],[month]],"jan",1,"feb",2,"mar",3,"apr",4,"may",5,"jun",6,"jul",7,"aug",8,"sep",9,"oct",10,"nov",11,"dec",12,"no month")</f>
        <v>11</v>
      </c>
      <c r="C1380" s="12" t="str">
        <f>LEFT('All Transactions'!$E1380,3)</f>
        <v>Nov</v>
      </c>
      <c r="D1380" s="12" t="str">
        <f t="shared" si="43"/>
        <v>2025</v>
      </c>
      <c r="E1380" s="16" t="s">
        <v>4403</v>
      </c>
      <c r="F1380" s="17" t="s">
        <v>449</v>
      </c>
      <c r="G1380" s="18" t="s">
        <v>28</v>
      </c>
      <c r="H1380" s="19">
        <v>100</v>
      </c>
      <c r="I1380" s="20" t="s">
        <v>4404</v>
      </c>
      <c r="J1380" s="20" t="s">
        <v>4405</v>
      </c>
      <c r="K1380" s="21" t="s">
        <v>4406</v>
      </c>
      <c r="L1380" s="20" t="s">
        <v>32</v>
      </c>
      <c r="M1380" t="str">
        <f>TEXT(A1380,"dddd")</f>
        <v>Thursday</v>
      </c>
      <c r="N1380" s="35">
        <f>DATE(Table4[[#This Row],[year]],Table4[[#This Row],[month2]],Table4[[#This Row],[day]])</f>
        <v>45966</v>
      </c>
    </row>
    <row r="1381" spans="1:14" ht="16" x14ac:dyDescent="0.35">
      <c r="A1381" t="str">
        <f t="shared" si="42"/>
        <v>05</v>
      </c>
      <c r="B1381">
        <f>_xlfn.SWITCH(Table4[[#This Row],[month]],"jan",1,"feb",2,"mar",3,"apr",4,"may",5,"jun",6,"jul",7,"aug",8,"sep",9,"oct",10,"nov",11,"dec",12,"no month")</f>
        <v>11</v>
      </c>
      <c r="C1381" s="12" t="str">
        <f>LEFT('All Transactions'!$E1381,3)</f>
        <v>Nov</v>
      </c>
      <c r="D1381" s="12" t="str">
        <f t="shared" si="43"/>
        <v>2025</v>
      </c>
      <c r="E1381" s="22" t="s">
        <v>4403</v>
      </c>
      <c r="F1381" s="23" t="s">
        <v>1145</v>
      </c>
      <c r="G1381" s="18" t="s">
        <v>28</v>
      </c>
      <c r="H1381" s="24">
        <v>1000</v>
      </c>
      <c r="I1381" s="25" t="s">
        <v>4407</v>
      </c>
      <c r="J1381" s="25" t="s">
        <v>4408</v>
      </c>
      <c r="K1381" s="26" t="s">
        <v>4409</v>
      </c>
      <c r="L1381" s="25" t="s">
        <v>32</v>
      </c>
      <c r="M1381" t="str">
        <f>TEXT(A1381,"dddd")</f>
        <v>Thursday</v>
      </c>
      <c r="N1381" s="35">
        <f>DATE(Table4[[#This Row],[year]],Table4[[#This Row],[month2]],Table4[[#This Row],[day]])</f>
        <v>45966</v>
      </c>
    </row>
    <row r="1382" spans="1:14" ht="16" x14ac:dyDescent="0.35">
      <c r="A1382" t="str">
        <f t="shared" si="42"/>
        <v>05</v>
      </c>
      <c r="B1382">
        <f>_xlfn.SWITCH(Table4[[#This Row],[month]],"jan",1,"feb",2,"mar",3,"apr",4,"may",5,"jun",6,"jul",7,"aug",8,"sep",9,"oct",10,"nov",11,"dec",12,"no month")</f>
        <v>11</v>
      </c>
      <c r="C1382" s="12" t="str">
        <f>LEFT('All Transactions'!$E1382,3)</f>
        <v>Nov</v>
      </c>
      <c r="D1382" s="12" t="str">
        <f t="shared" si="43"/>
        <v>2025</v>
      </c>
      <c r="E1382" s="16" t="s">
        <v>4403</v>
      </c>
      <c r="F1382" s="17" t="s">
        <v>4410</v>
      </c>
      <c r="G1382" s="27" t="s">
        <v>54</v>
      </c>
      <c r="H1382" s="19">
        <v>1500</v>
      </c>
      <c r="I1382" s="20" t="s">
        <v>1090</v>
      </c>
      <c r="J1382" s="20" t="s">
        <v>4411</v>
      </c>
      <c r="K1382" s="21" t="s">
        <v>4412</v>
      </c>
      <c r="L1382" s="20" t="s">
        <v>58</v>
      </c>
      <c r="M1382" t="str">
        <f>TEXT(A1382,"dddd")</f>
        <v>Thursday</v>
      </c>
      <c r="N1382" s="35">
        <f>DATE(Table4[[#This Row],[year]],Table4[[#This Row],[month2]],Table4[[#This Row],[day]])</f>
        <v>45966</v>
      </c>
    </row>
    <row r="1383" spans="1:14" ht="16" x14ac:dyDescent="0.35">
      <c r="A1383" t="str">
        <f t="shared" si="42"/>
        <v>05</v>
      </c>
      <c r="B1383">
        <f>_xlfn.SWITCH(Table4[[#This Row],[month]],"jan",1,"feb",2,"mar",3,"apr",4,"may",5,"jun",6,"jul",7,"aug",8,"sep",9,"oct",10,"nov",11,"dec",12,"no month")</f>
        <v>11</v>
      </c>
      <c r="C1383" s="12" t="str">
        <f>LEFT('All Transactions'!$E1383,3)</f>
        <v>Nov</v>
      </c>
      <c r="D1383" s="12" t="str">
        <f t="shared" si="43"/>
        <v>2025</v>
      </c>
      <c r="E1383" s="22" t="s">
        <v>4403</v>
      </c>
      <c r="F1383" s="23" t="s">
        <v>4199</v>
      </c>
      <c r="G1383" s="27" t="s">
        <v>54</v>
      </c>
      <c r="H1383" s="24">
        <v>200</v>
      </c>
      <c r="I1383" s="25" t="s">
        <v>4413</v>
      </c>
      <c r="J1383" s="25" t="s">
        <v>4414</v>
      </c>
      <c r="K1383" s="26" t="s">
        <v>4415</v>
      </c>
      <c r="L1383" s="25" t="s">
        <v>58</v>
      </c>
      <c r="M1383" t="str">
        <f>TEXT(A1383,"dddd")</f>
        <v>Thursday</v>
      </c>
      <c r="N1383" s="35">
        <f>DATE(Table4[[#This Row],[year]],Table4[[#This Row],[month2]],Table4[[#This Row],[day]])</f>
        <v>45966</v>
      </c>
    </row>
    <row r="1384" spans="1:14" ht="16" x14ac:dyDescent="0.35">
      <c r="A1384" t="str">
        <f t="shared" si="42"/>
        <v>05</v>
      </c>
      <c r="B1384">
        <f>_xlfn.SWITCH(Table4[[#This Row],[month]],"jan",1,"feb",2,"mar",3,"apr",4,"may",5,"jun",6,"jul",7,"aug",8,"sep",9,"oct",10,"nov",11,"dec",12,"no month")</f>
        <v>11</v>
      </c>
      <c r="C1384" s="12" t="str">
        <f>LEFT('All Transactions'!$E1384,3)</f>
        <v>Nov</v>
      </c>
      <c r="D1384" s="12" t="str">
        <f t="shared" si="43"/>
        <v>2025</v>
      </c>
      <c r="E1384" s="16" t="s">
        <v>4403</v>
      </c>
      <c r="F1384" s="17" t="s">
        <v>1625</v>
      </c>
      <c r="G1384" s="18" t="s">
        <v>28</v>
      </c>
      <c r="H1384" s="19">
        <v>200</v>
      </c>
      <c r="I1384" s="20" t="s">
        <v>4416</v>
      </c>
      <c r="J1384" s="20" t="s">
        <v>4417</v>
      </c>
      <c r="K1384" s="21" t="s">
        <v>4418</v>
      </c>
      <c r="L1384" s="20" t="s">
        <v>32</v>
      </c>
      <c r="M1384" t="str">
        <f>TEXT(A1384,"dddd")</f>
        <v>Thursday</v>
      </c>
      <c r="N1384" s="35">
        <f>DATE(Table4[[#This Row],[year]],Table4[[#This Row],[month2]],Table4[[#This Row],[day]])</f>
        <v>45966</v>
      </c>
    </row>
    <row r="1385" spans="1:14" ht="16" x14ac:dyDescent="0.35">
      <c r="A1385" t="str">
        <f t="shared" si="42"/>
        <v>05</v>
      </c>
      <c r="B1385">
        <f>_xlfn.SWITCH(Table4[[#This Row],[month]],"jan",1,"feb",2,"mar",3,"apr",4,"may",5,"jun",6,"jul",7,"aug",8,"sep",9,"oct",10,"nov",11,"dec",12,"no month")</f>
        <v>11</v>
      </c>
      <c r="C1385" s="12" t="str">
        <f>LEFT('All Transactions'!$E1385,3)</f>
        <v>Nov</v>
      </c>
      <c r="D1385" s="12" t="str">
        <f t="shared" si="43"/>
        <v>2025</v>
      </c>
      <c r="E1385" s="22" t="s">
        <v>4403</v>
      </c>
      <c r="F1385" s="23" t="s">
        <v>1899</v>
      </c>
      <c r="G1385" s="27" t="s">
        <v>54</v>
      </c>
      <c r="H1385" s="24">
        <v>1500</v>
      </c>
      <c r="I1385" s="25" t="s">
        <v>1090</v>
      </c>
      <c r="J1385" s="25" t="s">
        <v>4419</v>
      </c>
      <c r="K1385" s="26" t="s">
        <v>4420</v>
      </c>
      <c r="L1385" s="25" t="s">
        <v>58</v>
      </c>
      <c r="M1385" t="str">
        <f>TEXT(A1385,"dddd")</f>
        <v>Thursday</v>
      </c>
      <c r="N1385" s="35">
        <f>DATE(Table4[[#This Row],[year]],Table4[[#This Row],[month2]],Table4[[#This Row],[day]])</f>
        <v>45966</v>
      </c>
    </row>
    <row r="1386" spans="1:14" ht="16" x14ac:dyDescent="0.35">
      <c r="A1386" t="str">
        <f t="shared" si="42"/>
        <v>05</v>
      </c>
      <c r="B1386">
        <f>_xlfn.SWITCH(Table4[[#This Row],[month]],"jan",1,"feb",2,"mar",3,"apr",4,"may",5,"jun",6,"jul",7,"aug",8,"sep",9,"oct",10,"nov",11,"dec",12,"no month")</f>
        <v>11</v>
      </c>
      <c r="C1386" s="12" t="str">
        <f>LEFT('All Transactions'!$E1386,3)</f>
        <v>Nov</v>
      </c>
      <c r="D1386" s="12" t="str">
        <f t="shared" si="43"/>
        <v>2025</v>
      </c>
      <c r="E1386" s="16" t="s">
        <v>4403</v>
      </c>
      <c r="F1386" s="17" t="s">
        <v>928</v>
      </c>
      <c r="G1386" s="18" t="s">
        <v>28</v>
      </c>
      <c r="H1386" s="19">
        <v>60</v>
      </c>
      <c r="I1386" s="20" t="s">
        <v>4421</v>
      </c>
      <c r="J1386" s="20" t="s">
        <v>4422</v>
      </c>
      <c r="K1386" s="21" t="s">
        <v>4423</v>
      </c>
      <c r="L1386" s="20" t="s">
        <v>32</v>
      </c>
      <c r="M1386" t="str">
        <f>TEXT(A1386,"dddd")</f>
        <v>Thursday</v>
      </c>
      <c r="N1386" s="35">
        <f>DATE(Table4[[#This Row],[year]],Table4[[#This Row],[month2]],Table4[[#This Row],[day]])</f>
        <v>45966</v>
      </c>
    </row>
    <row r="1387" spans="1:14" ht="16" x14ac:dyDescent="0.35">
      <c r="A1387" t="str">
        <f t="shared" si="42"/>
        <v>04</v>
      </c>
      <c r="B1387">
        <f>_xlfn.SWITCH(Table4[[#This Row],[month]],"jan",1,"feb",2,"mar",3,"apr",4,"may",5,"jun",6,"jul",7,"aug",8,"sep",9,"oct",10,"nov",11,"dec",12,"no month")</f>
        <v>11</v>
      </c>
      <c r="C1387" s="12" t="str">
        <f>LEFT('All Transactions'!$E1387,3)</f>
        <v>Nov</v>
      </c>
      <c r="D1387" s="12" t="str">
        <f t="shared" si="43"/>
        <v>2025</v>
      </c>
      <c r="E1387" s="22" t="s">
        <v>4424</v>
      </c>
      <c r="F1387" s="23" t="s">
        <v>873</v>
      </c>
      <c r="G1387" s="18" t="s">
        <v>28</v>
      </c>
      <c r="H1387" s="24">
        <v>2000</v>
      </c>
      <c r="I1387" s="25" t="s">
        <v>2871</v>
      </c>
      <c r="J1387" s="25" t="s">
        <v>4425</v>
      </c>
      <c r="K1387" s="26" t="s">
        <v>4426</v>
      </c>
      <c r="L1387" s="25" t="s">
        <v>32</v>
      </c>
      <c r="M1387" t="str">
        <f>TEXT(A1387,"dddd")</f>
        <v>Wednesday</v>
      </c>
      <c r="N1387" s="35">
        <f>DATE(Table4[[#This Row],[year]],Table4[[#This Row],[month2]],Table4[[#This Row],[day]])</f>
        <v>45965</v>
      </c>
    </row>
    <row r="1388" spans="1:14" ht="16" x14ac:dyDescent="0.35">
      <c r="A1388" t="str">
        <f t="shared" si="42"/>
        <v>04</v>
      </c>
      <c r="B1388">
        <f>_xlfn.SWITCH(Table4[[#This Row],[month]],"jan",1,"feb",2,"mar",3,"apr",4,"may",5,"jun",6,"jul",7,"aug",8,"sep",9,"oct",10,"nov",11,"dec",12,"no month")</f>
        <v>11</v>
      </c>
      <c r="C1388" s="12" t="str">
        <f>LEFT('All Transactions'!$E1388,3)</f>
        <v>Nov</v>
      </c>
      <c r="D1388" s="12" t="str">
        <f t="shared" si="43"/>
        <v>2025</v>
      </c>
      <c r="E1388" s="16" t="s">
        <v>4424</v>
      </c>
      <c r="F1388" s="17" t="s">
        <v>1689</v>
      </c>
      <c r="G1388" s="18" t="s">
        <v>28</v>
      </c>
      <c r="H1388" s="19">
        <v>3</v>
      </c>
      <c r="I1388" s="20" t="s">
        <v>4427</v>
      </c>
      <c r="J1388" s="20" t="s">
        <v>4428</v>
      </c>
      <c r="K1388" s="21" t="s">
        <v>4429</v>
      </c>
      <c r="L1388" s="20" t="s">
        <v>32</v>
      </c>
      <c r="M1388" t="str">
        <f>TEXT(A1388,"dddd")</f>
        <v>Wednesday</v>
      </c>
      <c r="N1388" s="35">
        <f>DATE(Table4[[#This Row],[year]],Table4[[#This Row],[month2]],Table4[[#This Row],[day]])</f>
        <v>45965</v>
      </c>
    </row>
    <row r="1389" spans="1:14" ht="16" x14ac:dyDescent="0.35">
      <c r="A1389" t="str">
        <f t="shared" si="42"/>
        <v>04</v>
      </c>
      <c r="B1389">
        <f>_xlfn.SWITCH(Table4[[#This Row],[month]],"jan",1,"feb",2,"mar",3,"apr",4,"may",5,"jun",6,"jul",7,"aug",8,"sep",9,"oct",10,"nov",11,"dec",12,"no month")</f>
        <v>11</v>
      </c>
      <c r="C1389" s="12" t="str">
        <f>LEFT('All Transactions'!$E1389,3)</f>
        <v>Nov</v>
      </c>
      <c r="D1389" s="12" t="str">
        <f t="shared" si="43"/>
        <v>2025</v>
      </c>
      <c r="E1389" s="22" t="s">
        <v>4424</v>
      </c>
      <c r="F1389" s="23" t="s">
        <v>3239</v>
      </c>
      <c r="G1389" s="18" t="s">
        <v>28</v>
      </c>
      <c r="H1389" s="24">
        <v>30</v>
      </c>
      <c r="I1389" s="25" t="s">
        <v>4430</v>
      </c>
      <c r="J1389" s="25" t="s">
        <v>4431</v>
      </c>
      <c r="K1389" s="26" t="s">
        <v>4432</v>
      </c>
      <c r="L1389" s="25" t="s">
        <v>32</v>
      </c>
      <c r="M1389" t="str">
        <f>TEXT(A1389,"dddd")</f>
        <v>Wednesday</v>
      </c>
      <c r="N1389" s="35">
        <f>DATE(Table4[[#This Row],[year]],Table4[[#This Row],[month2]],Table4[[#This Row],[day]])</f>
        <v>45965</v>
      </c>
    </row>
    <row r="1390" spans="1:14" ht="16" x14ac:dyDescent="0.35">
      <c r="A1390" t="str">
        <f t="shared" si="42"/>
        <v>04</v>
      </c>
      <c r="B1390">
        <f>_xlfn.SWITCH(Table4[[#This Row],[month]],"jan",1,"feb",2,"mar",3,"apr",4,"may",5,"jun",6,"jul",7,"aug",8,"sep",9,"oct",10,"nov",11,"dec",12,"no month")</f>
        <v>11</v>
      </c>
      <c r="C1390" s="12" t="str">
        <f>LEFT('All Transactions'!$E1390,3)</f>
        <v>Nov</v>
      </c>
      <c r="D1390" s="12" t="str">
        <f t="shared" si="43"/>
        <v>2025</v>
      </c>
      <c r="E1390" s="16" t="s">
        <v>4424</v>
      </c>
      <c r="F1390" s="17" t="s">
        <v>1048</v>
      </c>
      <c r="G1390" s="18" t="s">
        <v>28</v>
      </c>
      <c r="H1390" s="19">
        <v>220</v>
      </c>
      <c r="I1390" s="20" t="s">
        <v>4433</v>
      </c>
      <c r="J1390" s="20" t="s">
        <v>4434</v>
      </c>
      <c r="K1390" s="21" t="s">
        <v>4435</v>
      </c>
      <c r="L1390" s="20" t="s">
        <v>32</v>
      </c>
      <c r="M1390" t="str">
        <f>TEXT(A1390,"dddd")</f>
        <v>Wednesday</v>
      </c>
      <c r="N1390" s="35">
        <f>DATE(Table4[[#This Row],[year]],Table4[[#This Row],[month2]],Table4[[#This Row],[day]])</f>
        <v>45965</v>
      </c>
    </row>
    <row r="1391" spans="1:14" ht="16" x14ac:dyDescent="0.35">
      <c r="A1391" t="str">
        <f t="shared" si="42"/>
        <v>04</v>
      </c>
      <c r="B1391">
        <f>_xlfn.SWITCH(Table4[[#This Row],[month]],"jan",1,"feb",2,"mar",3,"apr",4,"may",5,"jun",6,"jul",7,"aug",8,"sep",9,"oct",10,"nov",11,"dec",12,"no month")</f>
        <v>11</v>
      </c>
      <c r="C1391" s="12" t="str">
        <f>LEFT('All Transactions'!$E1391,3)</f>
        <v>Nov</v>
      </c>
      <c r="D1391" s="12" t="str">
        <f t="shared" si="43"/>
        <v>2025</v>
      </c>
      <c r="E1391" s="22" t="s">
        <v>4424</v>
      </c>
      <c r="F1391" s="23" t="s">
        <v>1048</v>
      </c>
      <c r="G1391" s="27" t="s">
        <v>54</v>
      </c>
      <c r="H1391" s="24">
        <v>250</v>
      </c>
      <c r="I1391" s="25" t="s">
        <v>1775</v>
      </c>
      <c r="J1391" s="25" t="s">
        <v>4436</v>
      </c>
      <c r="K1391" s="26" t="s">
        <v>4437</v>
      </c>
      <c r="L1391" s="25" t="s">
        <v>58</v>
      </c>
      <c r="M1391" t="str">
        <f>TEXT(A1391,"dddd")</f>
        <v>Wednesday</v>
      </c>
      <c r="N1391" s="35">
        <f>DATE(Table4[[#This Row],[year]],Table4[[#This Row],[month2]],Table4[[#This Row],[day]])</f>
        <v>45965</v>
      </c>
    </row>
    <row r="1392" spans="1:14" ht="16" x14ac:dyDescent="0.35">
      <c r="A1392" t="str">
        <f t="shared" si="42"/>
        <v>04</v>
      </c>
      <c r="B1392">
        <f>_xlfn.SWITCH(Table4[[#This Row],[month]],"jan",1,"feb",2,"mar",3,"apr",4,"may",5,"jun",6,"jul",7,"aug",8,"sep",9,"oct",10,"nov",11,"dec",12,"no month")</f>
        <v>11</v>
      </c>
      <c r="C1392" s="12" t="str">
        <f>LEFT('All Transactions'!$E1392,3)</f>
        <v>Nov</v>
      </c>
      <c r="D1392" s="12" t="str">
        <f t="shared" si="43"/>
        <v>2025</v>
      </c>
      <c r="E1392" s="16" t="s">
        <v>4424</v>
      </c>
      <c r="F1392" s="17" t="s">
        <v>4438</v>
      </c>
      <c r="G1392" s="18" t="s">
        <v>28</v>
      </c>
      <c r="H1392" s="19">
        <v>30</v>
      </c>
      <c r="I1392" s="20" t="s">
        <v>4430</v>
      </c>
      <c r="J1392" s="20" t="s">
        <v>4439</v>
      </c>
      <c r="K1392" s="21" t="s">
        <v>4440</v>
      </c>
      <c r="L1392" s="20" t="s">
        <v>32</v>
      </c>
      <c r="M1392" t="str">
        <f>TEXT(A1392,"dddd")</f>
        <v>Wednesday</v>
      </c>
      <c r="N1392" s="35">
        <f>DATE(Table4[[#This Row],[year]],Table4[[#This Row],[month2]],Table4[[#This Row],[day]])</f>
        <v>45965</v>
      </c>
    </row>
    <row r="1393" spans="1:14" ht="16" x14ac:dyDescent="0.35">
      <c r="A1393" t="str">
        <f t="shared" si="42"/>
        <v>04</v>
      </c>
      <c r="B1393">
        <f>_xlfn.SWITCH(Table4[[#This Row],[month]],"jan",1,"feb",2,"mar",3,"apr",4,"may",5,"jun",6,"jul",7,"aug",8,"sep",9,"oct",10,"nov",11,"dec",12,"no month")</f>
        <v>11</v>
      </c>
      <c r="C1393" s="12" t="str">
        <f>LEFT('All Transactions'!$E1393,3)</f>
        <v>Nov</v>
      </c>
      <c r="D1393" s="12" t="str">
        <f t="shared" si="43"/>
        <v>2025</v>
      </c>
      <c r="E1393" s="22" t="s">
        <v>4424</v>
      </c>
      <c r="F1393" s="23" t="s">
        <v>4441</v>
      </c>
      <c r="G1393" s="18" t="s">
        <v>28</v>
      </c>
      <c r="H1393" s="24">
        <v>20</v>
      </c>
      <c r="I1393" s="25" t="s">
        <v>4442</v>
      </c>
      <c r="J1393" s="25" t="s">
        <v>4443</v>
      </c>
      <c r="K1393" s="26" t="s">
        <v>4444</v>
      </c>
      <c r="L1393" s="25" t="s">
        <v>47</v>
      </c>
      <c r="M1393" t="str">
        <f>TEXT(A1393,"dddd")</f>
        <v>Wednesday</v>
      </c>
      <c r="N1393" s="35">
        <f>DATE(Table4[[#This Row],[year]],Table4[[#This Row],[month2]],Table4[[#This Row],[day]])</f>
        <v>45965</v>
      </c>
    </row>
    <row r="1394" spans="1:14" ht="16" x14ac:dyDescent="0.35">
      <c r="A1394" t="str">
        <f t="shared" si="42"/>
        <v>04</v>
      </c>
      <c r="B1394">
        <f>_xlfn.SWITCH(Table4[[#This Row],[month]],"jan",1,"feb",2,"mar",3,"apr",4,"may",5,"jun",6,"jul",7,"aug",8,"sep",9,"oct",10,"nov",11,"dec",12,"no month")</f>
        <v>11</v>
      </c>
      <c r="C1394" s="12" t="str">
        <f>LEFT('All Transactions'!$E1394,3)</f>
        <v>Nov</v>
      </c>
      <c r="D1394" s="12" t="str">
        <f t="shared" si="43"/>
        <v>2025</v>
      </c>
      <c r="E1394" s="16" t="s">
        <v>4424</v>
      </c>
      <c r="F1394" s="17" t="s">
        <v>3105</v>
      </c>
      <c r="G1394" s="18" t="s">
        <v>28</v>
      </c>
      <c r="H1394" s="19">
        <v>1</v>
      </c>
      <c r="I1394" s="20" t="s">
        <v>4445</v>
      </c>
      <c r="J1394" s="20" t="s">
        <v>4446</v>
      </c>
      <c r="K1394" s="21" t="s">
        <v>4447</v>
      </c>
      <c r="L1394" s="20" t="s">
        <v>1808</v>
      </c>
      <c r="M1394" t="str">
        <f>TEXT(A1394,"dddd")</f>
        <v>Wednesday</v>
      </c>
      <c r="N1394" s="35">
        <f>DATE(Table4[[#This Row],[year]],Table4[[#This Row],[month2]],Table4[[#This Row],[day]])</f>
        <v>45965</v>
      </c>
    </row>
    <row r="1395" spans="1:14" ht="16" x14ac:dyDescent="0.35">
      <c r="A1395" t="str">
        <f t="shared" si="42"/>
        <v>03</v>
      </c>
      <c r="B1395">
        <f>_xlfn.SWITCH(Table4[[#This Row],[month]],"jan",1,"feb",2,"mar",3,"apr",4,"may",5,"jun",6,"jul",7,"aug",8,"sep",9,"oct",10,"nov",11,"dec",12,"no month")</f>
        <v>11</v>
      </c>
      <c r="C1395" s="12" t="str">
        <f>LEFT('All Transactions'!$E1395,3)</f>
        <v>Nov</v>
      </c>
      <c r="D1395" s="12" t="str">
        <f t="shared" si="43"/>
        <v>2025</v>
      </c>
      <c r="E1395" s="22" t="s">
        <v>4448</v>
      </c>
      <c r="F1395" s="23" t="s">
        <v>354</v>
      </c>
      <c r="G1395" s="18" t="s">
        <v>28</v>
      </c>
      <c r="H1395" s="24">
        <v>160</v>
      </c>
      <c r="I1395" s="25" t="s">
        <v>4449</v>
      </c>
      <c r="J1395" s="25" t="s">
        <v>4450</v>
      </c>
      <c r="K1395" s="26" t="s">
        <v>4451</v>
      </c>
      <c r="L1395" s="25" t="s">
        <v>32</v>
      </c>
      <c r="M1395" t="str">
        <f>TEXT(A1395,"dddd")</f>
        <v>Tuesday</v>
      </c>
      <c r="N1395" s="35">
        <f>DATE(Table4[[#This Row],[year]],Table4[[#This Row],[month2]],Table4[[#This Row],[day]])</f>
        <v>45964</v>
      </c>
    </row>
    <row r="1396" spans="1:14" ht="16" x14ac:dyDescent="0.35">
      <c r="A1396" t="str">
        <f t="shared" si="42"/>
        <v>03</v>
      </c>
      <c r="B1396">
        <f>_xlfn.SWITCH(Table4[[#This Row],[month]],"jan",1,"feb",2,"mar",3,"apr",4,"may",5,"jun",6,"jul",7,"aug",8,"sep",9,"oct",10,"nov",11,"dec",12,"no month")</f>
        <v>11</v>
      </c>
      <c r="C1396" s="12" t="str">
        <f>LEFT('All Transactions'!$E1396,3)</f>
        <v>Nov</v>
      </c>
      <c r="D1396" s="12" t="str">
        <f t="shared" si="43"/>
        <v>2025</v>
      </c>
      <c r="E1396" s="16" t="s">
        <v>4448</v>
      </c>
      <c r="F1396" s="17" t="s">
        <v>4452</v>
      </c>
      <c r="G1396" s="18" t="s">
        <v>28</v>
      </c>
      <c r="H1396" s="19">
        <v>50</v>
      </c>
      <c r="I1396" s="20" t="s">
        <v>4453</v>
      </c>
      <c r="J1396" s="20" t="s">
        <v>4454</v>
      </c>
      <c r="K1396" s="21" t="s">
        <v>4455</v>
      </c>
      <c r="L1396" s="20" t="s">
        <v>32</v>
      </c>
      <c r="M1396" t="str">
        <f>TEXT(A1396,"dddd")</f>
        <v>Tuesday</v>
      </c>
      <c r="N1396" s="35">
        <f>DATE(Table4[[#This Row],[year]],Table4[[#This Row],[month2]],Table4[[#This Row],[day]])</f>
        <v>45964</v>
      </c>
    </row>
    <row r="1397" spans="1:14" ht="16" x14ac:dyDescent="0.35">
      <c r="A1397" t="str">
        <f t="shared" si="42"/>
        <v>03</v>
      </c>
      <c r="B1397">
        <f>_xlfn.SWITCH(Table4[[#This Row],[month]],"jan",1,"feb",2,"mar",3,"apr",4,"may",5,"jun",6,"jul",7,"aug",8,"sep",9,"oct",10,"nov",11,"dec",12,"no month")</f>
        <v>11</v>
      </c>
      <c r="C1397" s="12" t="str">
        <f>LEFT('All Transactions'!$E1397,3)</f>
        <v>Nov</v>
      </c>
      <c r="D1397" s="12" t="str">
        <f t="shared" si="43"/>
        <v>2025</v>
      </c>
      <c r="E1397" s="22" t="s">
        <v>4448</v>
      </c>
      <c r="F1397" s="23" t="s">
        <v>3175</v>
      </c>
      <c r="G1397" s="18" t="s">
        <v>28</v>
      </c>
      <c r="H1397" s="24">
        <v>65</v>
      </c>
      <c r="I1397" s="25" t="s">
        <v>3201</v>
      </c>
      <c r="J1397" s="25" t="s">
        <v>4456</v>
      </c>
      <c r="K1397" s="26" t="s">
        <v>4457</v>
      </c>
      <c r="L1397" s="25" t="s">
        <v>32</v>
      </c>
      <c r="M1397" t="str">
        <f>TEXT(A1397,"dddd")</f>
        <v>Tuesday</v>
      </c>
      <c r="N1397" s="35">
        <f>DATE(Table4[[#This Row],[year]],Table4[[#This Row],[month2]],Table4[[#This Row],[day]])</f>
        <v>45964</v>
      </c>
    </row>
    <row r="1398" spans="1:14" ht="16" x14ac:dyDescent="0.35">
      <c r="A1398" t="str">
        <f t="shared" si="42"/>
        <v>03</v>
      </c>
      <c r="B1398">
        <f>_xlfn.SWITCH(Table4[[#This Row],[month]],"jan",1,"feb",2,"mar",3,"apr",4,"may",5,"jun",6,"jul",7,"aug",8,"sep",9,"oct",10,"nov",11,"dec",12,"no month")</f>
        <v>11</v>
      </c>
      <c r="C1398" s="12" t="str">
        <f>LEFT('All Transactions'!$E1398,3)</f>
        <v>Nov</v>
      </c>
      <c r="D1398" s="12" t="str">
        <f t="shared" si="43"/>
        <v>2025</v>
      </c>
      <c r="E1398" s="16" t="s">
        <v>4448</v>
      </c>
      <c r="F1398" s="17" t="s">
        <v>2365</v>
      </c>
      <c r="G1398" s="18" t="s">
        <v>28</v>
      </c>
      <c r="H1398" s="19">
        <v>15</v>
      </c>
      <c r="I1398" s="20" t="s">
        <v>4458</v>
      </c>
      <c r="J1398" s="20" t="s">
        <v>4459</v>
      </c>
      <c r="K1398" s="21" t="s">
        <v>4460</v>
      </c>
      <c r="L1398" s="20" t="s">
        <v>32</v>
      </c>
      <c r="M1398" t="str">
        <f>TEXT(A1398,"dddd")</f>
        <v>Tuesday</v>
      </c>
      <c r="N1398" s="35">
        <f>DATE(Table4[[#This Row],[year]],Table4[[#This Row],[month2]],Table4[[#This Row],[day]])</f>
        <v>45964</v>
      </c>
    </row>
    <row r="1399" spans="1:14" ht="16" x14ac:dyDescent="0.35">
      <c r="A1399" t="str">
        <f t="shared" si="42"/>
        <v>03</v>
      </c>
      <c r="B1399">
        <f>_xlfn.SWITCH(Table4[[#This Row],[month]],"jan",1,"feb",2,"mar",3,"apr",4,"may",5,"jun",6,"jul",7,"aug",8,"sep",9,"oct",10,"nov",11,"dec",12,"no month")</f>
        <v>11</v>
      </c>
      <c r="C1399" s="12" t="str">
        <f>LEFT('All Transactions'!$E1399,3)</f>
        <v>Nov</v>
      </c>
      <c r="D1399" s="12" t="str">
        <f t="shared" si="43"/>
        <v>2025</v>
      </c>
      <c r="E1399" s="22" t="s">
        <v>4448</v>
      </c>
      <c r="F1399" s="23" t="s">
        <v>4461</v>
      </c>
      <c r="G1399" s="18" t="s">
        <v>28</v>
      </c>
      <c r="H1399" s="24">
        <v>4597</v>
      </c>
      <c r="I1399" s="25" t="s">
        <v>84</v>
      </c>
      <c r="J1399" s="25" t="s">
        <v>4462</v>
      </c>
      <c r="K1399" s="26" t="s">
        <v>4463</v>
      </c>
      <c r="L1399" s="25" t="s">
        <v>32</v>
      </c>
      <c r="M1399" t="str">
        <f>TEXT(A1399,"dddd")</f>
        <v>Tuesday</v>
      </c>
      <c r="N1399" s="35">
        <f>DATE(Table4[[#This Row],[year]],Table4[[#This Row],[month2]],Table4[[#This Row],[day]])</f>
        <v>45964</v>
      </c>
    </row>
    <row r="1400" spans="1:14" ht="16" x14ac:dyDescent="0.35">
      <c r="A1400" t="str">
        <f t="shared" si="42"/>
        <v>02</v>
      </c>
      <c r="B1400">
        <f>_xlfn.SWITCH(Table4[[#This Row],[month]],"jan",1,"feb",2,"mar",3,"apr",4,"may",5,"jun",6,"jul",7,"aug",8,"sep",9,"oct",10,"nov",11,"dec",12,"no month")</f>
        <v>11</v>
      </c>
      <c r="C1400" s="12" t="str">
        <f>LEFT('All Transactions'!$E1400,3)</f>
        <v>Nov</v>
      </c>
      <c r="D1400" s="12" t="str">
        <f t="shared" si="43"/>
        <v>2025</v>
      </c>
      <c r="E1400" s="16" t="s">
        <v>4464</v>
      </c>
      <c r="F1400" s="17" t="s">
        <v>134</v>
      </c>
      <c r="G1400" s="18" t="s">
        <v>28</v>
      </c>
      <c r="H1400" s="19">
        <v>80</v>
      </c>
      <c r="I1400" s="20" t="s">
        <v>4465</v>
      </c>
      <c r="J1400" s="20" t="s">
        <v>4466</v>
      </c>
      <c r="K1400" s="21" t="s">
        <v>4467</v>
      </c>
      <c r="L1400" s="20" t="s">
        <v>32</v>
      </c>
      <c r="M1400" t="str">
        <f>TEXT(A1400,"dddd")</f>
        <v>Monday</v>
      </c>
      <c r="N1400" s="35">
        <f>DATE(Table4[[#This Row],[year]],Table4[[#This Row],[month2]],Table4[[#This Row],[day]])</f>
        <v>45963</v>
      </c>
    </row>
    <row r="1401" spans="1:14" ht="16" x14ac:dyDescent="0.35">
      <c r="A1401" t="str">
        <f t="shared" si="42"/>
        <v>02</v>
      </c>
      <c r="B1401">
        <f>_xlfn.SWITCH(Table4[[#This Row],[month]],"jan",1,"feb",2,"mar",3,"apr",4,"may",5,"jun",6,"jul",7,"aug",8,"sep",9,"oct",10,"nov",11,"dec",12,"no month")</f>
        <v>11</v>
      </c>
      <c r="C1401" s="12" t="str">
        <f>LEFT('All Transactions'!$E1401,3)</f>
        <v>Nov</v>
      </c>
      <c r="D1401" s="12" t="str">
        <f t="shared" si="43"/>
        <v>2025</v>
      </c>
      <c r="E1401" s="22" t="s">
        <v>4464</v>
      </c>
      <c r="F1401" s="23" t="s">
        <v>607</v>
      </c>
      <c r="G1401" s="18" t="s">
        <v>28</v>
      </c>
      <c r="H1401" s="24">
        <v>20</v>
      </c>
      <c r="I1401" s="25" t="s">
        <v>4468</v>
      </c>
      <c r="J1401" s="25" t="s">
        <v>4469</v>
      </c>
      <c r="K1401" s="26" t="s">
        <v>4470</v>
      </c>
      <c r="L1401" s="25" t="s">
        <v>32</v>
      </c>
      <c r="M1401" t="str">
        <f>TEXT(A1401,"dddd")</f>
        <v>Monday</v>
      </c>
      <c r="N1401" s="35">
        <f>DATE(Table4[[#This Row],[year]],Table4[[#This Row],[month2]],Table4[[#This Row],[day]])</f>
        <v>45963</v>
      </c>
    </row>
    <row r="1402" spans="1:14" ht="16" x14ac:dyDescent="0.35">
      <c r="A1402" t="str">
        <f t="shared" si="42"/>
        <v>02</v>
      </c>
      <c r="B1402">
        <f>_xlfn.SWITCH(Table4[[#This Row],[month]],"jan",1,"feb",2,"mar",3,"apr",4,"may",5,"jun",6,"jul",7,"aug",8,"sep",9,"oct",10,"nov",11,"dec",12,"no month")</f>
        <v>11</v>
      </c>
      <c r="C1402" s="12" t="str">
        <f>LEFT('All Transactions'!$E1402,3)</f>
        <v>Nov</v>
      </c>
      <c r="D1402" s="12" t="str">
        <f t="shared" si="43"/>
        <v>2025</v>
      </c>
      <c r="E1402" s="16" t="s">
        <v>4464</v>
      </c>
      <c r="F1402" s="17" t="s">
        <v>266</v>
      </c>
      <c r="G1402" s="18" t="s">
        <v>28</v>
      </c>
      <c r="H1402" s="19">
        <v>100</v>
      </c>
      <c r="I1402" s="20" t="s">
        <v>4468</v>
      </c>
      <c r="J1402" s="20" t="s">
        <v>4471</v>
      </c>
      <c r="K1402" s="21" t="s">
        <v>4472</v>
      </c>
      <c r="L1402" s="20" t="s">
        <v>32</v>
      </c>
      <c r="M1402" t="str">
        <f>TEXT(A1402,"dddd")</f>
        <v>Monday</v>
      </c>
      <c r="N1402" s="35">
        <f>DATE(Table4[[#This Row],[year]],Table4[[#This Row],[month2]],Table4[[#This Row],[day]])</f>
        <v>45963</v>
      </c>
    </row>
    <row r="1403" spans="1:14" ht="16" x14ac:dyDescent="0.35">
      <c r="A1403" t="str">
        <f t="shared" si="42"/>
        <v>02</v>
      </c>
      <c r="B1403">
        <f>_xlfn.SWITCH(Table4[[#This Row],[month]],"jan",1,"feb",2,"mar",3,"apr",4,"may",5,"jun",6,"jul",7,"aug",8,"sep",9,"oct",10,"nov",11,"dec",12,"no month")</f>
        <v>11</v>
      </c>
      <c r="C1403" s="12" t="str">
        <f>LEFT('All Transactions'!$E1403,3)</f>
        <v>Nov</v>
      </c>
      <c r="D1403" s="12" t="str">
        <f t="shared" si="43"/>
        <v>2025</v>
      </c>
      <c r="E1403" s="22" t="s">
        <v>4464</v>
      </c>
      <c r="F1403" s="23" t="s">
        <v>2977</v>
      </c>
      <c r="G1403" s="18" t="s">
        <v>28</v>
      </c>
      <c r="H1403" s="24">
        <v>440</v>
      </c>
      <c r="I1403" s="25" t="s">
        <v>4433</v>
      </c>
      <c r="J1403" s="25" t="s">
        <v>4473</v>
      </c>
      <c r="K1403" s="26" t="s">
        <v>4474</v>
      </c>
      <c r="L1403" s="25" t="s">
        <v>32</v>
      </c>
      <c r="M1403" t="str">
        <f>TEXT(A1403,"dddd")</f>
        <v>Monday</v>
      </c>
      <c r="N1403" s="35">
        <f>DATE(Table4[[#This Row],[year]],Table4[[#This Row],[month2]],Table4[[#This Row],[day]])</f>
        <v>45963</v>
      </c>
    </row>
    <row r="1404" spans="1:14" ht="16" x14ac:dyDescent="0.35">
      <c r="A1404" t="str">
        <f t="shared" si="42"/>
        <v>02</v>
      </c>
      <c r="B1404">
        <f>_xlfn.SWITCH(Table4[[#This Row],[month]],"jan",1,"feb",2,"mar",3,"apr",4,"may",5,"jun",6,"jul",7,"aug",8,"sep",9,"oct",10,"nov",11,"dec",12,"no month")</f>
        <v>11</v>
      </c>
      <c r="C1404" s="12" t="str">
        <f>LEFT('All Transactions'!$E1404,3)</f>
        <v>Nov</v>
      </c>
      <c r="D1404" s="12" t="str">
        <f t="shared" si="43"/>
        <v>2025</v>
      </c>
      <c r="E1404" s="16" t="s">
        <v>4464</v>
      </c>
      <c r="F1404" s="17" t="s">
        <v>2967</v>
      </c>
      <c r="G1404" s="27" t="s">
        <v>54</v>
      </c>
      <c r="H1404" s="19">
        <v>550</v>
      </c>
      <c r="I1404" s="20" t="s">
        <v>4413</v>
      </c>
      <c r="J1404" s="20" t="s">
        <v>4475</v>
      </c>
      <c r="K1404" s="21" t="s">
        <v>4476</v>
      </c>
      <c r="L1404" s="20" t="s">
        <v>58</v>
      </c>
      <c r="M1404" t="str">
        <f>TEXT(A1404,"dddd")</f>
        <v>Monday</v>
      </c>
      <c r="N1404" s="35">
        <f>DATE(Table4[[#This Row],[year]],Table4[[#This Row],[month2]],Table4[[#This Row],[day]])</f>
        <v>45963</v>
      </c>
    </row>
    <row r="1405" spans="1:14" ht="16" x14ac:dyDescent="0.35">
      <c r="A1405" t="str">
        <f t="shared" si="42"/>
        <v>01</v>
      </c>
      <c r="B1405">
        <f>_xlfn.SWITCH(Table4[[#This Row],[month]],"jan",1,"feb",2,"mar",3,"apr",4,"may",5,"jun",6,"jul",7,"aug",8,"sep",9,"oct",10,"nov",11,"dec",12,"no month")</f>
        <v>11</v>
      </c>
      <c r="C1405" s="12" t="str">
        <f>LEFT('All Transactions'!$E1405,3)</f>
        <v>Nov</v>
      </c>
      <c r="D1405" s="12" t="str">
        <f t="shared" si="43"/>
        <v>2025</v>
      </c>
      <c r="E1405" s="22" t="s">
        <v>4477</v>
      </c>
      <c r="F1405" s="23" t="s">
        <v>399</v>
      </c>
      <c r="G1405" s="18" t="s">
        <v>28</v>
      </c>
      <c r="H1405" s="24">
        <v>11000</v>
      </c>
      <c r="I1405" s="25" t="s">
        <v>4478</v>
      </c>
      <c r="J1405" s="25" t="s">
        <v>4479</v>
      </c>
      <c r="K1405" s="26" t="s">
        <v>4480</v>
      </c>
      <c r="L1405" s="25" t="s">
        <v>32</v>
      </c>
      <c r="M1405" t="str">
        <f>TEXT(A1405,"dddd")</f>
        <v>Sunday</v>
      </c>
      <c r="N1405" s="35">
        <f>DATE(Table4[[#This Row],[year]],Table4[[#This Row],[month2]],Table4[[#This Row],[day]])</f>
        <v>45962</v>
      </c>
    </row>
    <row r="1406" spans="1:14" ht="16" x14ac:dyDescent="0.35">
      <c r="A1406" t="str">
        <f t="shared" si="42"/>
        <v>01</v>
      </c>
      <c r="B1406">
        <f>_xlfn.SWITCH(Table4[[#This Row],[month]],"jan",1,"feb",2,"mar",3,"apr",4,"may",5,"jun",6,"jul",7,"aug",8,"sep",9,"oct",10,"nov",11,"dec",12,"no month")</f>
        <v>11</v>
      </c>
      <c r="C1406" s="12" t="str">
        <f>LEFT('All Transactions'!$E1406,3)</f>
        <v>Nov</v>
      </c>
      <c r="D1406" s="12" t="str">
        <f t="shared" si="43"/>
        <v>2025</v>
      </c>
      <c r="E1406" s="16" t="s">
        <v>4477</v>
      </c>
      <c r="F1406" s="17" t="s">
        <v>3334</v>
      </c>
      <c r="G1406" s="27" t="s">
        <v>54</v>
      </c>
      <c r="H1406" s="19">
        <v>11000</v>
      </c>
      <c r="I1406" s="20" t="s">
        <v>1090</v>
      </c>
      <c r="J1406" s="20" t="s">
        <v>4481</v>
      </c>
      <c r="K1406" s="21" t="s">
        <v>4482</v>
      </c>
      <c r="L1406" s="20" t="s">
        <v>58</v>
      </c>
      <c r="M1406" t="str">
        <f>TEXT(A1406,"dddd")</f>
        <v>Sunday</v>
      </c>
      <c r="N1406" s="35">
        <f>DATE(Table4[[#This Row],[year]],Table4[[#This Row],[month2]],Table4[[#This Row],[day]])</f>
        <v>45962</v>
      </c>
    </row>
    <row r="1407" spans="1:14" ht="16" x14ac:dyDescent="0.35">
      <c r="A1407" t="str">
        <f t="shared" si="42"/>
        <v>01</v>
      </c>
      <c r="B1407">
        <f>_xlfn.SWITCH(Table4[[#This Row],[month]],"jan",1,"feb",2,"mar",3,"apr",4,"may",5,"jun",6,"jul",7,"aug",8,"sep",9,"oct",10,"nov",11,"dec",12,"no month")</f>
        <v>11</v>
      </c>
      <c r="C1407" s="12" t="str">
        <f>LEFT('All Transactions'!$E1407,3)</f>
        <v>Nov</v>
      </c>
      <c r="D1407" s="12" t="str">
        <f t="shared" si="43"/>
        <v>2025</v>
      </c>
      <c r="E1407" s="22" t="s">
        <v>4477</v>
      </c>
      <c r="F1407" s="23" t="s">
        <v>644</v>
      </c>
      <c r="G1407" s="18" t="s">
        <v>28</v>
      </c>
      <c r="H1407" s="24">
        <v>60</v>
      </c>
      <c r="I1407" s="25" t="s">
        <v>4483</v>
      </c>
      <c r="J1407" s="25" t="s">
        <v>4484</v>
      </c>
      <c r="K1407" s="26" t="s">
        <v>4485</v>
      </c>
      <c r="L1407" s="25" t="s">
        <v>32</v>
      </c>
      <c r="M1407" t="str">
        <f>TEXT(A1407,"dddd")</f>
        <v>Sunday</v>
      </c>
      <c r="N1407" s="35">
        <f>DATE(Table4[[#This Row],[year]],Table4[[#This Row],[month2]],Table4[[#This Row],[day]])</f>
        <v>45962</v>
      </c>
    </row>
    <row r="1408" spans="1:14" ht="16" x14ac:dyDescent="0.35">
      <c r="A1408" t="str">
        <f t="shared" si="42"/>
        <v>01</v>
      </c>
      <c r="B1408">
        <f>_xlfn.SWITCH(Table4[[#This Row],[month]],"jan",1,"feb",2,"mar",3,"apr",4,"may",5,"jun",6,"jul",7,"aug",8,"sep",9,"oct",10,"nov",11,"dec",12,"no month")</f>
        <v>11</v>
      </c>
      <c r="C1408" s="12" t="str">
        <f>LEFT('All Transactions'!$E1408,3)</f>
        <v>Nov</v>
      </c>
      <c r="D1408" s="12" t="str">
        <f t="shared" si="43"/>
        <v>2025</v>
      </c>
      <c r="E1408" s="16" t="s">
        <v>4477</v>
      </c>
      <c r="F1408" s="17" t="s">
        <v>3484</v>
      </c>
      <c r="G1408" s="27" t="s">
        <v>54</v>
      </c>
      <c r="H1408" s="19">
        <v>1200</v>
      </c>
      <c r="I1408" s="20" t="s">
        <v>1090</v>
      </c>
      <c r="J1408" s="20" t="s">
        <v>4486</v>
      </c>
      <c r="K1408" s="21" t="s">
        <v>4487</v>
      </c>
      <c r="L1408" s="20" t="s">
        <v>58</v>
      </c>
      <c r="M1408" t="str">
        <f>TEXT(A1408,"dddd")</f>
        <v>Sunday</v>
      </c>
      <c r="N1408" s="35">
        <f>DATE(Table4[[#This Row],[year]],Table4[[#This Row],[month2]],Table4[[#This Row],[day]])</f>
        <v>45962</v>
      </c>
    </row>
    <row r="1409" spans="1:14" ht="16" x14ac:dyDescent="0.35">
      <c r="A1409" t="str">
        <f t="shared" si="42"/>
        <v>01</v>
      </c>
      <c r="B1409">
        <f>_xlfn.SWITCH(Table4[[#This Row],[month]],"jan",1,"feb",2,"mar",3,"apr",4,"may",5,"jun",6,"jul",7,"aug",8,"sep",9,"oct",10,"nov",11,"dec",12,"no month")</f>
        <v>11</v>
      </c>
      <c r="C1409" s="12" t="str">
        <f>LEFT('All Transactions'!$E1409,3)</f>
        <v>Nov</v>
      </c>
      <c r="D1409" s="12" t="str">
        <f t="shared" si="43"/>
        <v>2025</v>
      </c>
      <c r="E1409" s="22" t="s">
        <v>4477</v>
      </c>
      <c r="F1409" s="23" t="s">
        <v>4488</v>
      </c>
      <c r="G1409" s="27" t="s">
        <v>54</v>
      </c>
      <c r="H1409" s="24">
        <v>200</v>
      </c>
      <c r="I1409" s="25" t="s">
        <v>4489</v>
      </c>
      <c r="J1409" s="25" t="s">
        <v>4490</v>
      </c>
      <c r="K1409" s="26" t="s">
        <v>4491</v>
      </c>
      <c r="L1409" s="25" t="s">
        <v>58</v>
      </c>
      <c r="M1409" t="str">
        <f>TEXT(A1409,"dddd")</f>
        <v>Sunday</v>
      </c>
      <c r="N1409" s="35">
        <f>DATE(Table4[[#This Row],[year]],Table4[[#This Row],[month2]],Table4[[#This Row],[day]])</f>
        <v>45962</v>
      </c>
    </row>
    <row r="1410" spans="1:14" ht="16" x14ac:dyDescent="0.35">
      <c r="A1410" t="str">
        <f t="shared" si="42"/>
        <v>01</v>
      </c>
      <c r="B1410">
        <f>_xlfn.SWITCH(Table4[[#This Row],[month]],"jan",1,"feb",2,"mar",3,"apr",4,"may",5,"jun",6,"jul",7,"aug",8,"sep",9,"oct",10,"nov",11,"dec",12,"no month")</f>
        <v>11</v>
      </c>
      <c r="C1410" s="12" t="str">
        <f>LEFT('All Transactions'!$E1410,3)</f>
        <v>Nov</v>
      </c>
      <c r="D1410" s="12" t="str">
        <f t="shared" si="43"/>
        <v>2025</v>
      </c>
      <c r="E1410" s="16" t="s">
        <v>4477</v>
      </c>
      <c r="F1410" s="17" t="s">
        <v>4492</v>
      </c>
      <c r="G1410" s="18" t="s">
        <v>28</v>
      </c>
      <c r="H1410" s="19">
        <v>352</v>
      </c>
      <c r="I1410" s="20" t="s">
        <v>4493</v>
      </c>
      <c r="J1410" s="20" t="s">
        <v>4494</v>
      </c>
      <c r="K1410" s="21" t="s">
        <v>4495</v>
      </c>
      <c r="L1410" s="20" t="s">
        <v>32</v>
      </c>
      <c r="M1410" t="str">
        <f>TEXT(A1410,"dddd")</f>
        <v>Sunday</v>
      </c>
      <c r="N1410" s="35">
        <f>DATE(Table4[[#This Row],[year]],Table4[[#This Row],[month2]],Table4[[#This Row],[day]])</f>
        <v>45962</v>
      </c>
    </row>
    <row r="1411" spans="1:14" ht="16" x14ac:dyDescent="0.35">
      <c r="A1411" t="str">
        <f t="shared" ref="A1411:A1474" si="44">MID(E1411,5,2)</f>
        <v>31</v>
      </c>
      <c r="B1411">
        <f>_xlfn.SWITCH(Table4[[#This Row],[month]],"jan",1,"feb",2,"mar",3,"apr",4,"may",5,"jun",6,"jul",7,"aug",8,"sep",9,"oct",10,"nov",11,"dec",12,"no month")</f>
        <v>10</v>
      </c>
      <c r="C1411" s="12" t="str">
        <f>LEFT('All Transactions'!$E1411,3)</f>
        <v>Oct</v>
      </c>
      <c r="D1411" s="12" t="str">
        <f t="shared" ref="D1411:D1474" si="45">RIGHT(E1411,4)</f>
        <v>2025</v>
      </c>
      <c r="E1411" s="22" t="s">
        <v>4496</v>
      </c>
      <c r="F1411" s="23" t="s">
        <v>1074</v>
      </c>
      <c r="G1411" s="18" t="s">
        <v>28</v>
      </c>
      <c r="H1411" s="24">
        <v>56</v>
      </c>
      <c r="I1411" s="25" t="s">
        <v>1059</v>
      </c>
      <c r="J1411" s="25" t="s">
        <v>4497</v>
      </c>
      <c r="K1411" s="26" t="s">
        <v>4498</v>
      </c>
      <c r="L1411" s="25" t="s">
        <v>32</v>
      </c>
      <c r="M1411" t="str">
        <f>TEXT(A1411,"dddd")</f>
        <v>Tuesday</v>
      </c>
      <c r="N1411" s="35">
        <f>DATE(Table4[[#This Row],[year]],Table4[[#This Row],[month2]],Table4[[#This Row],[day]])</f>
        <v>45961</v>
      </c>
    </row>
    <row r="1412" spans="1:14" ht="16" x14ac:dyDescent="0.35">
      <c r="A1412" t="str">
        <f t="shared" si="44"/>
        <v>31</v>
      </c>
      <c r="B1412">
        <f>_xlfn.SWITCH(Table4[[#This Row],[month]],"jan",1,"feb",2,"mar",3,"apr",4,"may",5,"jun",6,"jul",7,"aug",8,"sep",9,"oct",10,"nov",11,"dec",12,"no month")</f>
        <v>10</v>
      </c>
      <c r="C1412" s="12" t="str">
        <f>LEFT('All Transactions'!$E1412,3)</f>
        <v>Oct</v>
      </c>
      <c r="D1412" s="12" t="str">
        <f t="shared" si="45"/>
        <v>2025</v>
      </c>
      <c r="E1412" s="16" t="s">
        <v>4496</v>
      </c>
      <c r="F1412" s="17" t="s">
        <v>4499</v>
      </c>
      <c r="G1412" s="18" t="s">
        <v>28</v>
      </c>
      <c r="H1412" s="19">
        <v>620</v>
      </c>
      <c r="I1412" s="20" t="s">
        <v>4500</v>
      </c>
      <c r="J1412" s="20" t="s">
        <v>4501</v>
      </c>
      <c r="K1412" s="21" t="s">
        <v>4502</v>
      </c>
      <c r="L1412" s="20" t="s">
        <v>32</v>
      </c>
      <c r="M1412" t="str">
        <f>TEXT(A1412,"dddd")</f>
        <v>Tuesday</v>
      </c>
      <c r="N1412" s="35">
        <f>DATE(Table4[[#This Row],[year]],Table4[[#This Row],[month2]],Table4[[#This Row],[day]])</f>
        <v>45961</v>
      </c>
    </row>
    <row r="1413" spans="1:14" ht="16" x14ac:dyDescent="0.35">
      <c r="A1413" t="str">
        <f t="shared" si="44"/>
        <v>31</v>
      </c>
      <c r="B1413">
        <f>_xlfn.SWITCH(Table4[[#This Row],[month]],"jan",1,"feb",2,"mar",3,"apr",4,"may",5,"jun",6,"jul",7,"aug",8,"sep",9,"oct",10,"nov",11,"dec",12,"no month")</f>
        <v>10</v>
      </c>
      <c r="C1413" s="12" t="str">
        <f>LEFT('All Transactions'!$E1413,3)</f>
        <v>Oct</v>
      </c>
      <c r="D1413" s="12" t="str">
        <f t="shared" si="45"/>
        <v>2025</v>
      </c>
      <c r="E1413" s="22" t="s">
        <v>4496</v>
      </c>
      <c r="F1413" s="23" t="s">
        <v>2095</v>
      </c>
      <c r="G1413" s="27" t="s">
        <v>54</v>
      </c>
      <c r="H1413" s="24">
        <v>500</v>
      </c>
      <c r="I1413" s="25" t="s">
        <v>4503</v>
      </c>
      <c r="J1413" s="25" t="s">
        <v>4504</v>
      </c>
      <c r="K1413" s="26" t="s">
        <v>4505</v>
      </c>
      <c r="L1413" s="25" t="s">
        <v>58</v>
      </c>
      <c r="M1413" t="str">
        <f>TEXT(A1413,"dddd")</f>
        <v>Tuesday</v>
      </c>
      <c r="N1413" s="35">
        <f>DATE(Table4[[#This Row],[year]],Table4[[#This Row],[month2]],Table4[[#This Row],[day]])</f>
        <v>45961</v>
      </c>
    </row>
    <row r="1414" spans="1:14" ht="16" x14ac:dyDescent="0.35">
      <c r="A1414" t="str">
        <f t="shared" si="44"/>
        <v>30</v>
      </c>
      <c r="B1414">
        <f>_xlfn.SWITCH(Table4[[#This Row],[month]],"jan",1,"feb",2,"mar",3,"apr",4,"may",5,"jun",6,"jul",7,"aug",8,"sep",9,"oct",10,"nov",11,"dec",12,"no month")</f>
        <v>10</v>
      </c>
      <c r="C1414" s="12" t="str">
        <f>LEFT('All Transactions'!$E1414,3)</f>
        <v>Oct</v>
      </c>
      <c r="D1414" s="12" t="str">
        <f t="shared" si="45"/>
        <v>2025</v>
      </c>
      <c r="E1414" s="16" t="s">
        <v>4506</v>
      </c>
      <c r="F1414" s="17" t="s">
        <v>1716</v>
      </c>
      <c r="G1414" s="18" t="s">
        <v>28</v>
      </c>
      <c r="H1414" s="19">
        <v>10</v>
      </c>
      <c r="I1414" s="20" t="s">
        <v>4507</v>
      </c>
      <c r="J1414" s="20" t="s">
        <v>4508</v>
      </c>
      <c r="K1414" s="21" t="s">
        <v>4509</v>
      </c>
      <c r="L1414" s="20" t="s">
        <v>32</v>
      </c>
      <c r="M1414" t="str">
        <f>TEXT(A1414,"dddd")</f>
        <v>Monday</v>
      </c>
      <c r="N1414" s="35">
        <f>DATE(Table4[[#This Row],[year]],Table4[[#This Row],[month2]],Table4[[#This Row],[day]])</f>
        <v>45960</v>
      </c>
    </row>
    <row r="1415" spans="1:14" ht="16" x14ac:dyDescent="0.35">
      <c r="A1415" t="str">
        <f t="shared" si="44"/>
        <v>29</v>
      </c>
      <c r="B1415">
        <f>_xlfn.SWITCH(Table4[[#This Row],[month]],"jan",1,"feb",2,"mar",3,"apr",4,"may",5,"jun",6,"jul",7,"aug",8,"sep",9,"oct",10,"nov",11,"dec",12,"no month")</f>
        <v>10</v>
      </c>
      <c r="C1415" s="12" t="str">
        <f>LEFT('All Transactions'!$E1415,3)</f>
        <v>Oct</v>
      </c>
      <c r="D1415" s="12" t="str">
        <f t="shared" si="45"/>
        <v>2025</v>
      </c>
      <c r="E1415" s="22" t="s">
        <v>4510</v>
      </c>
      <c r="F1415" s="23" t="s">
        <v>4511</v>
      </c>
      <c r="G1415" s="27" t="s">
        <v>54</v>
      </c>
      <c r="H1415" s="24">
        <v>1000</v>
      </c>
      <c r="I1415" s="25" t="s">
        <v>1090</v>
      </c>
      <c r="J1415" s="25" t="s">
        <v>4512</v>
      </c>
      <c r="K1415" s="26" t="s">
        <v>4513</v>
      </c>
      <c r="L1415" s="25" t="s">
        <v>58</v>
      </c>
      <c r="M1415" t="str">
        <f>TEXT(A1415,"dddd")</f>
        <v>Sunday</v>
      </c>
      <c r="N1415" s="35">
        <f>DATE(Table4[[#This Row],[year]],Table4[[#This Row],[month2]],Table4[[#This Row],[day]])</f>
        <v>45959</v>
      </c>
    </row>
    <row r="1416" spans="1:14" ht="16" x14ac:dyDescent="0.35">
      <c r="A1416" t="str">
        <f t="shared" si="44"/>
        <v>29</v>
      </c>
      <c r="B1416">
        <f>_xlfn.SWITCH(Table4[[#This Row],[month]],"jan",1,"feb",2,"mar",3,"apr",4,"may",5,"jun",6,"jul",7,"aug",8,"sep",9,"oct",10,"nov",11,"dec",12,"no month")</f>
        <v>10</v>
      </c>
      <c r="C1416" s="12" t="str">
        <f>LEFT('All Transactions'!$E1416,3)</f>
        <v>Oct</v>
      </c>
      <c r="D1416" s="12" t="str">
        <f t="shared" si="45"/>
        <v>2025</v>
      </c>
      <c r="E1416" s="16" t="s">
        <v>4510</v>
      </c>
      <c r="F1416" s="17" t="s">
        <v>1668</v>
      </c>
      <c r="G1416" s="18" t="s">
        <v>28</v>
      </c>
      <c r="H1416" s="19">
        <v>20</v>
      </c>
      <c r="I1416" s="20" t="s">
        <v>4514</v>
      </c>
      <c r="J1416" s="20" t="s">
        <v>4515</v>
      </c>
      <c r="K1416" s="21" t="s">
        <v>4516</v>
      </c>
      <c r="L1416" s="20" t="s">
        <v>32</v>
      </c>
      <c r="M1416" t="str">
        <f>TEXT(A1416,"dddd")</f>
        <v>Sunday</v>
      </c>
      <c r="N1416" s="35">
        <f>DATE(Table4[[#This Row],[year]],Table4[[#This Row],[month2]],Table4[[#This Row],[day]])</f>
        <v>45959</v>
      </c>
    </row>
    <row r="1417" spans="1:14" ht="16" x14ac:dyDescent="0.35">
      <c r="A1417" t="str">
        <f t="shared" si="44"/>
        <v>29</v>
      </c>
      <c r="B1417">
        <f>_xlfn.SWITCH(Table4[[#This Row],[month]],"jan",1,"feb",2,"mar",3,"apr",4,"may",5,"jun",6,"jul",7,"aug",8,"sep",9,"oct",10,"nov",11,"dec",12,"no month")</f>
        <v>10</v>
      </c>
      <c r="C1417" s="12" t="str">
        <f>LEFT('All Transactions'!$E1417,3)</f>
        <v>Oct</v>
      </c>
      <c r="D1417" s="12" t="str">
        <f t="shared" si="45"/>
        <v>2025</v>
      </c>
      <c r="E1417" s="22" t="s">
        <v>4510</v>
      </c>
      <c r="F1417" s="23" t="s">
        <v>184</v>
      </c>
      <c r="G1417" s="27" t="s">
        <v>54</v>
      </c>
      <c r="H1417" s="24">
        <v>3620</v>
      </c>
      <c r="I1417" s="25" t="s">
        <v>4413</v>
      </c>
      <c r="J1417" s="25" t="s">
        <v>4517</v>
      </c>
      <c r="K1417" s="26" t="s">
        <v>4518</v>
      </c>
      <c r="L1417" s="25" t="s">
        <v>58</v>
      </c>
      <c r="M1417" t="str">
        <f>TEXT(A1417,"dddd")</f>
        <v>Sunday</v>
      </c>
      <c r="N1417" s="35">
        <f>DATE(Table4[[#This Row],[year]],Table4[[#This Row],[month2]],Table4[[#This Row],[day]])</f>
        <v>45959</v>
      </c>
    </row>
    <row r="1418" spans="1:14" ht="16" x14ac:dyDescent="0.35">
      <c r="A1418" t="str">
        <f t="shared" si="44"/>
        <v>29</v>
      </c>
      <c r="B1418">
        <f>_xlfn.SWITCH(Table4[[#This Row],[month]],"jan",1,"feb",2,"mar",3,"apr",4,"may",5,"jun",6,"jul",7,"aug",8,"sep",9,"oct",10,"nov",11,"dec",12,"no month")</f>
        <v>10</v>
      </c>
      <c r="C1418" s="12" t="str">
        <f>LEFT('All Transactions'!$E1418,3)</f>
        <v>Oct</v>
      </c>
      <c r="D1418" s="12" t="str">
        <f t="shared" si="45"/>
        <v>2025</v>
      </c>
      <c r="E1418" s="16" t="s">
        <v>4510</v>
      </c>
      <c r="F1418" s="17" t="s">
        <v>4519</v>
      </c>
      <c r="G1418" s="18" t="s">
        <v>28</v>
      </c>
      <c r="H1418" s="19">
        <v>25</v>
      </c>
      <c r="I1418" s="20" t="s">
        <v>4520</v>
      </c>
      <c r="J1418" s="20" t="s">
        <v>4521</v>
      </c>
      <c r="K1418" s="21" t="s">
        <v>4522</v>
      </c>
      <c r="L1418" s="20" t="s">
        <v>32</v>
      </c>
      <c r="M1418" t="str">
        <f>TEXT(A1418,"dddd")</f>
        <v>Sunday</v>
      </c>
      <c r="N1418" s="35">
        <f>DATE(Table4[[#This Row],[year]],Table4[[#This Row],[month2]],Table4[[#This Row],[day]])</f>
        <v>45959</v>
      </c>
    </row>
    <row r="1419" spans="1:14" ht="16" x14ac:dyDescent="0.35">
      <c r="A1419" t="str">
        <f t="shared" si="44"/>
        <v>29</v>
      </c>
      <c r="B1419">
        <f>_xlfn.SWITCH(Table4[[#This Row],[month]],"jan",1,"feb",2,"mar",3,"apr",4,"may",5,"jun",6,"jul",7,"aug",8,"sep",9,"oct",10,"nov",11,"dec",12,"no month")</f>
        <v>10</v>
      </c>
      <c r="C1419" s="12" t="str">
        <f>LEFT('All Transactions'!$E1419,3)</f>
        <v>Oct</v>
      </c>
      <c r="D1419" s="12" t="str">
        <f t="shared" si="45"/>
        <v>2025</v>
      </c>
      <c r="E1419" s="22" t="s">
        <v>4510</v>
      </c>
      <c r="F1419" s="23" t="s">
        <v>4523</v>
      </c>
      <c r="G1419" s="18" t="s">
        <v>28</v>
      </c>
      <c r="H1419" s="24">
        <v>50</v>
      </c>
      <c r="I1419" s="25" t="s">
        <v>4524</v>
      </c>
      <c r="J1419" s="25" t="s">
        <v>4525</v>
      </c>
      <c r="K1419" s="26" t="s">
        <v>4526</v>
      </c>
      <c r="L1419" s="25" t="s">
        <v>32</v>
      </c>
      <c r="M1419" t="str">
        <f>TEXT(A1419,"dddd")</f>
        <v>Sunday</v>
      </c>
      <c r="N1419" s="35">
        <f>DATE(Table4[[#This Row],[year]],Table4[[#This Row],[month2]],Table4[[#This Row],[day]])</f>
        <v>45959</v>
      </c>
    </row>
    <row r="1420" spans="1:14" ht="16" x14ac:dyDescent="0.35">
      <c r="A1420" t="str">
        <f t="shared" si="44"/>
        <v>29</v>
      </c>
      <c r="B1420">
        <f>_xlfn.SWITCH(Table4[[#This Row],[month]],"jan",1,"feb",2,"mar",3,"apr",4,"may",5,"jun",6,"jul",7,"aug",8,"sep",9,"oct",10,"nov",11,"dec",12,"no month")</f>
        <v>10</v>
      </c>
      <c r="C1420" s="12" t="str">
        <f>LEFT('All Transactions'!$E1420,3)</f>
        <v>Oct</v>
      </c>
      <c r="D1420" s="12" t="str">
        <f t="shared" si="45"/>
        <v>2025</v>
      </c>
      <c r="E1420" s="16" t="s">
        <v>4510</v>
      </c>
      <c r="F1420" s="17" t="s">
        <v>4527</v>
      </c>
      <c r="G1420" s="18" t="s">
        <v>28</v>
      </c>
      <c r="H1420" s="19">
        <v>880</v>
      </c>
      <c r="I1420" s="20" t="s">
        <v>4433</v>
      </c>
      <c r="J1420" s="20" t="s">
        <v>4528</v>
      </c>
      <c r="K1420" s="21" t="s">
        <v>4529</v>
      </c>
      <c r="L1420" s="20" t="s">
        <v>32</v>
      </c>
      <c r="M1420" t="str">
        <f>TEXT(A1420,"dddd")</f>
        <v>Sunday</v>
      </c>
      <c r="N1420" s="35">
        <f>DATE(Table4[[#This Row],[year]],Table4[[#This Row],[month2]],Table4[[#This Row],[day]])</f>
        <v>45959</v>
      </c>
    </row>
    <row r="1421" spans="1:14" ht="16" x14ac:dyDescent="0.35">
      <c r="A1421" t="str">
        <f t="shared" si="44"/>
        <v>29</v>
      </c>
      <c r="B1421">
        <f>_xlfn.SWITCH(Table4[[#This Row],[month]],"jan",1,"feb",2,"mar",3,"apr",4,"may",5,"jun",6,"jul",7,"aug",8,"sep",9,"oct",10,"nov",11,"dec",12,"no month")</f>
        <v>10</v>
      </c>
      <c r="C1421" s="12" t="str">
        <f>LEFT('All Transactions'!$E1421,3)</f>
        <v>Oct</v>
      </c>
      <c r="D1421" s="12" t="str">
        <f t="shared" si="45"/>
        <v>2025</v>
      </c>
      <c r="E1421" s="22" t="s">
        <v>4510</v>
      </c>
      <c r="F1421" s="23" t="s">
        <v>4527</v>
      </c>
      <c r="G1421" s="27" t="s">
        <v>54</v>
      </c>
      <c r="H1421" s="24">
        <v>1200</v>
      </c>
      <c r="I1421" s="25" t="s">
        <v>1090</v>
      </c>
      <c r="J1421" s="25" t="s">
        <v>4530</v>
      </c>
      <c r="K1421" s="26" t="s">
        <v>4531</v>
      </c>
      <c r="L1421" s="25" t="s">
        <v>58</v>
      </c>
      <c r="M1421" t="str">
        <f>TEXT(A1421,"dddd")</f>
        <v>Sunday</v>
      </c>
      <c r="N1421" s="35">
        <f>DATE(Table4[[#This Row],[year]],Table4[[#This Row],[month2]],Table4[[#This Row],[day]])</f>
        <v>45959</v>
      </c>
    </row>
    <row r="1422" spans="1:14" ht="16" x14ac:dyDescent="0.35">
      <c r="A1422" t="str">
        <f t="shared" si="44"/>
        <v>29</v>
      </c>
      <c r="B1422">
        <f>_xlfn.SWITCH(Table4[[#This Row],[month]],"jan",1,"feb",2,"mar",3,"apr",4,"may",5,"jun",6,"jul",7,"aug",8,"sep",9,"oct",10,"nov",11,"dec",12,"no month")</f>
        <v>10</v>
      </c>
      <c r="C1422" s="12" t="str">
        <f>LEFT('All Transactions'!$E1422,3)</f>
        <v>Oct</v>
      </c>
      <c r="D1422" s="12" t="str">
        <f t="shared" si="45"/>
        <v>2025</v>
      </c>
      <c r="E1422" s="16" t="s">
        <v>4510</v>
      </c>
      <c r="F1422" s="17" t="s">
        <v>2963</v>
      </c>
      <c r="G1422" s="18" t="s">
        <v>28</v>
      </c>
      <c r="H1422" s="19">
        <v>870</v>
      </c>
      <c r="I1422" s="20" t="s">
        <v>4532</v>
      </c>
      <c r="J1422" s="20" t="s">
        <v>4533</v>
      </c>
      <c r="K1422" s="21" t="s">
        <v>4534</v>
      </c>
      <c r="L1422" s="20" t="s">
        <v>32</v>
      </c>
      <c r="M1422" t="str">
        <f>TEXT(A1422,"dddd")</f>
        <v>Sunday</v>
      </c>
      <c r="N1422" s="35">
        <f>DATE(Table4[[#This Row],[year]],Table4[[#This Row],[month2]],Table4[[#This Row],[day]])</f>
        <v>45959</v>
      </c>
    </row>
    <row r="1423" spans="1:14" ht="16" x14ac:dyDescent="0.35">
      <c r="A1423" t="str">
        <f t="shared" si="44"/>
        <v>29</v>
      </c>
      <c r="B1423">
        <f>_xlfn.SWITCH(Table4[[#This Row],[month]],"jan",1,"feb",2,"mar",3,"apr",4,"may",5,"jun",6,"jul",7,"aug",8,"sep",9,"oct",10,"nov",11,"dec",12,"no month")</f>
        <v>10</v>
      </c>
      <c r="C1423" s="12" t="str">
        <f>LEFT('All Transactions'!$E1423,3)</f>
        <v>Oct</v>
      </c>
      <c r="D1423" s="12" t="str">
        <f t="shared" si="45"/>
        <v>2025</v>
      </c>
      <c r="E1423" s="22" t="s">
        <v>4510</v>
      </c>
      <c r="F1423" s="23" t="s">
        <v>1524</v>
      </c>
      <c r="G1423" s="18" t="s">
        <v>28</v>
      </c>
      <c r="H1423" s="24">
        <v>312</v>
      </c>
      <c r="I1423" s="25" t="s">
        <v>4535</v>
      </c>
      <c r="J1423" s="25" t="s">
        <v>4536</v>
      </c>
      <c r="K1423" s="26" t="s">
        <v>4537</v>
      </c>
      <c r="L1423" s="25" t="s">
        <v>32</v>
      </c>
      <c r="M1423" t="str">
        <f>TEXT(A1423,"dddd")</f>
        <v>Sunday</v>
      </c>
      <c r="N1423" s="35">
        <f>DATE(Table4[[#This Row],[year]],Table4[[#This Row],[month2]],Table4[[#This Row],[day]])</f>
        <v>45959</v>
      </c>
    </row>
    <row r="1424" spans="1:14" ht="16" x14ac:dyDescent="0.35">
      <c r="A1424" t="str">
        <f t="shared" si="44"/>
        <v>29</v>
      </c>
      <c r="B1424">
        <f>_xlfn.SWITCH(Table4[[#This Row],[month]],"jan",1,"feb",2,"mar",3,"apr",4,"may",5,"jun",6,"jul",7,"aug",8,"sep",9,"oct",10,"nov",11,"dec",12,"no month")</f>
        <v>10</v>
      </c>
      <c r="C1424" s="12" t="str">
        <f>LEFT('All Transactions'!$E1424,3)</f>
        <v>Oct</v>
      </c>
      <c r="D1424" s="12" t="str">
        <f t="shared" si="45"/>
        <v>2025</v>
      </c>
      <c r="E1424" s="16" t="s">
        <v>4510</v>
      </c>
      <c r="F1424" s="17" t="s">
        <v>1611</v>
      </c>
      <c r="G1424" s="27" t="s">
        <v>54</v>
      </c>
      <c r="H1424" s="19">
        <v>1000</v>
      </c>
      <c r="I1424" s="20" t="s">
        <v>1090</v>
      </c>
      <c r="J1424" s="20" t="s">
        <v>4538</v>
      </c>
      <c r="K1424" s="21" t="s">
        <v>4539</v>
      </c>
      <c r="L1424" s="20" t="s">
        <v>58</v>
      </c>
      <c r="M1424" t="str">
        <f>TEXT(A1424,"dddd")</f>
        <v>Sunday</v>
      </c>
      <c r="N1424" s="35">
        <f>DATE(Table4[[#This Row],[year]],Table4[[#This Row],[month2]],Table4[[#This Row],[day]])</f>
        <v>45959</v>
      </c>
    </row>
    <row r="1425" spans="1:14" ht="16" x14ac:dyDescent="0.35">
      <c r="A1425" t="str">
        <f t="shared" si="44"/>
        <v>27</v>
      </c>
      <c r="B1425">
        <f>_xlfn.SWITCH(Table4[[#This Row],[month]],"jan",1,"feb",2,"mar",3,"apr",4,"may",5,"jun",6,"jul",7,"aug",8,"sep",9,"oct",10,"nov",11,"dec",12,"no month")</f>
        <v>10</v>
      </c>
      <c r="C1425" s="12" t="str">
        <f>LEFT('All Transactions'!$E1425,3)</f>
        <v>Oct</v>
      </c>
      <c r="D1425" s="12" t="str">
        <f t="shared" si="45"/>
        <v>2025</v>
      </c>
      <c r="E1425" s="22" t="s">
        <v>4540</v>
      </c>
      <c r="F1425" s="23" t="s">
        <v>4541</v>
      </c>
      <c r="G1425" s="27" t="s">
        <v>54</v>
      </c>
      <c r="H1425" s="24">
        <v>500</v>
      </c>
      <c r="I1425" s="25" t="s">
        <v>947</v>
      </c>
      <c r="J1425" s="25" t="s">
        <v>4542</v>
      </c>
      <c r="K1425" s="26" t="s">
        <v>4543</v>
      </c>
      <c r="L1425" s="25" t="s">
        <v>58</v>
      </c>
      <c r="M1425" t="str">
        <f>TEXT(A1425,"dddd")</f>
        <v>Friday</v>
      </c>
      <c r="N1425" s="35">
        <f>DATE(Table4[[#This Row],[year]],Table4[[#This Row],[month2]],Table4[[#This Row],[day]])</f>
        <v>45957</v>
      </c>
    </row>
    <row r="1426" spans="1:14" ht="16" x14ac:dyDescent="0.35">
      <c r="A1426" t="str">
        <f t="shared" si="44"/>
        <v>27</v>
      </c>
      <c r="B1426">
        <f>_xlfn.SWITCH(Table4[[#This Row],[month]],"jan",1,"feb",2,"mar",3,"apr",4,"may",5,"jun",6,"jul",7,"aug",8,"sep",9,"oct",10,"nov",11,"dec",12,"no month")</f>
        <v>10</v>
      </c>
      <c r="C1426" s="12" t="str">
        <f>LEFT('All Transactions'!$E1426,3)</f>
        <v>Oct</v>
      </c>
      <c r="D1426" s="12" t="str">
        <f t="shared" si="45"/>
        <v>2025</v>
      </c>
      <c r="E1426" s="16" t="s">
        <v>4540</v>
      </c>
      <c r="F1426" s="17" t="s">
        <v>1581</v>
      </c>
      <c r="G1426" s="18" t="s">
        <v>28</v>
      </c>
      <c r="H1426" s="19">
        <v>5000</v>
      </c>
      <c r="I1426" s="20" t="s">
        <v>4544</v>
      </c>
      <c r="J1426" s="20" t="s">
        <v>4545</v>
      </c>
      <c r="K1426" s="21" t="s">
        <v>4546</v>
      </c>
      <c r="L1426" s="20" t="s">
        <v>32</v>
      </c>
      <c r="M1426" t="str">
        <f>TEXT(A1426,"dddd")</f>
        <v>Friday</v>
      </c>
      <c r="N1426" s="35">
        <f>DATE(Table4[[#This Row],[year]],Table4[[#This Row],[month2]],Table4[[#This Row],[day]])</f>
        <v>45957</v>
      </c>
    </row>
    <row r="1427" spans="1:14" ht="16" x14ac:dyDescent="0.35">
      <c r="A1427" t="str">
        <f t="shared" si="44"/>
        <v>27</v>
      </c>
      <c r="B1427">
        <f>_xlfn.SWITCH(Table4[[#This Row],[month]],"jan",1,"feb",2,"mar",3,"apr",4,"may",5,"jun",6,"jul",7,"aug",8,"sep",9,"oct",10,"nov",11,"dec",12,"no month")</f>
        <v>10</v>
      </c>
      <c r="C1427" s="12" t="str">
        <f>LEFT('All Transactions'!$E1427,3)</f>
        <v>Oct</v>
      </c>
      <c r="D1427" s="12" t="str">
        <f t="shared" si="45"/>
        <v>2025</v>
      </c>
      <c r="E1427" s="22" t="s">
        <v>4540</v>
      </c>
      <c r="F1427" s="23" t="s">
        <v>2925</v>
      </c>
      <c r="G1427" s="18" t="s">
        <v>28</v>
      </c>
      <c r="H1427" s="24">
        <v>514</v>
      </c>
      <c r="I1427" s="25" t="s">
        <v>4547</v>
      </c>
      <c r="J1427" s="25" t="s">
        <v>4548</v>
      </c>
      <c r="K1427" s="26" t="s">
        <v>4549</v>
      </c>
      <c r="L1427" s="25" t="s">
        <v>32</v>
      </c>
      <c r="M1427" t="str">
        <f>TEXT(A1427,"dddd")</f>
        <v>Friday</v>
      </c>
      <c r="N1427" s="35">
        <f>DATE(Table4[[#This Row],[year]],Table4[[#This Row],[month2]],Table4[[#This Row],[day]])</f>
        <v>45957</v>
      </c>
    </row>
    <row r="1428" spans="1:14" ht="16" x14ac:dyDescent="0.35">
      <c r="A1428" t="str">
        <f t="shared" si="44"/>
        <v>26</v>
      </c>
      <c r="B1428">
        <f>_xlfn.SWITCH(Table4[[#This Row],[month]],"jan",1,"feb",2,"mar",3,"apr",4,"may",5,"jun",6,"jul",7,"aug",8,"sep",9,"oct",10,"nov",11,"dec",12,"no month")</f>
        <v>10</v>
      </c>
      <c r="C1428" s="12" t="str">
        <f>LEFT('All Transactions'!$E1428,3)</f>
        <v>Oct</v>
      </c>
      <c r="D1428" s="12" t="str">
        <f t="shared" si="45"/>
        <v>2025</v>
      </c>
      <c r="E1428" s="16" t="s">
        <v>4550</v>
      </c>
      <c r="F1428" s="17" t="s">
        <v>2393</v>
      </c>
      <c r="G1428" s="27" t="s">
        <v>54</v>
      </c>
      <c r="H1428" s="19">
        <v>500</v>
      </c>
      <c r="I1428" s="20" t="s">
        <v>1090</v>
      </c>
      <c r="J1428" s="20" t="s">
        <v>4551</v>
      </c>
      <c r="K1428" s="21" t="s">
        <v>4552</v>
      </c>
      <c r="L1428" s="20" t="s">
        <v>58</v>
      </c>
      <c r="M1428" t="str">
        <f>TEXT(A1428,"dddd")</f>
        <v>Thursday</v>
      </c>
      <c r="N1428" s="35">
        <f>DATE(Table4[[#This Row],[year]],Table4[[#This Row],[month2]],Table4[[#This Row],[day]])</f>
        <v>45956</v>
      </c>
    </row>
    <row r="1429" spans="1:14" ht="16" x14ac:dyDescent="0.35">
      <c r="A1429" t="str">
        <f t="shared" si="44"/>
        <v>25</v>
      </c>
      <c r="B1429">
        <f>_xlfn.SWITCH(Table4[[#This Row],[month]],"jan",1,"feb",2,"mar",3,"apr",4,"may",5,"jun",6,"jul",7,"aug",8,"sep",9,"oct",10,"nov",11,"dec",12,"no month")</f>
        <v>10</v>
      </c>
      <c r="C1429" s="12" t="str">
        <f>LEFT('All Transactions'!$E1429,3)</f>
        <v>Oct</v>
      </c>
      <c r="D1429" s="12" t="str">
        <f t="shared" si="45"/>
        <v>2025</v>
      </c>
      <c r="E1429" s="22" t="s">
        <v>4553</v>
      </c>
      <c r="F1429" s="23" t="s">
        <v>4554</v>
      </c>
      <c r="G1429" s="27" t="s">
        <v>54</v>
      </c>
      <c r="H1429" s="24">
        <v>9700</v>
      </c>
      <c r="I1429" s="25" t="s">
        <v>1090</v>
      </c>
      <c r="J1429" s="25" t="s">
        <v>4555</v>
      </c>
      <c r="K1429" s="26" t="s">
        <v>4556</v>
      </c>
      <c r="L1429" s="25" t="s">
        <v>58</v>
      </c>
      <c r="M1429" t="str">
        <f>TEXT(A1429,"dddd")</f>
        <v>Wednesday</v>
      </c>
      <c r="N1429" s="35">
        <f>DATE(Table4[[#This Row],[year]],Table4[[#This Row],[month2]],Table4[[#This Row],[day]])</f>
        <v>45955</v>
      </c>
    </row>
    <row r="1430" spans="1:14" ht="16" x14ac:dyDescent="0.35">
      <c r="A1430" t="str">
        <f t="shared" si="44"/>
        <v>25</v>
      </c>
      <c r="B1430">
        <f>_xlfn.SWITCH(Table4[[#This Row],[month]],"jan",1,"feb",2,"mar",3,"apr",4,"may",5,"jun",6,"jul",7,"aug",8,"sep",9,"oct",10,"nov",11,"dec",12,"no month")</f>
        <v>10</v>
      </c>
      <c r="C1430" s="12" t="str">
        <f>LEFT('All Transactions'!$E1430,3)</f>
        <v>Oct</v>
      </c>
      <c r="D1430" s="12" t="str">
        <f t="shared" si="45"/>
        <v>2025</v>
      </c>
      <c r="E1430" s="16" t="s">
        <v>4553</v>
      </c>
      <c r="F1430" s="17" t="s">
        <v>255</v>
      </c>
      <c r="G1430" s="27" t="s">
        <v>54</v>
      </c>
      <c r="H1430" s="19">
        <v>100</v>
      </c>
      <c r="I1430" s="20" t="s">
        <v>1090</v>
      </c>
      <c r="J1430" s="20" t="s">
        <v>4557</v>
      </c>
      <c r="K1430" s="21" t="s">
        <v>4558</v>
      </c>
      <c r="L1430" s="20" t="s">
        <v>58</v>
      </c>
      <c r="M1430" t="str">
        <f>TEXT(A1430,"dddd")</f>
        <v>Wednesday</v>
      </c>
      <c r="N1430" s="35">
        <f>DATE(Table4[[#This Row],[year]],Table4[[#This Row],[month2]],Table4[[#This Row],[day]])</f>
        <v>45955</v>
      </c>
    </row>
    <row r="1431" spans="1:14" ht="16" x14ac:dyDescent="0.35">
      <c r="A1431" t="str">
        <f t="shared" si="44"/>
        <v>25</v>
      </c>
      <c r="B1431">
        <f>_xlfn.SWITCH(Table4[[#This Row],[month]],"jan",1,"feb",2,"mar",3,"apr",4,"may",5,"jun",6,"jul",7,"aug",8,"sep",9,"oct",10,"nov",11,"dec",12,"no month")</f>
        <v>10</v>
      </c>
      <c r="C1431" s="12" t="str">
        <f>LEFT('All Transactions'!$E1431,3)</f>
        <v>Oct</v>
      </c>
      <c r="D1431" s="12" t="str">
        <f t="shared" si="45"/>
        <v>2025</v>
      </c>
      <c r="E1431" s="22" t="s">
        <v>4553</v>
      </c>
      <c r="F1431" s="23" t="s">
        <v>2500</v>
      </c>
      <c r="G1431" s="27" t="s">
        <v>54</v>
      </c>
      <c r="H1431" s="24">
        <v>40</v>
      </c>
      <c r="I1431" s="25" t="s">
        <v>4559</v>
      </c>
      <c r="J1431" s="25" t="s">
        <v>4560</v>
      </c>
      <c r="K1431" s="26" t="s">
        <v>4561</v>
      </c>
      <c r="L1431" s="25" t="s">
        <v>58</v>
      </c>
      <c r="M1431" t="str">
        <f>TEXT(A1431,"dddd")</f>
        <v>Wednesday</v>
      </c>
      <c r="N1431" s="35">
        <f>DATE(Table4[[#This Row],[year]],Table4[[#This Row],[month2]],Table4[[#This Row],[day]])</f>
        <v>45955</v>
      </c>
    </row>
    <row r="1432" spans="1:14" ht="16" x14ac:dyDescent="0.35">
      <c r="A1432" t="str">
        <f t="shared" si="44"/>
        <v>25</v>
      </c>
      <c r="B1432">
        <f>_xlfn.SWITCH(Table4[[#This Row],[month]],"jan",1,"feb",2,"mar",3,"apr",4,"may",5,"jun",6,"jul",7,"aug",8,"sep",9,"oct",10,"nov",11,"dec",12,"no month")</f>
        <v>10</v>
      </c>
      <c r="C1432" s="12" t="str">
        <f>LEFT('All Transactions'!$E1432,3)</f>
        <v>Oct</v>
      </c>
      <c r="D1432" s="12" t="str">
        <f t="shared" si="45"/>
        <v>2025</v>
      </c>
      <c r="E1432" s="16" t="s">
        <v>4553</v>
      </c>
      <c r="F1432" s="17" t="s">
        <v>4438</v>
      </c>
      <c r="G1432" s="27" t="s">
        <v>54</v>
      </c>
      <c r="H1432" s="19">
        <v>69</v>
      </c>
      <c r="I1432" s="20" t="s">
        <v>4562</v>
      </c>
      <c r="J1432" s="20" t="s">
        <v>4563</v>
      </c>
      <c r="K1432" s="21" t="s">
        <v>4564</v>
      </c>
      <c r="L1432" s="20" t="s">
        <v>58</v>
      </c>
      <c r="M1432" t="str">
        <f>TEXT(A1432,"dddd")</f>
        <v>Wednesday</v>
      </c>
      <c r="N1432" s="35">
        <f>DATE(Table4[[#This Row],[year]],Table4[[#This Row],[month2]],Table4[[#This Row],[day]])</f>
        <v>45955</v>
      </c>
    </row>
    <row r="1433" spans="1:14" ht="16" x14ac:dyDescent="0.35">
      <c r="A1433" t="str">
        <f t="shared" si="44"/>
        <v>25</v>
      </c>
      <c r="B1433">
        <f>_xlfn.SWITCH(Table4[[#This Row],[month]],"jan",1,"feb",2,"mar",3,"apr",4,"may",5,"jun",6,"jul",7,"aug",8,"sep",9,"oct",10,"nov",11,"dec",12,"no month")</f>
        <v>10</v>
      </c>
      <c r="C1433" s="12" t="str">
        <f>LEFT('All Transactions'!$E1433,3)</f>
        <v>Oct</v>
      </c>
      <c r="D1433" s="12" t="str">
        <f t="shared" si="45"/>
        <v>2025</v>
      </c>
      <c r="E1433" s="22" t="s">
        <v>4553</v>
      </c>
      <c r="F1433" s="23" t="s">
        <v>4565</v>
      </c>
      <c r="G1433" s="27" t="s">
        <v>54</v>
      </c>
      <c r="H1433" s="24">
        <v>50</v>
      </c>
      <c r="I1433" s="25" t="s">
        <v>4566</v>
      </c>
      <c r="J1433" s="25" t="s">
        <v>4567</v>
      </c>
      <c r="K1433" s="26" t="s">
        <v>4568</v>
      </c>
      <c r="L1433" s="25" t="s">
        <v>58</v>
      </c>
      <c r="M1433" t="str">
        <f>TEXT(A1433,"dddd")</f>
        <v>Wednesday</v>
      </c>
      <c r="N1433" s="35">
        <f>DATE(Table4[[#This Row],[year]],Table4[[#This Row],[month2]],Table4[[#This Row],[day]])</f>
        <v>45955</v>
      </c>
    </row>
    <row r="1434" spans="1:14" ht="16" x14ac:dyDescent="0.35">
      <c r="A1434" t="str">
        <f t="shared" si="44"/>
        <v>25</v>
      </c>
      <c r="B1434">
        <f>_xlfn.SWITCH(Table4[[#This Row],[month]],"jan",1,"feb",2,"mar",3,"apr",4,"may",5,"jun",6,"jul",7,"aug",8,"sep",9,"oct",10,"nov",11,"dec",12,"no month")</f>
        <v>10</v>
      </c>
      <c r="C1434" s="12" t="str">
        <f>LEFT('All Transactions'!$E1434,3)</f>
        <v>Oct</v>
      </c>
      <c r="D1434" s="12" t="str">
        <f t="shared" si="45"/>
        <v>2025</v>
      </c>
      <c r="E1434" s="16" t="s">
        <v>4553</v>
      </c>
      <c r="F1434" s="17" t="s">
        <v>2117</v>
      </c>
      <c r="G1434" s="27" t="s">
        <v>54</v>
      </c>
      <c r="H1434" s="19">
        <v>194</v>
      </c>
      <c r="I1434" s="20" t="s">
        <v>4569</v>
      </c>
      <c r="J1434" s="20" t="s">
        <v>4570</v>
      </c>
      <c r="K1434" s="21" t="s">
        <v>4571</v>
      </c>
      <c r="L1434" s="20" t="s">
        <v>58</v>
      </c>
      <c r="M1434" t="str">
        <f>TEXT(A1434,"dddd")</f>
        <v>Wednesday</v>
      </c>
      <c r="N1434" s="35">
        <f>DATE(Table4[[#This Row],[year]],Table4[[#This Row],[month2]],Table4[[#This Row],[day]])</f>
        <v>45955</v>
      </c>
    </row>
    <row r="1435" spans="1:14" ht="16" x14ac:dyDescent="0.35">
      <c r="A1435" t="str">
        <f t="shared" si="44"/>
        <v>25</v>
      </c>
      <c r="B1435">
        <f>_xlfn.SWITCH(Table4[[#This Row],[month]],"jan",1,"feb",2,"mar",3,"apr",4,"may",5,"jun",6,"jul",7,"aug",8,"sep",9,"oct",10,"nov",11,"dec",12,"no month")</f>
        <v>10</v>
      </c>
      <c r="C1435" s="12" t="str">
        <f>LEFT('All Transactions'!$E1435,3)</f>
        <v>Oct</v>
      </c>
      <c r="D1435" s="12" t="str">
        <f t="shared" si="45"/>
        <v>2025</v>
      </c>
      <c r="E1435" s="22" t="s">
        <v>4553</v>
      </c>
      <c r="F1435" s="23" t="s">
        <v>4572</v>
      </c>
      <c r="G1435" s="27" t="s">
        <v>54</v>
      </c>
      <c r="H1435" s="24">
        <v>35</v>
      </c>
      <c r="I1435" s="25" t="s">
        <v>4573</v>
      </c>
      <c r="J1435" s="25" t="s">
        <v>4574</v>
      </c>
      <c r="K1435" s="26" t="s">
        <v>4575</v>
      </c>
      <c r="L1435" s="25" t="s">
        <v>58</v>
      </c>
      <c r="M1435" t="str">
        <f>TEXT(A1435,"dddd")</f>
        <v>Wednesday</v>
      </c>
      <c r="N1435" s="35">
        <f>DATE(Table4[[#This Row],[year]],Table4[[#This Row],[month2]],Table4[[#This Row],[day]])</f>
        <v>45955</v>
      </c>
    </row>
    <row r="1436" spans="1:14" ht="16" x14ac:dyDescent="0.35">
      <c r="A1436" t="str">
        <f t="shared" si="44"/>
        <v>25</v>
      </c>
      <c r="B1436">
        <f>_xlfn.SWITCH(Table4[[#This Row],[month]],"jan",1,"feb",2,"mar",3,"apr",4,"may",5,"jun",6,"jul",7,"aug",8,"sep",9,"oct",10,"nov",11,"dec",12,"no month")</f>
        <v>10</v>
      </c>
      <c r="C1436" s="12" t="str">
        <f>LEFT('All Transactions'!$E1436,3)</f>
        <v>Oct</v>
      </c>
      <c r="D1436" s="12" t="str">
        <f t="shared" si="45"/>
        <v>2025</v>
      </c>
      <c r="E1436" s="16" t="s">
        <v>4553</v>
      </c>
      <c r="F1436" s="17" t="s">
        <v>4576</v>
      </c>
      <c r="G1436" s="27" t="s">
        <v>54</v>
      </c>
      <c r="H1436" s="19">
        <v>137</v>
      </c>
      <c r="I1436" s="20" t="s">
        <v>1075</v>
      </c>
      <c r="J1436" s="20" t="s">
        <v>4577</v>
      </c>
      <c r="K1436" s="21" t="s">
        <v>4578</v>
      </c>
      <c r="L1436" s="20" t="s">
        <v>58</v>
      </c>
      <c r="M1436" t="str">
        <f>TEXT(A1436,"dddd")</f>
        <v>Wednesday</v>
      </c>
      <c r="N1436" s="35">
        <f>DATE(Table4[[#This Row],[year]],Table4[[#This Row],[month2]],Table4[[#This Row],[day]])</f>
        <v>45955</v>
      </c>
    </row>
    <row r="1437" spans="1:14" ht="16" x14ac:dyDescent="0.35">
      <c r="A1437" t="str">
        <f t="shared" si="44"/>
        <v>24</v>
      </c>
      <c r="B1437">
        <f>_xlfn.SWITCH(Table4[[#This Row],[month]],"jan",1,"feb",2,"mar",3,"apr",4,"may",5,"jun",6,"jul",7,"aug",8,"sep",9,"oct",10,"nov",11,"dec",12,"no month")</f>
        <v>10</v>
      </c>
      <c r="C1437" s="12" t="str">
        <f>LEFT('All Transactions'!$E1437,3)</f>
        <v>Oct</v>
      </c>
      <c r="D1437" s="12" t="str">
        <f t="shared" si="45"/>
        <v>2025</v>
      </c>
      <c r="E1437" s="22" t="s">
        <v>4579</v>
      </c>
      <c r="F1437" s="23" t="s">
        <v>1601</v>
      </c>
      <c r="G1437" s="18" t="s">
        <v>28</v>
      </c>
      <c r="H1437" s="24">
        <v>135</v>
      </c>
      <c r="I1437" s="25" t="s">
        <v>4580</v>
      </c>
      <c r="J1437" s="25" t="s">
        <v>4581</v>
      </c>
      <c r="K1437" s="26" t="s">
        <v>4582</v>
      </c>
      <c r="L1437" s="25" t="s">
        <v>32</v>
      </c>
      <c r="M1437" t="str">
        <f>TEXT(A1437,"dddd")</f>
        <v>Tuesday</v>
      </c>
      <c r="N1437" s="35">
        <f>DATE(Table4[[#This Row],[year]],Table4[[#This Row],[month2]],Table4[[#This Row],[day]])</f>
        <v>45954</v>
      </c>
    </row>
    <row r="1438" spans="1:14" ht="16" x14ac:dyDescent="0.35">
      <c r="A1438" t="str">
        <f t="shared" si="44"/>
        <v>24</v>
      </c>
      <c r="B1438">
        <f>_xlfn.SWITCH(Table4[[#This Row],[month]],"jan",1,"feb",2,"mar",3,"apr",4,"may",5,"jun",6,"jul",7,"aug",8,"sep",9,"oct",10,"nov",11,"dec",12,"no month")</f>
        <v>10</v>
      </c>
      <c r="C1438" s="12" t="str">
        <f>LEFT('All Transactions'!$E1438,3)</f>
        <v>Oct</v>
      </c>
      <c r="D1438" s="12" t="str">
        <f t="shared" si="45"/>
        <v>2025</v>
      </c>
      <c r="E1438" s="16" t="s">
        <v>4579</v>
      </c>
      <c r="F1438" s="17" t="s">
        <v>661</v>
      </c>
      <c r="G1438" s="18" t="s">
        <v>28</v>
      </c>
      <c r="H1438" s="19">
        <v>55</v>
      </c>
      <c r="I1438" s="20" t="s">
        <v>4583</v>
      </c>
      <c r="J1438" s="20" t="s">
        <v>4584</v>
      </c>
      <c r="K1438" s="21" t="s">
        <v>4585</v>
      </c>
      <c r="L1438" s="20" t="s">
        <v>32</v>
      </c>
      <c r="M1438" t="str">
        <f>TEXT(A1438,"dddd")</f>
        <v>Tuesday</v>
      </c>
      <c r="N1438" s="35">
        <f>DATE(Table4[[#This Row],[year]],Table4[[#This Row],[month2]],Table4[[#This Row],[day]])</f>
        <v>45954</v>
      </c>
    </row>
    <row r="1439" spans="1:14" ht="16" x14ac:dyDescent="0.35">
      <c r="A1439" t="str">
        <f t="shared" si="44"/>
        <v>24</v>
      </c>
      <c r="B1439">
        <f>_xlfn.SWITCH(Table4[[#This Row],[month]],"jan",1,"feb",2,"mar",3,"apr",4,"may",5,"jun",6,"jul",7,"aug",8,"sep",9,"oct",10,"nov",11,"dec",12,"no month")</f>
        <v>10</v>
      </c>
      <c r="C1439" s="12" t="str">
        <f>LEFT('All Transactions'!$E1439,3)</f>
        <v>Oct</v>
      </c>
      <c r="D1439" s="12" t="str">
        <f t="shared" si="45"/>
        <v>2025</v>
      </c>
      <c r="E1439" s="22" t="s">
        <v>4579</v>
      </c>
      <c r="F1439" s="23" t="s">
        <v>4586</v>
      </c>
      <c r="G1439" s="18" t="s">
        <v>28</v>
      </c>
      <c r="H1439" s="24">
        <v>46</v>
      </c>
      <c r="I1439" s="25" t="s">
        <v>4587</v>
      </c>
      <c r="J1439" s="25" t="s">
        <v>4588</v>
      </c>
      <c r="K1439" s="26" t="s">
        <v>4589</v>
      </c>
      <c r="L1439" s="25" t="s">
        <v>32</v>
      </c>
      <c r="M1439" t="str">
        <f>TEXT(A1439,"dddd")</f>
        <v>Tuesday</v>
      </c>
      <c r="N1439" s="35">
        <f>DATE(Table4[[#This Row],[year]],Table4[[#This Row],[month2]],Table4[[#This Row],[day]])</f>
        <v>45954</v>
      </c>
    </row>
    <row r="1440" spans="1:14" ht="16" x14ac:dyDescent="0.35">
      <c r="A1440" t="str">
        <f t="shared" si="44"/>
        <v>24</v>
      </c>
      <c r="B1440">
        <f>_xlfn.SWITCH(Table4[[#This Row],[month]],"jan",1,"feb",2,"mar",3,"apr",4,"may",5,"jun",6,"jul",7,"aug",8,"sep",9,"oct",10,"nov",11,"dec",12,"no month")</f>
        <v>10</v>
      </c>
      <c r="C1440" s="12" t="str">
        <f>LEFT('All Transactions'!$E1440,3)</f>
        <v>Oct</v>
      </c>
      <c r="D1440" s="12" t="str">
        <f t="shared" si="45"/>
        <v>2025</v>
      </c>
      <c r="E1440" s="16" t="s">
        <v>4579</v>
      </c>
      <c r="F1440" s="17" t="s">
        <v>4586</v>
      </c>
      <c r="G1440" s="27" t="s">
        <v>54</v>
      </c>
      <c r="H1440" s="19">
        <v>100</v>
      </c>
      <c r="I1440" s="20" t="s">
        <v>1075</v>
      </c>
      <c r="J1440" s="20" t="s">
        <v>4590</v>
      </c>
      <c r="K1440" s="21" t="s">
        <v>4591</v>
      </c>
      <c r="L1440" s="20" t="s">
        <v>58</v>
      </c>
      <c r="M1440" t="str">
        <f>TEXT(A1440,"dddd")</f>
        <v>Tuesday</v>
      </c>
      <c r="N1440" s="35">
        <f>DATE(Table4[[#This Row],[year]],Table4[[#This Row],[month2]],Table4[[#This Row],[day]])</f>
        <v>45954</v>
      </c>
    </row>
    <row r="1441" spans="1:14" ht="16" x14ac:dyDescent="0.35">
      <c r="A1441" t="str">
        <f t="shared" si="44"/>
        <v>23</v>
      </c>
      <c r="B1441">
        <f>_xlfn.SWITCH(Table4[[#This Row],[month]],"jan",1,"feb",2,"mar",3,"apr",4,"may",5,"jun",6,"jul",7,"aug",8,"sep",9,"oct",10,"nov",11,"dec",12,"no month")</f>
        <v>10</v>
      </c>
      <c r="C1441" s="12" t="str">
        <f>LEFT('All Transactions'!$E1441,3)</f>
        <v>Oct</v>
      </c>
      <c r="D1441" s="12" t="str">
        <f t="shared" si="45"/>
        <v>2025</v>
      </c>
      <c r="E1441" s="22" t="s">
        <v>4592</v>
      </c>
      <c r="F1441" s="23" t="s">
        <v>4593</v>
      </c>
      <c r="G1441" s="27" t="s">
        <v>54</v>
      </c>
      <c r="H1441" s="24">
        <v>150</v>
      </c>
      <c r="I1441" s="25" t="s">
        <v>143</v>
      </c>
      <c r="J1441" s="25" t="s">
        <v>4594</v>
      </c>
      <c r="K1441" s="26" t="s">
        <v>4595</v>
      </c>
      <c r="L1441" s="25" t="s">
        <v>58</v>
      </c>
      <c r="M1441" t="str">
        <f>TEXT(A1441,"dddd")</f>
        <v>Monday</v>
      </c>
      <c r="N1441" s="35">
        <f>DATE(Table4[[#This Row],[year]],Table4[[#This Row],[month2]],Table4[[#This Row],[day]])</f>
        <v>45953</v>
      </c>
    </row>
    <row r="1442" spans="1:14" ht="16" x14ac:dyDescent="0.35">
      <c r="A1442" t="str">
        <f t="shared" si="44"/>
        <v>23</v>
      </c>
      <c r="B1442">
        <f>_xlfn.SWITCH(Table4[[#This Row],[month]],"jan",1,"feb",2,"mar",3,"apr",4,"may",5,"jun",6,"jul",7,"aug",8,"sep",9,"oct",10,"nov",11,"dec",12,"no month")</f>
        <v>10</v>
      </c>
      <c r="C1442" s="12" t="str">
        <f>LEFT('All Transactions'!$E1442,3)</f>
        <v>Oct</v>
      </c>
      <c r="D1442" s="12" t="str">
        <f t="shared" si="45"/>
        <v>2025</v>
      </c>
      <c r="E1442" s="16" t="s">
        <v>4592</v>
      </c>
      <c r="F1442" s="17" t="s">
        <v>4596</v>
      </c>
      <c r="G1442" s="18" t="s">
        <v>28</v>
      </c>
      <c r="H1442" s="19">
        <v>160</v>
      </c>
      <c r="I1442" s="20" t="s">
        <v>4597</v>
      </c>
      <c r="J1442" s="20" t="s">
        <v>4598</v>
      </c>
      <c r="K1442" s="21" t="s">
        <v>4599</v>
      </c>
      <c r="L1442" s="20" t="s">
        <v>32</v>
      </c>
      <c r="M1442" t="str">
        <f>TEXT(A1442,"dddd")</f>
        <v>Monday</v>
      </c>
      <c r="N1442" s="35">
        <f>DATE(Table4[[#This Row],[year]],Table4[[#This Row],[month2]],Table4[[#This Row],[day]])</f>
        <v>45953</v>
      </c>
    </row>
    <row r="1443" spans="1:14" ht="16" x14ac:dyDescent="0.35">
      <c r="A1443" t="str">
        <f t="shared" si="44"/>
        <v>23</v>
      </c>
      <c r="B1443">
        <f>_xlfn.SWITCH(Table4[[#This Row],[month]],"jan",1,"feb",2,"mar",3,"apr",4,"may",5,"jun",6,"jul",7,"aug",8,"sep",9,"oct",10,"nov",11,"dec",12,"no month")</f>
        <v>10</v>
      </c>
      <c r="C1443" s="12" t="str">
        <f>LEFT('All Transactions'!$E1443,3)</f>
        <v>Oct</v>
      </c>
      <c r="D1443" s="12" t="str">
        <f t="shared" si="45"/>
        <v>2025</v>
      </c>
      <c r="E1443" s="22" t="s">
        <v>4592</v>
      </c>
      <c r="F1443" s="23" t="s">
        <v>2664</v>
      </c>
      <c r="G1443" s="27" t="s">
        <v>54</v>
      </c>
      <c r="H1443" s="24">
        <v>120</v>
      </c>
      <c r="I1443" s="25" t="s">
        <v>3603</v>
      </c>
      <c r="J1443" s="25" t="s">
        <v>4600</v>
      </c>
      <c r="K1443" s="26" t="s">
        <v>4601</v>
      </c>
      <c r="L1443" s="25" t="s">
        <v>58</v>
      </c>
      <c r="M1443" t="str">
        <f>TEXT(A1443,"dddd")</f>
        <v>Monday</v>
      </c>
      <c r="N1443" s="35">
        <f>DATE(Table4[[#This Row],[year]],Table4[[#This Row],[month2]],Table4[[#This Row],[day]])</f>
        <v>45953</v>
      </c>
    </row>
    <row r="1444" spans="1:14" ht="16" x14ac:dyDescent="0.35">
      <c r="A1444" t="str">
        <f t="shared" si="44"/>
        <v>23</v>
      </c>
      <c r="B1444">
        <f>_xlfn.SWITCH(Table4[[#This Row],[month]],"jan",1,"feb",2,"mar",3,"apr",4,"may",5,"jun",6,"jul",7,"aug",8,"sep",9,"oct",10,"nov",11,"dec",12,"no month")</f>
        <v>10</v>
      </c>
      <c r="C1444" s="12" t="str">
        <f>LEFT('All Transactions'!$E1444,3)</f>
        <v>Oct</v>
      </c>
      <c r="D1444" s="12" t="str">
        <f t="shared" si="45"/>
        <v>2025</v>
      </c>
      <c r="E1444" s="16" t="s">
        <v>4592</v>
      </c>
      <c r="F1444" s="17" t="s">
        <v>1035</v>
      </c>
      <c r="G1444" s="18" t="s">
        <v>28</v>
      </c>
      <c r="H1444" s="19">
        <v>302</v>
      </c>
      <c r="I1444" s="20" t="s">
        <v>4602</v>
      </c>
      <c r="J1444" s="20" t="s">
        <v>4603</v>
      </c>
      <c r="K1444" s="21" t="s">
        <v>4604</v>
      </c>
      <c r="L1444" s="20" t="s">
        <v>32</v>
      </c>
      <c r="M1444" t="str">
        <f>TEXT(A1444,"dddd")</f>
        <v>Monday</v>
      </c>
      <c r="N1444" s="35">
        <f>DATE(Table4[[#This Row],[year]],Table4[[#This Row],[month2]],Table4[[#This Row],[day]])</f>
        <v>45953</v>
      </c>
    </row>
    <row r="1445" spans="1:14" ht="16" x14ac:dyDescent="0.35">
      <c r="A1445" t="str">
        <f t="shared" si="44"/>
        <v>23</v>
      </c>
      <c r="B1445">
        <f>_xlfn.SWITCH(Table4[[#This Row],[month]],"jan",1,"feb",2,"mar",3,"apr",4,"may",5,"jun",6,"jul",7,"aug",8,"sep",9,"oct",10,"nov",11,"dec",12,"no month")</f>
        <v>10</v>
      </c>
      <c r="C1445" s="12" t="str">
        <f>LEFT('All Transactions'!$E1445,3)</f>
        <v>Oct</v>
      </c>
      <c r="D1445" s="12" t="str">
        <f t="shared" si="45"/>
        <v>2025</v>
      </c>
      <c r="E1445" s="22" t="s">
        <v>4592</v>
      </c>
      <c r="F1445" s="23" t="s">
        <v>4586</v>
      </c>
      <c r="G1445" s="27" t="s">
        <v>54</v>
      </c>
      <c r="H1445" s="24">
        <v>300</v>
      </c>
      <c r="I1445" s="25" t="s">
        <v>3631</v>
      </c>
      <c r="J1445" s="25" t="s">
        <v>4605</v>
      </c>
      <c r="K1445" s="26" t="s">
        <v>4606</v>
      </c>
      <c r="L1445" s="25" t="s">
        <v>58</v>
      </c>
      <c r="M1445" t="str">
        <f>TEXT(A1445,"dddd")</f>
        <v>Monday</v>
      </c>
      <c r="N1445" s="35">
        <f>DATE(Table4[[#This Row],[year]],Table4[[#This Row],[month2]],Table4[[#This Row],[day]])</f>
        <v>45953</v>
      </c>
    </row>
    <row r="1446" spans="1:14" ht="16" x14ac:dyDescent="0.35">
      <c r="A1446" t="str">
        <f t="shared" si="44"/>
        <v>23</v>
      </c>
      <c r="B1446">
        <f>_xlfn.SWITCH(Table4[[#This Row],[month]],"jan",1,"feb",2,"mar",3,"apr",4,"may",5,"jun",6,"jul",7,"aug",8,"sep",9,"oct",10,"nov",11,"dec",12,"no month")</f>
        <v>10</v>
      </c>
      <c r="C1446" s="12" t="str">
        <f>LEFT('All Transactions'!$E1446,3)</f>
        <v>Oct</v>
      </c>
      <c r="D1446" s="12" t="str">
        <f t="shared" si="45"/>
        <v>2025</v>
      </c>
      <c r="E1446" s="16" t="s">
        <v>4592</v>
      </c>
      <c r="F1446" s="17" t="s">
        <v>4607</v>
      </c>
      <c r="G1446" s="27" t="s">
        <v>54</v>
      </c>
      <c r="H1446" s="19">
        <v>50</v>
      </c>
      <c r="I1446" s="20" t="s">
        <v>4608</v>
      </c>
      <c r="J1446" s="20" t="s">
        <v>4609</v>
      </c>
      <c r="K1446" s="21" t="s">
        <v>4610</v>
      </c>
      <c r="L1446" s="20" t="s">
        <v>58</v>
      </c>
      <c r="M1446" t="str">
        <f>TEXT(A1446,"dddd")</f>
        <v>Monday</v>
      </c>
      <c r="N1446" s="35">
        <f>DATE(Table4[[#This Row],[year]],Table4[[#This Row],[month2]],Table4[[#This Row],[day]])</f>
        <v>45953</v>
      </c>
    </row>
    <row r="1447" spans="1:14" ht="16" x14ac:dyDescent="0.35">
      <c r="A1447" t="str">
        <f t="shared" si="44"/>
        <v>22</v>
      </c>
      <c r="B1447">
        <f>_xlfn.SWITCH(Table4[[#This Row],[month]],"jan",1,"feb",2,"mar",3,"apr",4,"may",5,"jun",6,"jul",7,"aug",8,"sep",9,"oct",10,"nov",11,"dec",12,"no month")</f>
        <v>10</v>
      </c>
      <c r="C1447" s="12" t="str">
        <f>LEFT('All Transactions'!$E1447,3)</f>
        <v>Oct</v>
      </c>
      <c r="D1447" s="12" t="str">
        <f t="shared" si="45"/>
        <v>2025</v>
      </c>
      <c r="E1447" s="22" t="s">
        <v>4611</v>
      </c>
      <c r="F1447" s="23" t="s">
        <v>4335</v>
      </c>
      <c r="G1447" s="18" t="s">
        <v>28</v>
      </c>
      <c r="H1447" s="24">
        <v>20</v>
      </c>
      <c r="I1447" s="25" t="s">
        <v>4612</v>
      </c>
      <c r="J1447" s="25" t="s">
        <v>4613</v>
      </c>
      <c r="K1447" s="26" t="s">
        <v>4614</v>
      </c>
      <c r="L1447" s="25" t="s">
        <v>32</v>
      </c>
      <c r="M1447" t="str">
        <f>TEXT(A1447,"dddd")</f>
        <v>Sunday</v>
      </c>
      <c r="N1447" s="35">
        <f>DATE(Table4[[#This Row],[year]],Table4[[#This Row],[month2]],Table4[[#This Row],[day]])</f>
        <v>45952</v>
      </c>
    </row>
    <row r="1448" spans="1:14" ht="16" x14ac:dyDescent="0.35">
      <c r="A1448" t="str">
        <f t="shared" si="44"/>
        <v>22</v>
      </c>
      <c r="B1448">
        <f>_xlfn.SWITCH(Table4[[#This Row],[month]],"jan",1,"feb",2,"mar",3,"apr",4,"may",5,"jun",6,"jul",7,"aug",8,"sep",9,"oct",10,"nov",11,"dec",12,"no month")</f>
        <v>10</v>
      </c>
      <c r="C1448" s="12" t="str">
        <f>LEFT('All Transactions'!$E1448,3)</f>
        <v>Oct</v>
      </c>
      <c r="D1448" s="12" t="str">
        <f t="shared" si="45"/>
        <v>2025</v>
      </c>
      <c r="E1448" s="16" t="s">
        <v>4611</v>
      </c>
      <c r="F1448" s="17" t="s">
        <v>4527</v>
      </c>
      <c r="G1448" s="18" t="s">
        <v>28</v>
      </c>
      <c r="H1448" s="19">
        <v>100</v>
      </c>
      <c r="I1448" s="20" t="s">
        <v>4615</v>
      </c>
      <c r="J1448" s="20" t="s">
        <v>4616</v>
      </c>
      <c r="K1448" s="21" t="s">
        <v>4617</v>
      </c>
      <c r="L1448" s="20" t="s">
        <v>32</v>
      </c>
      <c r="M1448" t="str">
        <f>TEXT(A1448,"dddd")</f>
        <v>Sunday</v>
      </c>
      <c r="N1448" s="35">
        <f>DATE(Table4[[#This Row],[year]],Table4[[#This Row],[month2]],Table4[[#This Row],[day]])</f>
        <v>45952</v>
      </c>
    </row>
    <row r="1449" spans="1:14" ht="16" x14ac:dyDescent="0.35">
      <c r="A1449" t="str">
        <f t="shared" si="44"/>
        <v>22</v>
      </c>
      <c r="B1449">
        <f>_xlfn.SWITCH(Table4[[#This Row],[month]],"jan",1,"feb",2,"mar",3,"apr",4,"may",5,"jun",6,"jul",7,"aug",8,"sep",9,"oct",10,"nov",11,"dec",12,"no month")</f>
        <v>10</v>
      </c>
      <c r="C1449" s="12" t="str">
        <f>LEFT('All Transactions'!$E1449,3)</f>
        <v>Oct</v>
      </c>
      <c r="D1449" s="12" t="str">
        <f t="shared" si="45"/>
        <v>2025</v>
      </c>
      <c r="E1449" s="22" t="s">
        <v>4611</v>
      </c>
      <c r="F1449" s="23" t="s">
        <v>3066</v>
      </c>
      <c r="G1449" s="18" t="s">
        <v>28</v>
      </c>
      <c r="H1449" s="24">
        <v>40</v>
      </c>
      <c r="I1449" s="25" t="s">
        <v>4597</v>
      </c>
      <c r="J1449" s="25" t="s">
        <v>4618</v>
      </c>
      <c r="K1449" s="26" t="s">
        <v>4619</v>
      </c>
      <c r="L1449" s="25" t="s">
        <v>32</v>
      </c>
      <c r="M1449" t="str">
        <f>TEXT(A1449,"dddd")</f>
        <v>Sunday</v>
      </c>
      <c r="N1449" s="35">
        <f>DATE(Table4[[#This Row],[year]],Table4[[#This Row],[month2]],Table4[[#This Row],[day]])</f>
        <v>45952</v>
      </c>
    </row>
    <row r="1450" spans="1:14" ht="16" x14ac:dyDescent="0.35">
      <c r="A1450" t="str">
        <f t="shared" si="44"/>
        <v>21</v>
      </c>
      <c r="B1450">
        <f>_xlfn.SWITCH(Table4[[#This Row],[month]],"jan",1,"feb",2,"mar",3,"apr",4,"may",5,"jun",6,"jul",7,"aug",8,"sep",9,"oct",10,"nov",11,"dec",12,"no month")</f>
        <v>10</v>
      </c>
      <c r="C1450" s="12" t="str">
        <f>LEFT('All Transactions'!$E1450,3)</f>
        <v>Oct</v>
      </c>
      <c r="D1450" s="12" t="str">
        <f t="shared" si="45"/>
        <v>2025</v>
      </c>
      <c r="E1450" s="16" t="s">
        <v>4620</v>
      </c>
      <c r="F1450" s="17" t="s">
        <v>1302</v>
      </c>
      <c r="G1450" s="18" t="s">
        <v>28</v>
      </c>
      <c r="H1450" s="19">
        <v>2061.8000000000002</v>
      </c>
      <c r="I1450" s="20" t="s">
        <v>4621</v>
      </c>
      <c r="J1450" s="20"/>
      <c r="K1450" s="21" t="s">
        <v>4622</v>
      </c>
      <c r="L1450" s="20" t="s">
        <v>32</v>
      </c>
      <c r="M1450" t="str">
        <f>TEXT(A1450,"dddd")</f>
        <v>Saturday</v>
      </c>
      <c r="N1450" s="35">
        <f>DATE(Table4[[#This Row],[year]],Table4[[#This Row],[month2]],Table4[[#This Row],[day]])</f>
        <v>45951</v>
      </c>
    </row>
    <row r="1451" spans="1:14" ht="16" x14ac:dyDescent="0.35">
      <c r="A1451" t="str">
        <f t="shared" si="44"/>
        <v>21</v>
      </c>
      <c r="B1451">
        <f>_xlfn.SWITCH(Table4[[#This Row],[month]],"jan",1,"feb",2,"mar",3,"apr",4,"may",5,"jun",6,"jul",7,"aug",8,"sep",9,"oct",10,"nov",11,"dec",12,"no month")</f>
        <v>10</v>
      </c>
      <c r="C1451" s="12" t="str">
        <f>LEFT('All Transactions'!$E1451,3)</f>
        <v>Oct</v>
      </c>
      <c r="D1451" s="12" t="str">
        <f t="shared" si="45"/>
        <v>2025</v>
      </c>
      <c r="E1451" s="22" t="s">
        <v>4620</v>
      </c>
      <c r="F1451" s="23" t="s">
        <v>4132</v>
      </c>
      <c r="G1451" s="18" t="s">
        <v>28</v>
      </c>
      <c r="H1451" s="24">
        <v>10</v>
      </c>
      <c r="I1451" s="25" t="s">
        <v>1900</v>
      </c>
      <c r="J1451" s="25" t="s">
        <v>4623</v>
      </c>
      <c r="K1451" s="26" t="s">
        <v>4624</v>
      </c>
      <c r="L1451" s="25" t="s">
        <v>47</v>
      </c>
      <c r="M1451" t="str">
        <f>TEXT(A1451,"dddd")</f>
        <v>Saturday</v>
      </c>
      <c r="N1451" s="35">
        <f>DATE(Table4[[#This Row],[year]],Table4[[#This Row],[month2]],Table4[[#This Row],[day]])</f>
        <v>45951</v>
      </c>
    </row>
    <row r="1452" spans="1:14" ht="16" x14ac:dyDescent="0.35">
      <c r="A1452" t="str">
        <f t="shared" si="44"/>
        <v>20</v>
      </c>
      <c r="B1452">
        <f>_xlfn.SWITCH(Table4[[#This Row],[month]],"jan",1,"feb",2,"mar",3,"apr",4,"may",5,"jun",6,"jul",7,"aug",8,"sep",9,"oct",10,"nov",11,"dec",12,"no month")</f>
        <v>10</v>
      </c>
      <c r="C1452" s="12" t="str">
        <f>LEFT('All Transactions'!$E1452,3)</f>
        <v>Oct</v>
      </c>
      <c r="D1452" s="12" t="str">
        <f t="shared" si="45"/>
        <v>2025</v>
      </c>
      <c r="E1452" s="16" t="s">
        <v>4625</v>
      </c>
      <c r="F1452" s="17" t="s">
        <v>1172</v>
      </c>
      <c r="G1452" s="18" t="s">
        <v>28</v>
      </c>
      <c r="H1452" s="19">
        <v>17</v>
      </c>
      <c r="I1452" s="20" t="s">
        <v>4626</v>
      </c>
      <c r="J1452" s="20" t="s">
        <v>4627</v>
      </c>
      <c r="K1452" s="21" t="s">
        <v>4628</v>
      </c>
      <c r="L1452" s="20" t="s">
        <v>32</v>
      </c>
      <c r="M1452" t="str">
        <f>TEXT(A1452,"dddd")</f>
        <v>Friday</v>
      </c>
      <c r="N1452" s="35">
        <f>DATE(Table4[[#This Row],[year]],Table4[[#This Row],[month2]],Table4[[#This Row],[day]])</f>
        <v>45950</v>
      </c>
    </row>
    <row r="1453" spans="1:14" ht="16" x14ac:dyDescent="0.35">
      <c r="A1453" t="str">
        <f t="shared" si="44"/>
        <v>20</v>
      </c>
      <c r="B1453">
        <f>_xlfn.SWITCH(Table4[[#This Row],[month]],"jan",1,"feb",2,"mar",3,"apr",4,"may",5,"jun",6,"jul",7,"aug",8,"sep",9,"oct",10,"nov",11,"dec",12,"no month")</f>
        <v>10</v>
      </c>
      <c r="C1453" s="12" t="str">
        <f>LEFT('All Transactions'!$E1453,3)</f>
        <v>Oct</v>
      </c>
      <c r="D1453" s="12" t="str">
        <f t="shared" si="45"/>
        <v>2025</v>
      </c>
      <c r="E1453" s="22" t="s">
        <v>4625</v>
      </c>
      <c r="F1453" s="23" t="s">
        <v>3881</v>
      </c>
      <c r="G1453" s="18" t="s">
        <v>28</v>
      </c>
      <c r="H1453" s="24">
        <v>100</v>
      </c>
      <c r="I1453" s="25" t="s">
        <v>4629</v>
      </c>
      <c r="J1453" s="25" t="s">
        <v>4630</v>
      </c>
      <c r="K1453" s="26" t="s">
        <v>4631</v>
      </c>
      <c r="L1453" s="25" t="s">
        <v>32</v>
      </c>
      <c r="M1453" t="str">
        <f>TEXT(A1453,"dddd")</f>
        <v>Friday</v>
      </c>
      <c r="N1453" s="35">
        <f>DATE(Table4[[#This Row],[year]],Table4[[#This Row],[month2]],Table4[[#This Row],[day]])</f>
        <v>45950</v>
      </c>
    </row>
    <row r="1454" spans="1:14" ht="16" x14ac:dyDescent="0.35">
      <c r="A1454" t="str">
        <f t="shared" si="44"/>
        <v>20</v>
      </c>
      <c r="B1454">
        <f>_xlfn.SWITCH(Table4[[#This Row],[month]],"jan",1,"feb",2,"mar",3,"apr",4,"may",5,"jun",6,"jul",7,"aug",8,"sep",9,"oct",10,"nov",11,"dec",12,"no month")</f>
        <v>10</v>
      </c>
      <c r="C1454" s="12" t="str">
        <f>LEFT('All Transactions'!$E1454,3)</f>
        <v>Oct</v>
      </c>
      <c r="D1454" s="12" t="str">
        <f t="shared" si="45"/>
        <v>2025</v>
      </c>
      <c r="E1454" s="16" t="s">
        <v>4625</v>
      </c>
      <c r="F1454" s="17" t="s">
        <v>1943</v>
      </c>
      <c r="G1454" s="27" t="s">
        <v>54</v>
      </c>
      <c r="H1454" s="19">
        <v>1300</v>
      </c>
      <c r="I1454" s="20" t="s">
        <v>1090</v>
      </c>
      <c r="J1454" s="20" t="s">
        <v>4632</v>
      </c>
      <c r="K1454" s="21" t="s">
        <v>4633</v>
      </c>
      <c r="L1454" s="20" t="s">
        <v>58</v>
      </c>
      <c r="M1454" t="str">
        <f>TEXT(A1454,"dddd")</f>
        <v>Friday</v>
      </c>
      <c r="N1454" s="35">
        <f>DATE(Table4[[#This Row],[year]],Table4[[#This Row],[month2]],Table4[[#This Row],[day]])</f>
        <v>45950</v>
      </c>
    </row>
    <row r="1455" spans="1:14" ht="16" x14ac:dyDescent="0.35">
      <c r="A1455" t="str">
        <f t="shared" si="44"/>
        <v>20</v>
      </c>
      <c r="B1455">
        <f>_xlfn.SWITCH(Table4[[#This Row],[month]],"jan",1,"feb",2,"mar",3,"apr",4,"may",5,"jun",6,"jul",7,"aug",8,"sep",9,"oct",10,"nov",11,"dec",12,"no month")</f>
        <v>10</v>
      </c>
      <c r="C1455" s="12" t="str">
        <f>LEFT('All Transactions'!$E1455,3)</f>
        <v>Oct</v>
      </c>
      <c r="D1455" s="12" t="str">
        <f t="shared" si="45"/>
        <v>2025</v>
      </c>
      <c r="E1455" s="22" t="s">
        <v>4625</v>
      </c>
      <c r="F1455" s="23" t="s">
        <v>4634</v>
      </c>
      <c r="G1455" s="18" t="s">
        <v>28</v>
      </c>
      <c r="H1455" s="24">
        <v>35</v>
      </c>
      <c r="I1455" s="25" t="s">
        <v>4635</v>
      </c>
      <c r="J1455" s="25" t="s">
        <v>4636</v>
      </c>
      <c r="K1455" s="26" t="s">
        <v>4637</v>
      </c>
      <c r="L1455" s="25" t="s">
        <v>32</v>
      </c>
      <c r="M1455" t="str">
        <f>TEXT(A1455,"dddd")</f>
        <v>Friday</v>
      </c>
      <c r="N1455" s="35">
        <f>DATE(Table4[[#This Row],[year]],Table4[[#This Row],[month2]],Table4[[#This Row],[day]])</f>
        <v>45950</v>
      </c>
    </row>
    <row r="1456" spans="1:14" ht="16" x14ac:dyDescent="0.35">
      <c r="A1456" t="str">
        <f t="shared" si="44"/>
        <v>20</v>
      </c>
      <c r="B1456">
        <f>_xlfn.SWITCH(Table4[[#This Row],[month]],"jan",1,"feb",2,"mar",3,"apr",4,"may",5,"jun",6,"jul",7,"aug",8,"sep",9,"oct",10,"nov",11,"dec",12,"no month")</f>
        <v>10</v>
      </c>
      <c r="C1456" s="12" t="str">
        <f>LEFT('All Transactions'!$E1456,3)</f>
        <v>Oct</v>
      </c>
      <c r="D1456" s="12" t="str">
        <f t="shared" si="45"/>
        <v>2025</v>
      </c>
      <c r="E1456" s="16" t="s">
        <v>4625</v>
      </c>
      <c r="F1456" s="17" t="s">
        <v>36</v>
      </c>
      <c r="G1456" s="27" t="s">
        <v>54</v>
      </c>
      <c r="H1456" s="19">
        <v>32000</v>
      </c>
      <c r="I1456" s="20" t="s">
        <v>1090</v>
      </c>
      <c r="J1456" s="20" t="s">
        <v>4638</v>
      </c>
      <c r="K1456" s="21" t="s">
        <v>4639</v>
      </c>
      <c r="L1456" s="20" t="s">
        <v>58</v>
      </c>
      <c r="M1456" t="str">
        <f>TEXT(A1456,"dddd")</f>
        <v>Friday</v>
      </c>
      <c r="N1456" s="35">
        <f>DATE(Table4[[#This Row],[year]],Table4[[#This Row],[month2]],Table4[[#This Row],[day]])</f>
        <v>45950</v>
      </c>
    </row>
    <row r="1457" spans="1:14" ht="16" x14ac:dyDescent="0.35">
      <c r="A1457" t="str">
        <f t="shared" si="44"/>
        <v>19</v>
      </c>
      <c r="B1457">
        <f>_xlfn.SWITCH(Table4[[#This Row],[month]],"jan",1,"feb",2,"mar",3,"apr",4,"may",5,"jun",6,"jul",7,"aug",8,"sep",9,"oct",10,"nov",11,"dec",12,"no month")</f>
        <v>10</v>
      </c>
      <c r="C1457" s="12" t="str">
        <f>LEFT('All Transactions'!$E1457,3)</f>
        <v>Oct</v>
      </c>
      <c r="D1457" s="12" t="str">
        <f t="shared" si="45"/>
        <v>2025</v>
      </c>
      <c r="E1457" s="22" t="s">
        <v>4640</v>
      </c>
      <c r="F1457" s="23" t="s">
        <v>248</v>
      </c>
      <c r="G1457" s="27" t="s">
        <v>54</v>
      </c>
      <c r="H1457" s="24">
        <v>100</v>
      </c>
      <c r="I1457" s="25" t="s">
        <v>4641</v>
      </c>
      <c r="J1457" s="25" t="s">
        <v>4642</v>
      </c>
      <c r="K1457" s="26" t="s">
        <v>4643</v>
      </c>
      <c r="L1457" s="25" t="s">
        <v>58</v>
      </c>
      <c r="M1457" t="str">
        <f>TEXT(A1457,"dddd")</f>
        <v>Thursday</v>
      </c>
      <c r="N1457" s="35">
        <f>DATE(Table4[[#This Row],[year]],Table4[[#This Row],[month2]],Table4[[#This Row],[day]])</f>
        <v>45949</v>
      </c>
    </row>
    <row r="1458" spans="1:14" ht="16" x14ac:dyDescent="0.35">
      <c r="A1458" t="str">
        <f t="shared" si="44"/>
        <v>19</v>
      </c>
      <c r="B1458">
        <f>_xlfn.SWITCH(Table4[[#This Row],[month]],"jan",1,"feb",2,"mar",3,"apr",4,"may",5,"jun",6,"jul",7,"aug",8,"sep",9,"oct",10,"nov",11,"dec",12,"no month")</f>
        <v>10</v>
      </c>
      <c r="C1458" s="12" t="str">
        <f>LEFT('All Transactions'!$E1458,3)</f>
        <v>Oct</v>
      </c>
      <c r="D1458" s="12" t="str">
        <f t="shared" si="45"/>
        <v>2025</v>
      </c>
      <c r="E1458" s="16" t="s">
        <v>4640</v>
      </c>
      <c r="F1458" s="17" t="s">
        <v>312</v>
      </c>
      <c r="G1458" s="18" t="s">
        <v>28</v>
      </c>
      <c r="H1458" s="19">
        <v>107.39</v>
      </c>
      <c r="I1458" s="20" t="s">
        <v>4644</v>
      </c>
      <c r="J1458" s="20" t="s">
        <v>4645</v>
      </c>
      <c r="K1458" s="21" t="s">
        <v>4646</v>
      </c>
      <c r="L1458" s="20" t="s">
        <v>32</v>
      </c>
      <c r="M1458" t="str">
        <f>TEXT(A1458,"dddd")</f>
        <v>Thursday</v>
      </c>
      <c r="N1458" s="35">
        <f>DATE(Table4[[#This Row],[year]],Table4[[#This Row],[month2]],Table4[[#This Row],[day]])</f>
        <v>45949</v>
      </c>
    </row>
    <row r="1459" spans="1:14" ht="16" x14ac:dyDescent="0.35">
      <c r="A1459" t="str">
        <f t="shared" si="44"/>
        <v>19</v>
      </c>
      <c r="B1459">
        <f>_xlfn.SWITCH(Table4[[#This Row],[month]],"jan",1,"feb",2,"mar",3,"apr",4,"may",5,"jun",6,"jul",7,"aug",8,"sep",9,"oct",10,"nov",11,"dec",12,"no month")</f>
        <v>10</v>
      </c>
      <c r="C1459" s="12" t="str">
        <f>LEFT('All Transactions'!$E1459,3)</f>
        <v>Oct</v>
      </c>
      <c r="D1459" s="12" t="str">
        <f t="shared" si="45"/>
        <v>2025</v>
      </c>
      <c r="E1459" s="22" t="s">
        <v>4640</v>
      </c>
      <c r="F1459" s="23" t="s">
        <v>1385</v>
      </c>
      <c r="G1459" s="27" t="s">
        <v>54</v>
      </c>
      <c r="H1459" s="24">
        <v>100</v>
      </c>
      <c r="I1459" s="25" t="s">
        <v>4647</v>
      </c>
      <c r="J1459" s="25" t="s">
        <v>4648</v>
      </c>
      <c r="K1459" s="26" t="s">
        <v>4649</v>
      </c>
      <c r="L1459" s="25" t="s">
        <v>58</v>
      </c>
      <c r="M1459" t="str">
        <f>TEXT(A1459,"dddd")</f>
        <v>Thursday</v>
      </c>
      <c r="N1459" s="35">
        <f>DATE(Table4[[#This Row],[year]],Table4[[#This Row],[month2]],Table4[[#This Row],[day]])</f>
        <v>45949</v>
      </c>
    </row>
    <row r="1460" spans="1:14" ht="16" x14ac:dyDescent="0.35">
      <c r="A1460" t="str">
        <f t="shared" si="44"/>
        <v>19</v>
      </c>
      <c r="B1460">
        <f>_xlfn.SWITCH(Table4[[#This Row],[month]],"jan",1,"feb",2,"mar",3,"apr",4,"may",5,"jun",6,"jul",7,"aug",8,"sep",9,"oct",10,"nov",11,"dec",12,"no month")</f>
        <v>10</v>
      </c>
      <c r="C1460" s="12" t="str">
        <f>LEFT('All Transactions'!$E1460,3)</f>
        <v>Oct</v>
      </c>
      <c r="D1460" s="12" t="str">
        <f t="shared" si="45"/>
        <v>2025</v>
      </c>
      <c r="E1460" s="16" t="s">
        <v>4640</v>
      </c>
      <c r="F1460" s="17" t="s">
        <v>4173</v>
      </c>
      <c r="G1460" s="27" t="s">
        <v>54</v>
      </c>
      <c r="H1460" s="19">
        <v>110</v>
      </c>
      <c r="I1460" s="20" t="s">
        <v>4650</v>
      </c>
      <c r="J1460" s="20" t="s">
        <v>4651</v>
      </c>
      <c r="K1460" s="21" t="s">
        <v>4652</v>
      </c>
      <c r="L1460" s="20" t="s">
        <v>58</v>
      </c>
      <c r="M1460" t="str">
        <f>TEXT(A1460,"dddd")</f>
        <v>Thursday</v>
      </c>
      <c r="N1460" s="35">
        <f>DATE(Table4[[#This Row],[year]],Table4[[#This Row],[month2]],Table4[[#This Row],[day]])</f>
        <v>45949</v>
      </c>
    </row>
    <row r="1461" spans="1:14" ht="16" x14ac:dyDescent="0.35">
      <c r="A1461" t="str">
        <f t="shared" si="44"/>
        <v>19</v>
      </c>
      <c r="B1461">
        <f>_xlfn.SWITCH(Table4[[#This Row],[month]],"jan",1,"feb",2,"mar",3,"apr",4,"may",5,"jun",6,"jul",7,"aug",8,"sep",9,"oct",10,"nov",11,"dec",12,"no month")</f>
        <v>10</v>
      </c>
      <c r="C1461" s="12" t="str">
        <f>LEFT('All Transactions'!$E1461,3)</f>
        <v>Oct</v>
      </c>
      <c r="D1461" s="12" t="str">
        <f t="shared" si="45"/>
        <v>2025</v>
      </c>
      <c r="E1461" s="22" t="s">
        <v>4640</v>
      </c>
      <c r="F1461" s="23" t="s">
        <v>4012</v>
      </c>
      <c r="G1461" s="18" t="s">
        <v>28</v>
      </c>
      <c r="H1461" s="24">
        <v>20</v>
      </c>
      <c r="I1461" s="25" t="s">
        <v>1096</v>
      </c>
      <c r="J1461" s="25" t="s">
        <v>4653</v>
      </c>
      <c r="K1461" s="26" t="s">
        <v>4654</v>
      </c>
      <c r="L1461" s="25" t="s">
        <v>32</v>
      </c>
      <c r="M1461" t="str">
        <f>TEXT(A1461,"dddd")</f>
        <v>Thursday</v>
      </c>
      <c r="N1461" s="35">
        <f>DATE(Table4[[#This Row],[year]],Table4[[#This Row],[month2]],Table4[[#This Row],[day]])</f>
        <v>45949</v>
      </c>
    </row>
    <row r="1462" spans="1:14" ht="16" x14ac:dyDescent="0.35">
      <c r="A1462" t="str">
        <f t="shared" si="44"/>
        <v>19</v>
      </c>
      <c r="B1462">
        <f>_xlfn.SWITCH(Table4[[#This Row],[month]],"jan",1,"feb",2,"mar",3,"apr",4,"may",5,"jun",6,"jul",7,"aug",8,"sep",9,"oct",10,"nov",11,"dec",12,"no month")</f>
        <v>10</v>
      </c>
      <c r="C1462" s="12" t="str">
        <f>LEFT('All Transactions'!$E1462,3)</f>
        <v>Oct</v>
      </c>
      <c r="D1462" s="12" t="str">
        <f t="shared" si="45"/>
        <v>2025</v>
      </c>
      <c r="E1462" s="16" t="s">
        <v>4640</v>
      </c>
      <c r="F1462" s="17" t="s">
        <v>4655</v>
      </c>
      <c r="G1462" s="18" t="s">
        <v>28</v>
      </c>
      <c r="H1462" s="19">
        <v>230</v>
      </c>
      <c r="I1462" s="20" t="s">
        <v>1096</v>
      </c>
      <c r="J1462" s="20" t="s">
        <v>4656</v>
      </c>
      <c r="K1462" s="21" t="s">
        <v>4657</v>
      </c>
      <c r="L1462" s="20" t="s">
        <v>32</v>
      </c>
      <c r="M1462" t="str">
        <f>TEXT(A1462,"dddd")</f>
        <v>Thursday</v>
      </c>
      <c r="N1462" s="35">
        <f>DATE(Table4[[#This Row],[year]],Table4[[#This Row],[month2]],Table4[[#This Row],[day]])</f>
        <v>45949</v>
      </c>
    </row>
    <row r="1463" spans="1:14" ht="16" x14ac:dyDescent="0.35">
      <c r="A1463" t="str">
        <f t="shared" si="44"/>
        <v>19</v>
      </c>
      <c r="B1463">
        <f>_xlfn.SWITCH(Table4[[#This Row],[month]],"jan",1,"feb",2,"mar",3,"apr",4,"may",5,"jun",6,"jul",7,"aug",8,"sep",9,"oct",10,"nov",11,"dec",12,"no month")</f>
        <v>10</v>
      </c>
      <c r="C1463" s="12" t="str">
        <f>LEFT('All Transactions'!$E1463,3)</f>
        <v>Oct</v>
      </c>
      <c r="D1463" s="12" t="str">
        <f t="shared" si="45"/>
        <v>2025</v>
      </c>
      <c r="E1463" s="22" t="s">
        <v>4640</v>
      </c>
      <c r="F1463" s="23" t="s">
        <v>688</v>
      </c>
      <c r="G1463" s="27" t="s">
        <v>54</v>
      </c>
      <c r="H1463" s="24">
        <v>500</v>
      </c>
      <c r="I1463" s="25" t="s">
        <v>1075</v>
      </c>
      <c r="J1463" s="25" t="s">
        <v>4658</v>
      </c>
      <c r="K1463" s="26" t="s">
        <v>4659</v>
      </c>
      <c r="L1463" s="25" t="s">
        <v>58</v>
      </c>
      <c r="M1463" t="str">
        <f>TEXT(A1463,"dddd")</f>
        <v>Thursday</v>
      </c>
      <c r="N1463" s="35">
        <f>DATE(Table4[[#This Row],[year]],Table4[[#This Row],[month2]],Table4[[#This Row],[day]])</f>
        <v>45949</v>
      </c>
    </row>
    <row r="1464" spans="1:14" ht="16" x14ac:dyDescent="0.35">
      <c r="A1464" t="str">
        <f t="shared" si="44"/>
        <v>19</v>
      </c>
      <c r="B1464">
        <f>_xlfn.SWITCH(Table4[[#This Row],[month]],"jan",1,"feb",2,"mar",3,"apr",4,"may",5,"jun",6,"jul",7,"aug",8,"sep",9,"oct",10,"nov",11,"dec",12,"no month")</f>
        <v>10</v>
      </c>
      <c r="C1464" s="12" t="str">
        <f>LEFT('All Transactions'!$E1464,3)</f>
        <v>Oct</v>
      </c>
      <c r="D1464" s="12" t="str">
        <f t="shared" si="45"/>
        <v>2025</v>
      </c>
      <c r="E1464" s="16" t="s">
        <v>4640</v>
      </c>
      <c r="F1464" s="17" t="s">
        <v>1176</v>
      </c>
      <c r="G1464" s="18" t="s">
        <v>28</v>
      </c>
      <c r="H1464" s="19">
        <v>60</v>
      </c>
      <c r="I1464" s="20" t="s">
        <v>4660</v>
      </c>
      <c r="J1464" s="20" t="s">
        <v>4661</v>
      </c>
      <c r="K1464" s="21" t="s">
        <v>4662</v>
      </c>
      <c r="L1464" s="20" t="s">
        <v>32</v>
      </c>
      <c r="M1464" t="str">
        <f>TEXT(A1464,"dddd")</f>
        <v>Thursday</v>
      </c>
      <c r="N1464" s="35">
        <f>DATE(Table4[[#This Row],[year]],Table4[[#This Row],[month2]],Table4[[#This Row],[day]])</f>
        <v>45949</v>
      </c>
    </row>
    <row r="1465" spans="1:14" ht="16" x14ac:dyDescent="0.35">
      <c r="A1465" t="str">
        <f t="shared" si="44"/>
        <v>18</v>
      </c>
      <c r="B1465">
        <f>_xlfn.SWITCH(Table4[[#This Row],[month]],"jan",1,"feb",2,"mar",3,"apr",4,"may",5,"jun",6,"jul",7,"aug",8,"sep",9,"oct",10,"nov",11,"dec",12,"no month")</f>
        <v>10</v>
      </c>
      <c r="C1465" s="12" t="str">
        <f>LEFT('All Transactions'!$E1465,3)</f>
        <v>Oct</v>
      </c>
      <c r="D1465" s="12" t="str">
        <f t="shared" si="45"/>
        <v>2025</v>
      </c>
      <c r="E1465" s="22" t="s">
        <v>4663</v>
      </c>
      <c r="F1465" s="23" t="s">
        <v>2570</v>
      </c>
      <c r="G1465" s="18" t="s">
        <v>28</v>
      </c>
      <c r="H1465" s="24">
        <v>119</v>
      </c>
      <c r="I1465" s="25" t="s">
        <v>4664</v>
      </c>
      <c r="J1465" s="25" t="s">
        <v>4665</v>
      </c>
      <c r="K1465" s="26" t="s">
        <v>4666</v>
      </c>
      <c r="L1465" s="25" t="s">
        <v>32</v>
      </c>
      <c r="M1465" t="str">
        <f>TEXT(A1465,"dddd")</f>
        <v>Wednesday</v>
      </c>
      <c r="N1465" s="35">
        <f>DATE(Table4[[#This Row],[year]],Table4[[#This Row],[month2]],Table4[[#This Row],[day]])</f>
        <v>45948</v>
      </c>
    </row>
    <row r="1466" spans="1:14" ht="16" x14ac:dyDescent="0.35">
      <c r="A1466" t="str">
        <f t="shared" si="44"/>
        <v>18</v>
      </c>
      <c r="B1466">
        <f>_xlfn.SWITCH(Table4[[#This Row],[month]],"jan",1,"feb",2,"mar",3,"apr",4,"may",5,"jun",6,"jul",7,"aug",8,"sep",9,"oct",10,"nov",11,"dec",12,"no month")</f>
        <v>10</v>
      </c>
      <c r="C1466" s="12" t="str">
        <f>LEFT('All Transactions'!$E1466,3)</f>
        <v>Oct</v>
      </c>
      <c r="D1466" s="12" t="str">
        <f t="shared" si="45"/>
        <v>2025</v>
      </c>
      <c r="E1466" s="16" t="s">
        <v>4663</v>
      </c>
      <c r="F1466" s="17" t="s">
        <v>4519</v>
      </c>
      <c r="G1466" s="27" t="s">
        <v>54</v>
      </c>
      <c r="H1466" s="19">
        <v>200</v>
      </c>
      <c r="I1466" s="20" t="s">
        <v>1090</v>
      </c>
      <c r="J1466" s="20" t="s">
        <v>4667</v>
      </c>
      <c r="K1466" s="21" t="s">
        <v>4668</v>
      </c>
      <c r="L1466" s="20" t="s">
        <v>58</v>
      </c>
      <c r="M1466" t="str">
        <f>TEXT(A1466,"dddd")</f>
        <v>Wednesday</v>
      </c>
      <c r="N1466" s="35">
        <f>DATE(Table4[[#This Row],[year]],Table4[[#This Row],[month2]],Table4[[#This Row],[day]])</f>
        <v>45948</v>
      </c>
    </row>
    <row r="1467" spans="1:14" ht="16" x14ac:dyDescent="0.35">
      <c r="A1467" t="str">
        <f t="shared" si="44"/>
        <v>17</v>
      </c>
      <c r="B1467">
        <f>_xlfn.SWITCH(Table4[[#This Row],[month]],"jan",1,"feb",2,"mar",3,"apr",4,"may",5,"jun",6,"jul",7,"aug",8,"sep",9,"oct",10,"nov",11,"dec",12,"no month")</f>
        <v>10</v>
      </c>
      <c r="C1467" s="12" t="str">
        <f>LEFT('All Transactions'!$E1467,3)</f>
        <v>Oct</v>
      </c>
      <c r="D1467" s="12" t="str">
        <f t="shared" si="45"/>
        <v>2025</v>
      </c>
      <c r="E1467" s="22" t="s">
        <v>4669</v>
      </c>
      <c r="F1467" s="23" t="s">
        <v>305</v>
      </c>
      <c r="G1467" s="18" t="s">
        <v>28</v>
      </c>
      <c r="H1467" s="24">
        <v>123.88</v>
      </c>
      <c r="I1467" s="25" t="s">
        <v>4670</v>
      </c>
      <c r="J1467" s="25" t="s">
        <v>4671</v>
      </c>
      <c r="K1467" s="26" t="s">
        <v>4672</v>
      </c>
      <c r="L1467" s="25" t="s">
        <v>32</v>
      </c>
      <c r="M1467" t="str">
        <f>TEXT(A1467,"dddd")</f>
        <v>Tuesday</v>
      </c>
      <c r="N1467" s="35">
        <f>DATE(Table4[[#This Row],[year]],Table4[[#This Row],[month2]],Table4[[#This Row],[day]])</f>
        <v>45947</v>
      </c>
    </row>
    <row r="1468" spans="1:14" ht="16" x14ac:dyDescent="0.35">
      <c r="A1468" t="str">
        <f t="shared" si="44"/>
        <v>17</v>
      </c>
      <c r="B1468">
        <f>_xlfn.SWITCH(Table4[[#This Row],[month]],"jan",1,"feb",2,"mar",3,"apr",4,"may",5,"jun",6,"jul",7,"aug",8,"sep",9,"oct",10,"nov",11,"dec",12,"no month")</f>
        <v>10</v>
      </c>
      <c r="C1468" s="12" t="str">
        <f>LEFT('All Transactions'!$E1468,3)</f>
        <v>Oct</v>
      </c>
      <c r="D1468" s="12" t="str">
        <f t="shared" si="45"/>
        <v>2025</v>
      </c>
      <c r="E1468" s="16" t="s">
        <v>4669</v>
      </c>
      <c r="F1468" s="17" t="s">
        <v>4673</v>
      </c>
      <c r="G1468" s="18" t="s">
        <v>28</v>
      </c>
      <c r="H1468" s="19">
        <v>40</v>
      </c>
      <c r="I1468" s="20" t="s">
        <v>4674</v>
      </c>
      <c r="J1468" s="20" t="s">
        <v>4675</v>
      </c>
      <c r="K1468" s="21" t="s">
        <v>4676</v>
      </c>
      <c r="L1468" s="20" t="s">
        <v>32</v>
      </c>
      <c r="M1468" t="str">
        <f>TEXT(A1468,"dddd")</f>
        <v>Tuesday</v>
      </c>
      <c r="N1468" s="35">
        <f>DATE(Table4[[#This Row],[year]],Table4[[#This Row],[month2]],Table4[[#This Row],[day]])</f>
        <v>45947</v>
      </c>
    </row>
    <row r="1469" spans="1:14" ht="16" x14ac:dyDescent="0.35">
      <c r="A1469" t="str">
        <f t="shared" si="44"/>
        <v>17</v>
      </c>
      <c r="B1469">
        <f>_xlfn.SWITCH(Table4[[#This Row],[month]],"jan",1,"feb",2,"mar",3,"apr",4,"may",5,"jun",6,"jul",7,"aug",8,"sep",9,"oct",10,"nov",11,"dec",12,"no month")</f>
        <v>10</v>
      </c>
      <c r="C1469" s="12" t="str">
        <f>LEFT('All Transactions'!$E1469,3)</f>
        <v>Oct</v>
      </c>
      <c r="D1469" s="12" t="str">
        <f t="shared" si="45"/>
        <v>2025</v>
      </c>
      <c r="E1469" s="22" t="s">
        <v>4669</v>
      </c>
      <c r="F1469" s="23" t="s">
        <v>4264</v>
      </c>
      <c r="G1469" s="27" t="s">
        <v>54</v>
      </c>
      <c r="H1469" s="24">
        <v>300</v>
      </c>
      <c r="I1469" s="25" t="s">
        <v>156</v>
      </c>
      <c r="J1469" s="25" t="s">
        <v>4677</v>
      </c>
      <c r="K1469" s="26" t="s">
        <v>4678</v>
      </c>
      <c r="L1469" s="25" t="s">
        <v>58</v>
      </c>
      <c r="M1469" t="str">
        <f>TEXT(A1469,"dddd")</f>
        <v>Tuesday</v>
      </c>
      <c r="N1469" s="35">
        <f>DATE(Table4[[#This Row],[year]],Table4[[#This Row],[month2]],Table4[[#This Row],[day]])</f>
        <v>45947</v>
      </c>
    </row>
    <row r="1470" spans="1:14" ht="16" x14ac:dyDescent="0.35">
      <c r="A1470" t="str">
        <f t="shared" si="44"/>
        <v>17</v>
      </c>
      <c r="B1470">
        <f>_xlfn.SWITCH(Table4[[#This Row],[month]],"jan",1,"feb",2,"mar",3,"apr",4,"may",5,"jun",6,"jul",7,"aug",8,"sep",9,"oct",10,"nov",11,"dec",12,"no month")</f>
        <v>10</v>
      </c>
      <c r="C1470" s="12" t="str">
        <f>LEFT('All Transactions'!$E1470,3)</f>
        <v>Oct</v>
      </c>
      <c r="D1470" s="12" t="str">
        <f t="shared" si="45"/>
        <v>2025</v>
      </c>
      <c r="E1470" s="16" t="s">
        <v>4669</v>
      </c>
      <c r="F1470" s="17" t="s">
        <v>3175</v>
      </c>
      <c r="G1470" s="18" t="s">
        <v>28</v>
      </c>
      <c r="H1470" s="19">
        <v>360</v>
      </c>
      <c r="I1470" s="20" t="s">
        <v>2782</v>
      </c>
      <c r="J1470" s="20" t="s">
        <v>4679</v>
      </c>
      <c r="K1470" s="21" t="s">
        <v>4680</v>
      </c>
      <c r="L1470" s="20" t="s">
        <v>32</v>
      </c>
      <c r="M1470" t="str">
        <f>TEXT(A1470,"dddd")</f>
        <v>Tuesday</v>
      </c>
      <c r="N1470" s="35">
        <f>DATE(Table4[[#This Row],[year]],Table4[[#This Row],[month2]],Table4[[#This Row],[day]])</f>
        <v>45947</v>
      </c>
    </row>
    <row r="1471" spans="1:14" ht="16" x14ac:dyDescent="0.35">
      <c r="A1471" t="str">
        <f t="shared" si="44"/>
        <v>17</v>
      </c>
      <c r="B1471">
        <f>_xlfn.SWITCH(Table4[[#This Row],[month]],"jan",1,"feb",2,"mar",3,"apr",4,"may",5,"jun",6,"jul",7,"aug",8,"sep",9,"oct",10,"nov",11,"dec",12,"no month")</f>
        <v>10</v>
      </c>
      <c r="C1471" s="12" t="str">
        <f>LEFT('All Transactions'!$E1471,3)</f>
        <v>Oct</v>
      </c>
      <c r="D1471" s="12" t="str">
        <f t="shared" si="45"/>
        <v>2025</v>
      </c>
      <c r="E1471" s="22" t="s">
        <v>4669</v>
      </c>
      <c r="F1471" s="23" t="s">
        <v>1629</v>
      </c>
      <c r="G1471" s="27" t="s">
        <v>54</v>
      </c>
      <c r="H1471" s="24">
        <v>70</v>
      </c>
      <c r="I1471" s="25" t="s">
        <v>4681</v>
      </c>
      <c r="J1471" s="25" t="s">
        <v>4682</v>
      </c>
      <c r="K1471" s="26" t="s">
        <v>4683</v>
      </c>
      <c r="L1471" s="25" t="s">
        <v>58</v>
      </c>
      <c r="M1471" t="str">
        <f>TEXT(A1471,"dddd")</f>
        <v>Tuesday</v>
      </c>
      <c r="N1471" s="35">
        <f>DATE(Table4[[#This Row],[year]],Table4[[#This Row],[month2]],Table4[[#This Row],[day]])</f>
        <v>45947</v>
      </c>
    </row>
    <row r="1472" spans="1:14" ht="16" x14ac:dyDescent="0.35">
      <c r="A1472" t="str">
        <f t="shared" si="44"/>
        <v>17</v>
      </c>
      <c r="B1472">
        <f>_xlfn.SWITCH(Table4[[#This Row],[month]],"jan",1,"feb",2,"mar",3,"apr",4,"may",5,"jun",6,"jul",7,"aug",8,"sep",9,"oct",10,"nov",11,"dec",12,"no month")</f>
        <v>10</v>
      </c>
      <c r="C1472" s="12" t="str">
        <f>LEFT('All Transactions'!$E1472,3)</f>
        <v>Oct</v>
      </c>
      <c r="D1472" s="12" t="str">
        <f t="shared" si="45"/>
        <v>2025</v>
      </c>
      <c r="E1472" s="16" t="s">
        <v>4669</v>
      </c>
      <c r="F1472" s="17" t="s">
        <v>4684</v>
      </c>
      <c r="G1472" s="27" t="s">
        <v>54</v>
      </c>
      <c r="H1472" s="19">
        <v>168</v>
      </c>
      <c r="I1472" s="20" t="s">
        <v>4685</v>
      </c>
      <c r="J1472" s="20" t="s">
        <v>4686</v>
      </c>
      <c r="K1472" s="21" t="s">
        <v>4687</v>
      </c>
      <c r="L1472" s="20" t="s">
        <v>58</v>
      </c>
      <c r="M1472" t="str">
        <f>TEXT(A1472,"dddd")</f>
        <v>Tuesday</v>
      </c>
      <c r="N1472" s="35">
        <f>DATE(Table4[[#This Row],[year]],Table4[[#This Row],[month2]],Table4[[#This Row],[day]])</f>
        <v>45947</v>
      </c>
    </row>
    <row r="1473" spans="1:14" ht="16" x14ac:dyDescent="0.35">
      <c r="A1473" t="str">
        <f t="shared" si="44"/>
        <v>17</v>
      </c>
      <c r="B1473">
        <f>_xlfn.SWITCH(Table4[[#This Row],[month]],"jan",1,"feb",2,"mar",3,"apr",4,"may",5,"jun",6,"jul",7,"aug",8,"sep",9,"oct",10,"nov",11,"dec",12,"no month")</f>
        <v>10</v>
      </c>
      <c r="C1473" s="12" t="str">
        <f>LEFT('All Transactions'!$E1473,3)</f>
        <v>Oct</v>
      </c>
      <c r="D1473" s="12" t="str">
        <f t="shared" si="45"/>
        <v>2025</v>
      </c>
      <c r="E1473" s="22" t="s">
        <v>4669</v>
      </c>
      <c r="F1473" s="23" t="s">
        <v>2777</v>
      </c>
      <c r="G1473" s="18" t="s">
        <v>28</v>
      </c>
      <c r="H1473" s="24">
        <v>300</v>
      </c>
      <c r="I1473" s="25" t="s">
        <v>487</v>
      </c>
      <c r="J1473" s="25" t="s">
        <v>4688</v>
      </c>
      <c r="K1473" s="26" t="s">
        <v>4689</v>
      </c>
      <c r="L1473" s="25" t="s">
        <v>32</v>
      </c>
      <c r="M1473" t="str">
        <f>TEXT(A1473,"dddd")</f>
        <v>Tuesday</v>
      </c>
      <c r="N1473" s="35">
        <f>DATE(Table4[[#This Row],[year]],Table4[[#This Row],[month2]],Table4[[#This Row],[day]])</f>
        <v>45947</v>
      </c>
    </row>
    <row r="1474" spans="1:14" ht="16" x14ac:dyDescent="0.35">
      <c r="A1474" t="str">
        <f t="shared" si="44"/>
        <v>17</v>
      </c>
      <c r="B1474">
        <f>_xlfn.SWITCH(Table4[[#This Row],[month]],"jan",1,"feb",2,"mar",3,"apr",4,"may",5,"jun",6,"jul",7,"aug",8,"sep",9,"oct",10,"nov",11,"dec",12,"no month")</f>
        <v>10</v>
      </c>
      <c r="C1474" s="12" t="str">
        <f>LEFT('All Transactions'!$E1474,3)</f>
        <v>Oct</v>
      </c>
      <c r="D1474" s="12" t="str">
        <f t="shared" si="45"/>
        <v>2025</v>
      </c>
      <c r="E1474" s="16" t="s">
        <v>4669</v>
      </c>
      <c r="F1474" s="17" t="s">
        <v>773</v>
      </c>
      <c r="G1474" s="18" t="s">
        <v>28</v>
      </c>
      <c r="H1474" s="19">
        <v>100</v>
      </c>
      <c r="I1474" s="20" t="s">
        <v>4690</v>
      </c>
      <c r="J1474" s="20" t="s">
        <v>4691</v>
      </c>
      <c r="K1474" s="21" t="s">
        <v>4692</v>
      </c>
      <c r="L1474" s="20" t="s">
        <v>32</v>
      </c>
      <c r="M1474" t="str">
        <f>TEXT(A1474,"dddd")</f>
        <v>Tuesday</v>
      </c>
      <c r="N1474" s="35">
        <f>DATE(Table4[[#This Row],[year]],Table4[[#This Row],[month2]],Table4[[#This Row],[day]])</f>
        <v>45947</v>
      </c>
    </row>
    <row r="1475" spans="1:14" ht="16" x14ac:dyDescent="0.35">
      <c r="A1475" t="str">
        <f t="shared" ref="A1475:A1538" si="46">MID(E1475,5,2)</f>
        <v>17</v>
      </c>
      <c r="B1475">
        <f>_xlfn.SWITCH(Table4[[#This Row],[month]],"jan",1,"feb",2,"mar",3,"apr",4,"may",5,"jun",6,"jul",7,"aug",8,"sep",9,"oct",10,"nov",11,"dec",12,"no month")</f>
        <v>10</v>
      </c>
      <c r="C1475" s="12" t="str">
        <f>LEFT('All Transactions'!$E1475,3)</f>
        <v>Oct</v>
      </c>
      <c r="D1475" s="12" t="str">
        <f t="shared" ref="D1475:D1538" si="47">RIGHT(E1475,4)</f>
        <v>2025</v>
      </c>
      <c r="E1475" s="22" t="s">
        <v>4669</v>
      </c>
      <c r="F1475" s="23" t="s">
        <v>3105</v>
      </c>
      <c r="G1475" s="27" t="s">
        <v>54</v>
      </c>
      <c r="H1475" s="24">
        <v>100</v>
      </c>
      <c r="I1475" s="25" t="s">
        <v>4693</v>
      </c>
      <c r="J1475" s="25" t="s">
        <v>4694</v>
      </c>
      <c r="K1475" s="26" t="s">
        <v>4695</v>
      </c>
      <c r="L1475" s="25" t="s">
        <v>58</v>
      </c>
      <c r="M1475" t="str">
        <f>TEXT(A1475,"dddd")</f>
        <v>Tuesday</v>
      </c>
      <c r="N1475" s="35">
        <f>DATE(Table4[[#This Row],[year]],Table4[[#This Row],[month2]],Table4[[#This Row],[day]])</f>
        <v>45947</v>
      </c>
    </row>
    <row r="1476" spans="1:14" ht="16" x14ac:dyDescent="0.35">
      <c r="A1476" t="str">
        <f t="shared" si="46"/>
        <v>17</v>
      </c>
      <c r="B1476">
        <f>_xlfn.SWITCH(Table4[[#This Row],[month]],"jan",1,"feb",2,"mar",3,"apr",4,"may",5,"jun",6,"jul",7,"aug",8,"sep",9,"oct",10,"nov",11,"dec",12,"no month")</f>
        <v>10</v>
      </c>
      <c r="C1476" s="12" t="str">
        <f>LEFT('All Transactions'!$E1476,3)</f>
        <v>Oct</v>
      </c>
      <c r="D1476" s="12" t="str">
        <f t="shared" si="47"/>
        <v>2025</v>
      </c>
      <c r="E1476" s="16" t="s">
        <v>4669</v>
      </c>
      <c r="F1476" s="17" t="s">
        <v>1611</v>
      </c>
      <c r="G1476" s="18" t="s">
        <v>28</v>
      </c>
      <c r="H1476" s="19">
        <v>70</v>
      </c>
      <c r="I1476" s="20" t="s">
        <v>4696</v>
      </c>
      <c r="J1476" s="20" t="s">
        <v>4697</v>
      </c>
      <c r="K1476" s="21" t="s">
        <v>4698</v>
      </c>
      <c r="L1476" s="20" t="s">
        <v>32</v>
      </c>
      <c r="M1476" t="str">
        <f>TEXT(A1476,"dddd")</f>
        <v>Tuesday</v>
      </c>
      <c r="N1476" s="35">
        <f>DATE(Table4[[#This Row],[year]],Table4[[#This Row],[month2]],Table4[[#This Row],[day]])</f>
        <v>45947</v>
      </c>
    </row>
    <row r="1477" spans="1:14" ht="16" x14ac:dyDescent="0.35">
      <c r="A1477" t="str">
        <f t="shared" si="46"/>
        <v>17</v>
      </c>
      <c r="B1477">
        <f>_xlfn.SWITCH(Table4[[#This Row],[month]],"jan",1,"feb",2,"mar",3,"apr",4,"may",5,"jun",6,"jul",7,"aug",8,"sep",9,"oct",10,"nov",11,"dec",12,"no month")</f>
        <v>10</v>
      </c>
      <c r="C1477" s="12" t="str">
        <f>LEFT('All Transactions'!$E1477,3)</f>
        <v>Oct</v>
      </c>
      <c r="D1477" s="12" t="str">
        <f t="shared" si="47"/>
        <v>2025</v>
      </c>
      <c r="E1477" s="22" t="s">
        <v>4669</v>
      </c>
      <c r="F1477" s="23" t="s">
        <v>4699</v>
      </c>
      <c r="G1477" s="27" t="s">
        <v>54</v>
      </c>
      <c r="H1477" s="24">
        <v>120</v>
      </c>
      <c r="I1477" s="25" t="s">
        <v>4700</v>
      </c>
      <c r="J1477" s="25" t="s">
        <v>4701</v>
      </c>
      <c r="K1477" s="26" t="s">
        <v>4702</v>
      </c>
      <c r="L1477" s="25" t="s">
        <v>58</v>
      </c>
      <c r="M1477" t="str">
        <f>TEXT(A1477,"dddd")</f>
        <v>Tuesday</v>
      </c>
      <c r="N1477" s="35">
        <f>DATE(Table4[[#This Row],[year]],Table4[[#This Row],[month2]],Table4[[#This Row],[day]])</f>
        <v>45947</v>
      </c>
    </row>
    <row r="1478" spans="1:14" ht="16" x14ac:dyDescent="0.35">
      <c r="A1478" t="str">
        <f t="shared" si="46"/>
        <v>17</v>
      </c>
      <c r="B1478">
        <f>_xlfn.SWITCH(Table4[[#This Row],[month]],"jan",1,"feb",2,"mar",3,"apr",4,"may",5,"jun",6,"jul",7,"aug",8,"sep",9,"oct",10,"nov",11,"dec",12,"no month")</f>
        <v>10</v>
      </c>
      <c r="C1478" s="12" t="str">
        <f>LEFT('All Transactions'!$E1478,3)</f>
        <v>Oct</v>
      </c>
      <c r="D1478" s="12" t="str">
        <f t="shared" si="47"/>
        <v>2025</v>
      </c>
      <c r="E1478" s="16" t="s">
        <v>4669</v>
      </c>
      <c r="F1478" s="17" t="s">
        <v>4703</v>
      </c>
      <c r="G1478" s="27" t="s">
        <v>54</v>
      </c>
      <c r="H1478" s="19">
        <v>300</v>
      </c>
      <c r="I1478" s="20" t="s">
        <v>1090</v>
      </c>
      <c r="J1478" s="20" t="s">
        <v>4704</v>
      </c>
      <c r="K1478" s="21" t="s">
        <v>4705</v>
      </c>
      <c r="L1478" s="20" t="s">
        <v>58</v>
      </c>
      <c r="M1478" t="str">
        <f>TEXT(A1478,"dddd")</f>
        <v>Tuesday</v>
      </c>
      <c r="N1478" s="35">
        <f>DATE(Table4[[#This Row],[year]],Table4[[#This Row],[month2]],Table4[[#This Row],[day]])</f>
        <v>45947</v>
      </c>
    </row>
    <row r="1479" spans="1:14" ht="16" x14ac:dyDescent="0.35">
      <c r="A1479" t="str">
        <f t="shared" si="46"/>
        <v>17</v>
      </c>
      <c r="B1479">
        <f>_xlfn.SWITCH(Table4[[#This Row],[month]],"jan",1,"feb",2,"mar",3,"apr",4,"may",5,"jun",6,"jul",7,"aug",8,"sep",9,"oct",10,"nov",11,"dec",12,"no month")</f>
        <v>10</v>
      </c>
      <c r="C1479" s="12" t="str">
        <f>LEFT('All Transactions'!$E1479,3)</f>
        <v>Oct</v>
      </c>
      <c r="D1479" s="12" t="str">
        <f t="shared" si="47"/>
        <v>2025</v>
      </c>
      <c r="E1479" s="22" t="s">
        <v>4669</v>
      </c>
      <c r="F1479" s="23" t="s">
        <v>4706</v>
      </c>
      <c r="G1479" s="18" t="s">
        <v>28</v>
      </c>
      <c r="H1479" s="24">
        <v>300</v>
      </c>
      <c r="I1479" s="25" t="s">
        <v>4120</v>
      </c>
      <c r="J1479" s="25" t="s">
        <v>4707</v>
      </c>
      <c r="K1479" s="26" t="s">
        <v>4708</v>
      </c>
      <c r="L1479" s="25" t="s">
        <v>32</v>
      </c>
      <c r="M1479" t="str">
        <f>TEXT(A1479,"dddd")</f>
        <v>Tuesday</v>
      </c>
      <c r="N1479" s="35">
        <f>DATE(Table4[[#This Row],[year]],Table4[[#This Row],[month2]],Table4[[#This Row],[day]])</f>
        <v>45947</v>
      </c>
    </row>
    <row r="1480" spans="1:14" ht="16" x14ac:dyDescent="0.35">
      <c r="A1480" t="str">
        <f t="shared" si="46"/>
        <v>16</v>
      </c>
      <c r="B1480">
        <f>_xlfn.SWITCH(Table4[[#This Row],[month]],"jan",1,"feb",2,"mar",3,"apr",4,"may",5,"jun",6,"jul",7,"aug",8,"sep",9,"oct",10,"nov",11,"dec",12,"no month")</f>
        <v>10</v>
      </c>
      <c r="C1480" s="12" t="str">
        <f>LEFT('All Transactions'!$E1480,3)</f>
        <v>Oct</v>
      </c>
      <c r="D1480" s="12" t="str">
        <f t="shared" si="47"/>
        <v>2025</v>
      </c>
      <c r="E1480" s="16" t="s">
        <v>4709</v>
      </c>
      <c r="F1480" s="17" t="s">
        <v>585</v>
      </c>
      <c r="G1480" s="18" t="s">
        <v>28</v>
      </c>
      <c r="H1480" s="19">
        <v>100</v>
      </c>
      <c r="I1480" s="20" t="s">
        <v>4710</v>
      </c>
      <c r="J1480" s="20" t="s">
        <v>4711</v>
      </c>
      <c r="K1480" s="21" t="s">
        <v>4712</v>
      </c>
      <c r="L1480" s="20" t="s">
        <v>32</v>
      </c>
      <c r="M1480" t="str">
        <f>TEXT(A1480,"dddd")</f>
        <v>Monday</v>
      </c>
      <c r="N1480" s="35">
        <f>DATE(Table4[[#This Row],[year]],Table4[[#This Row],[month2]],Table4[[#This Row],[day]])</f>
        <v>45946</v>
      </c>
    </row>
    <row r="1481" spans="1:14" ht="16" x14ac:dyDescent="0.35">
      <c r="A1481" t="str">
        <f t="shared" si="46"/>
        <v>16</v>
      </c>
      <c r="B1481">
        <f>_xlfn.SWITCH(Table4[[#This Row],[month]],"jan",1,"feb",2,"mar",3,"apr",4,"may",5,"jun",6,"jul",7,"aug",8,"sep",9,"oct",10,"nov",11,"dec",12,"no month")</f>
        <v>10</v>
      </c>
      <c r="C1481" s="12" t="str">
        <f>LEFT('All Transactions'!$E1481,3)</f>
        <v>Oct</v>
      </c>
      <c r="D1481" s="12" t="str">
        <f t="shared" si="47"/>
        <v>2025</v>
      </c>
      <c r="E1481" s="22" t="s">
        <v>4709</v>
      </c>
      <c r="F1481" s="23" t="s">
        <v>3940</v>
      </c>
      <c r="G1481" s="18" t="s">
        <v>28</v>
      </c>
      <c r="H1481" s="24">
        <v>20</v>
      </c>
      <c r="I1481" s="25" t="s">
        <v>4713</v>
      </c>
      <c r="J1481" s="25" t="s">
        <v>4714</v>
      </c>
      <c r="K1481" s="26" t="s">
        <v>4715</v>
      </c>
      <c r="L1481" s="25" t="s">
        <v>32</v>
      </c>
      <c r="M1481" t="str">
        <f>TEXT(A1481,"dddd")</f>
        <v>Monday</v>
      </c>
      <c r="N1481" s="35">
        <f>DATE(Table4[[#This Row],[year]],Table4[[#This Row],[month2]],Table4[[#This Row],[day]])</f>
        <v>45946</v>
      </c>
    </row>
    <row r="1482" spans="1:14" ht="16" x14ac:dyDescent="0.35">
      <c r="A1482" t="str">
        <f t="shared" si="46"/>
        <v>16</v>
      </c>
      <c r="B1482">
        <f>_xlfn.SWITCH(Table4[[#This Row],[month]],"jan",1,"feb",2,"mar",3,"apr",4,"may",5,"jun",6,"jul",7,"aug",8,"sep",9,"oct",10,"nov",11,"dec",12,"no month")</f>
        <v>10</v>
      </c>
      <c r="C1482" s="12" t="str">
        <f>LEFT('All Transactions'!$E1482,3)</f>
        <v>Oct</v>
      </c>
      <c r="D1482" s="12" t="str">
        <f t="shared" si="47"/>
        <v>2025</v>
      </c>
      <c r="E1482" s="16" t="s">
        <v>4709</v>
      </c>
      <c r="F1482" s="17" t="s">
        <v>4716</v>
      </c>
      <c r="G1482" s="18" t="s">
        <v>28</v>
      </c>
      <c r="H1482" s="19">
        <v>90</v>
      </c>
      <c r="I1482" s="20" t="s">
        <v>4342</v>
      </c>
      <c r="J1482" s="20" t="s">
        <v>4717</v>
      </c>
      <c r="K1482" s="21" t="s">
        <v>4718</v>
      </c>
      <c r="L1482" s="20" t="s">
        <v>32</v>
      </c>
      <c r="M1482" t="str">
        <f>TEXT(A1482,"dddd")</f>
        <v>Monday</v>
      </c>
      <c r="N1482" s="35">
        <f>DATE(Table4[[#This Row],[year]],Table4[[#This Row],[month2]],Table4[[#This Row],[day]])</f>
        <v>45946</v>
      </c>
    </row>
    <row r="1483" spans="1:14" ht="16" x14ac:dyDescent="0.35">
      <c r="A1483" t="str">
        <f t="shared" si="46"/>
        <v>16</v>
      </c>
      <c r="B1483">
        <f>_xlfn.SWITCH(Table4[[#This Row],[month]],"jan",1,"feb",2,"mar",3,"apr",4,"may",5,"jun",6,"jul",7,"aug",8,"sep",9,"oct",10,"nov",11,"dec",12,"no month")</f>
        <v>10</v>
      </c>
      <c r="C1483" s="12" t="str">
        <f>LEFT('All Transactions'!$E1483,3)</f>
        <v>Oct</v>
      </c>
      <c r="D1483" s="12" t="str">
        <f t="shared" si="47"/>
        <v>2025</v>
      </c>
      <c r="E1483" s="22" t="s">
        <v>4709</v>
      </c>
      <c r="F1483" s="23" t="s">
        <v>4719</v>
      </c>
      <c r="G1483" s="27" t="s">
        <v>54</v>
      </c>
      <c r="H1483" s="24">
        <v>250</v>
      </c>
      <c r="I1483" s="25" t="s">
        <v>1090</v>
      </c>
      <c r="J1483" s="25" t="s">
        <v>4720</v>
      </c>
      <c r="K1483" s="26" t="s">
        <v>4721</v>
      </c>
      <c r="L1483" s="25" t="s">
        <v>58</v>
      </c>
      <c r="M1483" t="str">
        <f>TEXT(A1483,"dddd")</f>
        <v>Monday</v>
      </c>
      <c r="N1483" s="35">
        <f>DATE(Table4[[#This Row],[year]],Table4[[#This Row],[month2]],Table4[[#This Row],[day]])</f>
        <v>45946</v>
      </c>
    </row>
    <row r="1484" spans="1:14" ht="16" x14ac:dyDescent="0.35">
      <c r="A1484" t="str">
        <f t="shared" si="46"/>
        <v>16</v>
      </c>
      <c r="B1484">
        <f>_xlfn.SWITCH(Table4[[#This Row],[month]],"jan",1,"feb",2,"mar",3,"apr",4,"may",5,"jun",6,"jul",7,"aug",8,"sep",9,"oct",10,"nov",11,"dec",12,"no month")</f>
        <v>10</v>
      </c>
      <c r="C1484" s="12" t="str">
        <f>LEFT('All Transactions'!$E1484,3)</f>
        <v>Oct</v>
      </c>
      <c r="D1484" s="12" t="str">
        <f t="shared" si="47"/>
        <v>2025</v>
      </c>
      <c r="E1484" s="16" t="s">
        <v>4709</v>
      </c>
      <c r="F1484" s="17" t="s">
        <v>2084</v>
      </c>
      <c r="G1484" s="18" t="s">
        <v>28</v>
      </c>
      <c r="H1484" s="19">
        <v>25</v>
      </c>
      <c r="I1484" s="20" t="s">
        <v>4722</v>
      </c>
      <c r="J1484" s="20" t="s">
        <v>4723</v>
      </c>
      <c r="K1484" s="21" t="s">
        <v>4724</v>
      </c>
      <c r="L1484" s="20" t="s">
        <v>32</v>
      </c>
      <c r="M1484" t="str">
        <f>TEXT(A1484,"dddd")</f>
        <v>Monday</v>
      </c>
      <c r="N1484" s="35">
        <f>DATE(Table4[[#This Row],[year]],Table4[[#This Row],[month2]],Table4[[#This Row],[day]])</f>
        <v>45946</v>
      </c>
    </row>
    <row r="1485" spans="1:14" ht="16" x14ac:dyDescent="0.35">
      <c r="A1485" t="str">
        <f t="shared" si="46"/>
        <v>16</v>
      </c>
      <c r="B1485">
        <f>_xlfn.SWITCH(Table4[[#This Row],[month]],"jan",1,"feb",2,"mar",3,"apr",4,"may",5,"jun",6,"jul",7,"aug",8,"sep",9,"oct",10,"nov",11,"dec",12,"no month")</f>
        <v>10</v>
      </c>
      <c r="C1485" s="12" t="str">
        <f>LEFT('All Transactions'!$E1485,3)</f>
        <v>Oct</v>
      </c>
      <c r="D1485" s="12" t="str">
        <f t="shared" si="47"/>
        <v>2025</v>
      </c>
      <c r="E1485" s="22" t="s">
        <v>4709</v>
      </c>
      <c r="F1485" s="23" t="s">
        <v>4725</v>
      </c>
      <c r="G1485" s="27" t="s">
        <v>54</v>
      </c>
      <c r="H1485" s="24">
        <v>160</v>
      </c>
      <c r="I1485" s="25" t="s">
        <v>4726</v>
      </c>
      <c r="J1485" s="25" t="s">
        <v>4727</v>
      </c>
      <c r="K1485" s="26" t="s">
        <v>4728</v>
      </c>
      <c r="L1485" s="25" t="s">
        <v>58</v>
      </c>
      <c r="M1485" t="str">
        <f>TEXT(A1485,"dddd")</f>
        <v>Monday</v>
      </c>
      <c r="N1485" s="35">
        <f>DATE(Table4[[#This Row],[year]],Table4[[#This Row],[month2]],Table4[[#This Row],[day]])</f>
        <v>45946</v>
      </c>
    </row>
    <row r="1486" spans="1:14" ht="16" x14ac:dyDescent="0.35">
      <c r="A1486" t="str">
        <f t="shared" si="46"/>
        <v>15</v>
      </c>
      <c r="B1486">
        <f>_xlfn.SWITCH(Table4[[#This Row],[month]],"jan",1,"feb",2,"mar",3,"apr",4,"may",5,"jun",6,"jul",7,"aug",8,"sep",9,"oct",10,"nov",11,"dec",12,"no month")</f>
        <v>10</v>
      </c>
      <c r="C1486" s="12" t="str">
        <f>LEFT('All Transactions'!$E1486,3)</f>
        <v>Oct</v>
      </c>
      <c r="D1486" s="12" t="str">
        <f t="shared" si="47"/>
        <v>2025</v>
      </c>
      <c r="E1486" s="16" t="s">
        <v>4729</v>
      </c>
      <c r="F1486" s="17" t="s">
        <v>123</v>
      </c>
      <c r="G1486" s="18" t="s">
        <v>28</v>
      </c>
      <c r="H1486" s="19">
        <v>182</v>
      </c>
      <c r="I1486" s="20" t="s">
        <v>4089</v>
      </c>
      <c r="J1486" s="20" t="s">
        <v>4730</v>
      </c>
      <c r="K1486" s="21" t="s">
        <v>4731</v>
      </c>
      <c r="L1486" s="20" t="s">
        <v>32</v>
      </c>
      <c r="M1486" t="str">
        <f>TEXT(A1486,"dddd")</f>
        <v>Sunday</v>
      </c>
      <c r="N1486" s="35">
        <f>DATE(Table4[[#This Row],[year]],Table4[[#This Row],[month2]],Table4[[#This Row],[day]])</f>
        <v>45945</v>
      </c>
    </row>
    <row r="1487" spans="1:14" ht="16" x14ac:dyDescent="0.35">
      <c r="A1487" t="str">
        <f t="shared" si="46"/>
        <v>15</v>
      </c>
      <c r="B1487">
        <f>_xlfn.SWITCH(Table4[[#This Row],[month]],"jan",1,"feb",2,"mar",3,"apr",4,"may",5,"jun",6,"jul",7,"aug",8,"sep",9,"oct",10,"nov",11,"dec",12,"no month")</f>
        <v>10</v>
      </c>
      <c r="C1487" s="12" t="str">
        <f>LEFT('All Transactions'!$E1487,3)</f>
        <v>Oct</v>
      </c>
      <c r="D1487" s="12" t="str">
        <f t="shared" si="47"/>
        <v>2025</v>
      </c>
      <c r="E1487" s="22" t="s">
        <v>4729</v>
      </c>
      <c r="F1487" s="23" t="s">
        <v>641</v>
      </c>
      <c r="G1487" s="27" t="s">
        <v>54</v>
      </c>
      <c r="H1487" s="24">
        <v>162</v>
      </c>
      <c r="I1487" s="25" t="s">
        <v>1075</v>
      </c>
      <c r="J1487" s="25" t="s">
        <v>4732</v>
      </c>
      <c r="K1487" s="26" t="s">
        <v>4733</v>
      </c>
      <c r="L1487" s="25" t="s">
        <v>58</v>
      </c>
      <c r="M1487" t="str">
        <f>TEXT(A1487,"dddd")</f>
        <v>Sunday</v>
      </c>
      <c r="N1487" s="35">
        <f>DATE(Table4[[#This Row],[year]],Table4[[#This Row],[month2]],Table4[[#This Row],[day]])</f>
        <v>45945</v>
      </c>
    </row>
    <row r="1488" spans="1:14" ht="16" x14ac:dyDescent="0.35">
      <c r="A1488" t="str">
        <f t="shared" si="46"/>
        <v>15</v>
      </c>
      <c r="B1488">
        <f>_xlfn.SWITCH(Table4[[#This Row],[month]],"jan",1,"feb",2,"mar",3,"apr",4,"may",5,"jun",6,"jul",7,"aug",8,"sep",9,"oct",10,"nov",11,"dec",12,"no month")</f>
        <v>10</v>
      </c>
      <c r="C1488" s="12" t="str">
        <f>LEFT('All Transactions'!$E1488,3)</f>
        <v>Oct</v>
      </c>
      <c r="D1488" s="12" t="str">
        <f t="shared" si="47"/>
        <v>2025</v>
      </c>
      <c r="E1488" s="16" t="s">
        <v>4729</v>
      </c>
      <c r="F1488" s="17" t="s">
        <v>4734</v>
      </c>
      <c r="G1488" s="18" t="s">
        <v>28</v>
      </c>
      <c r="H1488" s="19">
        <v>20</v>
      </c>
      <c r="I1488" s="20" t="s">
        <v>4390</v>
      </c>
      <c r="J1488" s="20" t="s">
        <v>4735</v>
      </c>
      <c r="K1488" s="21" t="s">
        <v>4736</v>
      </c>
      <c r="L1488" s="20" t="s">
        <v>32</v>
      </c>
      <c r="M1488" t="str">
        <f>TEXT(A1488,"dddd")</f>
        <v>Sunday</v>
      </c>
      <c r="N1488" s="35">
        <f>DATE(Table4[[#This Row],[year]],Table4[[#This Row],[month2]],Table4[[#This Row],[day]])</f>
        <v>45945</v>
      </c>
    </row>
    <row r="1489" spans="1:14" ht="16" x14ac:dyDescent="0.35">
      <c r="A1489" t="str">
        <f t="shared" si="46"/>
        <v>15</v>
      </c>
      <c r="B1489">
        <f>_xlfn.SWITCH(Table4[[#This Row],[month]],"jan",1,"feb",2,"mar",3,"apr",4,"may",5,"jun",6,"jul",7,"aug",8,"sep",9,"oct",10,"nov",11,"dec",12,"no month")</f>
        <v>10</v>
      </c>
      <c r="C1489" s="12" t="str">
        <f>LEFT('All Transactions'!$E1489,3)</f>
        <v>Oct</v>
      </c>
      <c r="D1489" s="12" t="str">
        <f t="shared" si="47"/>
        <v>2025</v>
      </c>
      <c r="E1489" s="22" t="s">
        <v>4729</v>
      </c>
      <c r="F1489" s="23" t="s">
        <v>4737</v>
      </c>
      <c r="G1489" s="18" t="s">
        <v>28</v>
      </c>
      <c r="H1489" s="24">
        <v>180</v>
      </c>
      <c r="I1489" s="25" t="s">
        <v>4738</v>
      </c>
      <c r="J1489" s="25" t="s">
        <v>4739</v>
      </c>
      <c r="K1489" s="26" t="s">
        <v>4740</v>
      </c>
      <c r="L1489" s="25" t="s">
        <v>32</v>
      </c>
      <c r="M1489" t="str">
        <f>TEXT(A1489,"dddd")</f>
        <v>Sunday</v>
      </c>
      <c r="N1489" s="35">
        <f>DATE(Table4[[#This Row],[year]],Table4[[#This Row],[month2]],Table4[[#This Row],[day]])</f>
        <v>45945</v>
      </c>
    </row>
    <row r="1490" spans="1:14" ht="16" x14ac:dyDescent="0.35">
      <c r="A1490" t="str">
        <f t="shared" si="46"/>
        <v>15</v>
      </c>
      <c r="B1490">
        <f>_xlfn.SWITCH(Table4[[#This Row],[month]],"jan",1,"feb",2,"mar",3,"apr",4,"may",5,"jun",6,"jul",7,"aug",8,"sep",9,"oct",10,"nov",11,"dec",12,"no month")</f>
        <v>10</v>
      </c>
      <c r="C1490" s="12" t="str">
        <f>LEFT('All Transactions'!$E1490,3)</f>
        <v>Oct</v>
      </c>
      <c r="D1490" s="12" t="str">
        <f t="shared" si="47"/>
        <v>2025</v>
      </c>
      <c r="E1490" s="16" t="s">
        <v>4729</v>
      </c>
      <c r="F1490" s="17" t="s">
        <v>467</v>
      </c>
      <c r="G1490" s="18" t="s">
        <v>28</v>
      </c>
      <c r="H1490" s="19">
        <v>214</v>
      </c>
      <c r="I1490" s="20" t="s">
        <v>4741</v>
      </c>
      <c r="J1490" s="20" t="s">
        <v>4742</v>
      </c>
      <c r="K1490" s="21" t="s">
        <v>4743</v>
      </c>
      <c r="L1490" s="20" t="s">
        <v>47</v>
      </c>
      <c r="M1490" t="str">
        <f>TEXT(A1490,"dddd")</f>
        <v>Sunday</v>
      </c>
      <c r="N1490" s="35">
        <f>DATE(Table4[[#This Row],[year]],Table4[[#This Row],[month2]],Table4[[#This Row],[day]])</f>
        <v>45945</v>
      </c>
    </row>
    <row r="1491" spans="1:14" ht="16" x14ac:dyDescent="0.35">
      <c r="A1491" t="str">
        <f t="shared" si="46"/>
        <v>15</v>
      </c>
      <c r="B1491">
        <f>_xlfn.SWITCH(Table4[[#This Row],[month]],"jan",1,"feb",2,"mar",3,"apr",4,"may",5,"jun",6,"jul",7,"aug",8,"sep",9,"oct",10,"nov",11,"dec",12,"no month")</f>
        <v>10</v>
      </c>
      <c r="C1491" s="12" t="str">
        <f>LEFT('All Transactions'!$E1491,3)</f>
        <v>Oct</v>
      </c>
      <c r="D1491" s="12" t="str">
        <f t="shared" si="47"/>
        <v>2025</v>
      </c>
      <c r="E1491" s="22" t="s">
        <v>4729</v>
      </c>
      <c r="F1491" s="23" t="s">
        <v>2117</v>
      </c>
      <c r="G1491" s="18" t="s">
        <v>28</v>
      </c>
      <c r="H1491" s="24">
        <v>738</v>
      </c>
      <c r="I1491" s="25" t="s">
        <v>4744</v>
      </c>
      <c r="J1491" s="25" t="s">
        <v>4745</v>
      </c>
      <c r="K1491" s="26" t="s">
        <v>4746</v>
      </c>
      <c r="L1491" s="25" t="s">
        <v>32</v>
      </c>
      <c r="M1491" t="str">
        <f>TEXT(A1491,"dddd")</f>
        <v>Sunday</v>
      </c>
      <c r="N1491" s="35">
        <f>DATE(Table4[[#This Row],[year]],Table4[[#This Row],[month2]],Table4[[#This Row],[day]])</f>
        <v>45945</v>
      </c>
    </row>
    <row r="1492" spans="1:14" ht="16" x14ac:dyDescent="0.35">
      <c r="A1492" t="str">
        <f t="shared" si="46"/>
        <v>14</v>
      </c>
      <c r="B1492">
        <f>_xlfn.SWITCH(Table4[[#This Row],[month]],"jan",1,"feb",2,"mar",3,"apr",4,"may",5,"jun",6,"jul",7,"aug",8,"sep",9,"oct",10,"nov",11,"dec",12,"no month")</f>
        <v>10</v>
      </c>
      <c r="C1492" s="12" t="str">
        <f>LEFT('All Transactions'!$E1492,3)</f>
        <v>Oct</v>
      </c>
      <c r="D1492" s="12" t="str">
        <f t="shared" si="47"/>
        <v>2025</v>
      </c>
      <c r="E1492" s="16" t="s">
        <v>4747</v>
      </c>
      <c r="F1492" s="17" t="s">
        <v>1293</v>
      </c>
      <c r="G1492" s="27" t="s">
        <v>54</v>
      </c>
      <c r="H1492" s="19">
        <v>100</v>
      </c>
      <c r="I1492" s="20" t="s">
        <v>1075</v>
      </c>
      <c r="J1492" s="20" t="s">
        <v>4748</v>
      </c>
      <c r="K1492" s="21" t="s">
        <v>4749</v>
      </c>
      <c r="L1492" s="20" t="s">
        <v>58</v>
      </c>
      <c r="M1492" t="str">
        <f>TEXT(A1492,"dddd")</f>
        <v>Saturday</v>
      </c>
      <c r="N1492" s="35">
        <f>DATE(Table4[[#This Row],[year]],Table4[[#This Row],[month2]],Table4[[#This Row],[day]])</f>
        <v>45944</v>
      </c>
    </row>
    <row r="1493" spans="1:14" ht="16" x14ac:dyDescent="0.35">
      <c r="A1493" t="str">
        <f t="shared" si="46"/>
        <v>14</v>
      </c>
      <c r="B1493">
        <f>_xlfn.SWITCH(Table4[[#This Row],[month]],"jan",1,"feb",2,"mar",3,"apr",4,"may",5,"jun",6,"jul",7,"aug",8,"sep",9,"oct",10,"nov",11,"dec",12,"no month")</f>
        <v>10</v>
      </c>
      <c r="C1493" s="12" t="str">
        <f>LEFT('All Transactions'!$E1493,3)</f>
        <v>Oct</v>
      </c>
      <c r="D1493" s="12" t="str">
        <f t="shared" si="47"/>
        <v>2025</v>
      </c>
      <c r="E1493" s="22" t="s">
        <v>4747</v>
      </c>
      <c r="F1493" s="23" t="s">
        <v>1504</v>
      </c>
      <c r="G1493" s="18" t="s">
        <v>28</v>
      </c>
      <c r="H1493" s="24">
        <v>20</v>
      </c>
      <c r="I1493" s="25" t="s">
        <v>4442</v>
      </c>
      <c r="J1493" s="25" t="s">
        <v>4750</v>
      </c>
      <c r="K1493" s="26" t="s">
        <v>4751</v>
      </c>
      <c r="L1493" s="25" t="s">
        <v>47</v>
      </c>
      <c r="M1493" t="str">
        <f>TEXT(A1493,"dddd")</f>
        <v>Saturday</v>
      </c>
      <c r="N1493" s="35">
        <f>DATE(Table4[[#This Row],[year]],Table4[[#This Row],[month2]],Table4[[#This Row],[day]])</f>
        <v>45944</v>
      </c>
    </row>
    <row r="1494" spans="1:14" ht="16" x14ac:dyDescent="0.35">
      <c r="A1494" t="str">
        <f t="shared" si="46"/>
        <v>14</v>
      </c>
      <c r="B1494">
        <f>_xlfn.SWITCH(Table4[[#This Row],[month]],"jan",1,"feb",2,"mar",3,"apr",4,"may",5,"jun",6,"jul",7,"aug",8,"sep",9,"oct",10,"nov",11,"dec",12,"no month")</f>
        <v>10</v>
      </c>
      <c r="C1494" s="12" t="str">
        <f>LEFT('All Transactions'!$E1494,3)</f>
        <v>Oct</v>
      </c>
      <c r="D1494" s="12" t="str">
        <f t="shared" si="47"/>
        <v>2025</v>
      </c>
      <c r="E1494" s="16" t="s">
        <v>4747</v>
      </c>
      <c r="F1494" s="17" t="s">
        <v>399</v>
      </c>
      <c r="G1494" s="18" t="s">
        <v>28</v>
      </c>
      <c r="H1494" s="19">
        <v>580</v>
      </c>
      <c r="I1494" s="20" t="s">
        <v>4752</v>
      </c>
      <c r="J1494" s="20" t="s">
        <v>4753</v>
      </c>
      <c r="K1494" s="21" t="s">
        <v>4754</v>
      </c>
      <c r="L1494" s="20" t="s">
        <v>32</v>
      </c>
      <c r="M1494" t="str">
        <f>TEXT(A1494,"dddd")</f>
        <v>Saturday</v>
      </c>
      <c r="N1494" s="35">
        <f>DATE(Table4[[#This Row],[year]],Table4[[#This Row],[month2]],Table4[[#This Row],[day]])</f>
        <v>45944</v>
      </c>
    </row>
    <row r="1495" spans="1:14" ht="16" x14ac:dyDescent="0.35">
      <c r="A1495" t="str">
        <f t="shared" si="46"/>
        <v>14</v>
      </c>
      <c r="B1495">
        <f>_xlfn.SWITCH(Table4[[#This Row],[month]],"jan",1,"feb",2,"mar",3,"apr",4,"may",5,"jun",6,"jul",7,"aug",8,"sep",9,"oct",10,"nov",11,"dec",12,"no month")</f>
        <v>10</v>
      </c>
      <c r="C1495" s="12" t="str">
        <f>LEFT('All Transactions'!$E1495,3)</f>
        <v>Oct</v>
      </c>
      <c r="D1495" s="12" t="str">
        <f t="shared" si="47"/>
        <v>2025</v>
      </c>
      <c r="E1495" s="22" t="s">
        <v>4747</v>
      </c>
      <c r="F1495" s="23" t="s">
        <v>354</v>
      </c>
      <c r="G1495" s="18" t="s">
        <v>28</v>
      </c>
      <c r="H1495" s="24">
        <v>500</v>
      </c>
      <c r="I1495" s="25" t="s">
        <v>4755</v>
      </c>
      <c r="J1495" s="25" t="s">
        <v>4756</v>
      </c>
      <c r="K1495" s="26" t="s">
        <v>4757</v>
      </c>
      <c r="L1495" s="25" t="s">
        <v>32</v>
      </c>
      <c r="M1495" t="str">
        <f>TEXT(A1495,"dddd")</f>
        <v>Saturday</v>
      </c>
      <c r="N1495" s="35">
        <f>DATE(Table4[[#This Row],[year]],Table4[[#This Row],[month2]],Table4[[#This Row],[day]])</f>
        <v>45944</v>
      </c>
    </row>
    <row r="1496" spans="1:14" ht="16" x14ac:dyDescent="0.35">
      <c r="A1496" t="str">
        <f t="shared" si="46"/>
        <v>14</v>
      </c>
      <c r="B1496">
        <f>_xlfn.SWITCH(Table4[[#This Row],[month]],"jan",1,"feb",2,"mar",3,"apr",4,"may",5,"jun",6,"jul",7,"aug",8,"sep",9,"oct",10,"nov",11,"dec",12,"no month")</f>
        <v>10</v>
      </c>
      <c r="C1496" s="12" t="str">
        <f>LEFT('All Transactions'!$E1496,3)</f>
        <v>Oct</v>
      </c>
      <c r="D1496" s="12" t="str">
        <f t="shared" si="47"/>
        <v>2025</v>
      </c>
      <c r="E1496" s="16" t="s">
        <v>4747</v>
      </c>
      <c r="F1496" s="17" t="s">
        <v>2056</v>
      </c>
      <c r="G1496" s="18" t="s">
        <v>28</v>
      </c>
      <c r="H1496" s="19">
        <v>10</v>
      </c>
      <c r="I1496" s="20" t="s">
        <v>4758</v>
      </c>
      <c r="J1496" s="20" t="s">
        <v>4759</v>
      </c>
      <c r="K1496" s="21" t="s">
        <v>4760</v>
      </c>
      <c r="L1496" s="20" t="s">
        <v>47</v>
      </c>
      <c r="M1496" t="str">
        <f>TEXT(A1496,"dddd")</f>
        <v>Saturday</v>
      </c>
      <c r="N1496" s="35">
        <f>DATE(Table4[[#This Row],[year]],Table4[[#This Row],[month2]],Table4[[#This Row],[day]])</f>
        <v>45944</v>
      </c>
    </row>
    <row r="1497" spans="1:14" ht="16" x14ac:dyDescent="0.35">
      <c r="A1497" t="str">
        <f t="shared" si="46"/>
        <v>14</v>
      </c>
      <c r="B1497">
        <f>_xlfn.SWITCH(Table4[[#This Row],[month]],"jan",1,"feb",2,"mar",3,"apr",4,"may",5,"jun",6,"jul",7,"aug",8,"sep",9,"oct",10,"nov",11,"dec",12,"no month")</f>
        <v>10</v>
      </c>
      <c r="C1497" s="12" t="str">
        <f>LEFT('All Transactions'!$E1497,3)</f>
        <v>Oct</v>
      </c>
      <c r="D1497" s="12" t="str">
        <f t="shared" si="47"/>
        <v>2025</v>
      </c>
      <c r="E1497" s="22" t="s">
        <v>4747</v>
      </c>
      <c r="F1497" s="23" t="s">
        <v>316</v>
      </c>
      <c r="G1497" s="18" t="s">
        <v>28</v>
      </c>
      <c r="H1497" s="24">
        <v>20</v>
      </c>
      <c r="I1497" s="25" t="s">
        <v>4761</v>
      </c>
      <c r="J1497" s="25" t="s">
        <v>4762</v>
      </c>
      <c r="K1497" s="26" t="s">
        <v>4763</v>
      </c>
      <c r="L1497" s="25" t="s">
        <v>47</v>
      </c>
      <c r="M1497" t="str">
        <f>TEXT(A1497,"dddd")</f>
        <v>Saturday</v>
      </c>
      <c r="N1497" s="35">
        <f>DATE(Table4[[#This Row],[year]],Table4[[#This Row],[month2]],Table4[[#This Row],[day]])</f>
        <v>45944</v>
      </c>
    </row>
    <row r="1498" spans="1:14" ht="16" x14ac:dyDescent="0.35">
      <c r="A1498" t="str">
        <f t="shared" si="46"/>
        <v>14</v>
      </c>
      <c r="B1498">
        <f>_xlfn.SWITCH(Table4[[#This Row],[month]],"jan",1,"feb",2,"mar",3,"apr",4,"may",5,"jun",6,"jul",7,"aug",8,"sep",9,"oct",10,"nov",11,"dec",12,"no month")</f>
        <v>10</v>
      </c>
      <c r="C1498" s="12" t="str">
        <f>LEFT('All Transactions'!$E1498,3)</f>
        <v>Oct</v>
      </c>
      <c r="D1498" s="12" t="str">
        <f t="shared" si="47"/>
        <v>2025</v>
      </c>
      <c r="E1498" s="16" t="s">
        <v>4747</v>
      </c>
      <c r="F1498" s="17" t="s">
        <v>4764</v>
      </c>
      <c r="G1498" s="18" t="s">
        <v>28</v>
      </c>
      <c r="H1498" s="19">
        <v>60</v>
      </c>
      <c r="I1498" s="20" t="s">
        <v>4765</v>
      </c>
      <c r="J1498" s="20" t="s">
        <v>4766</v>
      </c>
      <c r="K1498" s="21" t="s">
        <v>4767</v>
      </c>
      <c r="L1498" s="20" t="s">
        <v>47</v>
      </c>
      <c r="M1498" t="str">
        <f>TEXT(A1498,"dddd")</f>
        <v>Saturday</v>
      </c>
      <c r="N1498" s="35">
        <f>DATE(Table4[[#This Row],[year]],Table4[[#This Row],[month2]],Table4[[#This Row],[day]])</f>
        <v>45944</v>
      </c>
    </row>
    <row r="1499" spans="1:14" ht="16" x14ac:dyDescent="0.35">
      <c r="A1499" t="str">
        <f t="shared" si="46"/>
        <v>14</v>
      </c>
      <c r="B1499">
        <f>_xlfn.SWITCH(Table4[[#This Row],[month]],"jan",1,"feb",2,"mar",3,"apr",4,"may",5,"jun",6,"jul",7,"aug",8,"sep",9,"oct",10,"nov",11,"dec",12,"no month")</f>
        <v>10</v>
      </c>
      <c r="C1499" s="12" t="str">
        <f>LEFT('All Transactions'!$E1499,3)</f>
        <v>Oct</v>
      </c>
      <c r="D1499" s="12" t="str">
        <f t="shared" si="47"/>
        <v>2025</v>
      </c>
      <c r="E1499" s="22" t="s">
        <v>4747</v>
      </c>
      <c r="F1499" s="23" t="s">
        <v>2255</v>
      </c>
      <c r="G1499" s="27" t="s">
        <v>54</v>
      </c>
      <c r="H1499" s="24">
        <v>60</v>
      </c>
      <c r="I1499" s="25" t="s">
        <v>3922</v>
      </c>
      <c r="J1499" s="25" t="s">
        <v>4768</v>
      </c>
      <c r="K1499" s="26" t="s">
        <v>4769</v>
      </c>
      <c r="L1499" s="25" t="s">
        <v>58</v>
      </c>
      <c r="M1499" t="str">
        <f>TEXT(A1499,"dddd")</f>
        <v>Saturday</v>
      </c>
      <c r="N1499" s="35">
        <f>DATE(Table4[[#This Row],[year]],Table4[[#This Row],[month2]],Table4[[#This Row],[day]])</f>
        <v>45944</v>
      </c>
    </row>
    <row r="1500" spans="1:14" ht="16" x14ac:dyDescent="0.35">
      <c r="A1500" t="str">
        <f t="shared" si="46"/>
        <v>13</v>
      </c>
      <c r="B1500">
        <f>_xlfn.SWITCH(Table4[[#This Row],[month]],"jan",1,"feb",2,"mar",3,"apr",4,"may",5,"jun",6,"jul",7,"aug",8,"sep",9,"oct",10,"nov",11,"dec",12,"no month")</f>
        <v>10</v>
      </c>
      <c r="C1500" s="12" t="str">
        <f>LEFT('All Transactions'!$E1500,3)</f>
        <v>Oct</v>
      </c>
      <c r="D1500" s="12" t="str">
        <f t="shared" si="47"/>
        <v>2025</v>
      </c>
      <c r="E1500" s="16" t="s">
        <v>4770</v>
      </c>
      <c r="F1500" s="17" t="s">
        <v>969</v>
      </c>
      <c r="G1500" s="18" t="s">
        <v>28</v>
      </c>
      <c r="H1500" s="19">
        <v>20</v>
      </c>
      <c r="I1500" s="20" t="s">
        <v>4390</v>
      </c>
      <c r="J1500" s="20" t="s">
        <v>4771</v>
      </c>
      <c r="K1500" s="21" t="s">
        <v>4772</v>
      </c>
      <c r="L1500" s="20" t="s">
        <v>47</v>
      </c>
      <c r="M1500" t="str">
        <f>TEXT(A1500,"dddd")</f>
        <v>Friday</v>
      </c>
      <c r="N1500" s="35">
        <f>DATE(Table4[[#This Row],[year]],Table4[[#This Row],[month2]],Table4[[#This Row],[day]])</f>
        <v>45943</v>
      </c>
    </row>
    <row r="1501" spans="1:14" ht="16" x14ac:dyDescent="0.35">
      <c r="A1501" t="str">
        <f t="shared" si="46"/>
        <v>13</v>
      </c>
      <c r="B1501">
        <f>_xlfn.SWITCH(Table4[[#This Row],[month]],"jan",1,"feb",2,"mar",3,"apr",4,"may",5,"jun",6,"jul",7,"aug",8,"sep",9,"oct",10,"nov",11,"dec",12,"no month")</f>
        <v>10</v>
      </c>
      <c r="C1501" s="12" t="str">
        <f>LEFT('All Transactions'!$E1501,3)</f>
        <v>Oct</v>
      </c>
      <c r="D1501" s="12" t="str">
        <f t="shared" si="47"/>
        <v>2025</v>
      </c>
      <c r="E1501" s="22" t="s">
        <v>4770</v>
      </c>
      <c r="F1501" s="23" t="s">
        <v>2576</v>
      </c>
      <c r="G1501" s="27" t="s">
        <v>54</v>
      </c>
      <c r="H1501" s="24">
        <v>34</v>
      </c>
      <c r="I1501" s="25" t="s">
        <v>4773</v>
      </c>
      <c r="J1501" s="25" t="s">
        <v>4774</v>
      </c>
      <c r="K1501" s="26" t="s">
        <v>4775</v>
      </c>
      <c r="L1501" s="25" t="s">
        <v>58</v>
      </c>
      <c r="M1501" t="str">
        <f>TEXT(A1501,"dddd")</f>
        <v>Friday</v>
      </c>
      <c r="N1501" s="35">
        <f>DATE(Table4[[#This Row],[year]],Table4[[#This Row],[month2]],Table4[[#This Row],[day]])</f>
        <v>45943</v>
      </c>
    </row>
    <row r="1502" spans="1:14" ht="16" x14ac:dyDescent="0.35">
      <c r="A1502" t="str">
        <f t="shared" si="46"/>
        <v>13</v>
      </c>
      <c r="B1502">
        <f>_xlfn.SWITCH(Table4[[#This Row],[month]],"jan",1,"feb",2,"mar",3,"apr",4,"may",5,"jun",6,"jul",7,"aug",8,"sep",9,"oct",10,"nov",11,"dec",12,"no month")</f>
        <v>10</v>
      </c>
      <c r="C1502" s="12" t="str">
        <f>LEFT('All Transactions'!$E1502,3)</f>
        <v>Oct</v>
      </c>
      <c r="D1502" s="12" t="str">
        <f t="shared" si="47"/>
        <v>2025</v>
      </c>
      <c r="E1502" s="16" t="s">
        <v>4770</v>
      </c>
      <c r="F1502" s="17" t="s">
        <v>123</v>
      </c>
      <c r="G1502" s="27" t="s">
        <v>54</v>
      </c>
      <c r="H1502" s="19">
        <v>94</v>
      </c>
      <c r="I1502" s="20" t="s">
        <v>4776</v>
      </c>
      <c r="J1502" s="20" t="s">
        <v>4777</v>
      </c>
      <c r="K1502" s="21" t="s">
        <v>4778</v>
      </c>
      <c r="L1502" s="20" t="s">
        <v>58</v>
      </c>
      <c r="M1502" t="str">
        <f>TEXT(A1502,"dddd")</f>
        <v>Friday</v>
      </c>
      <c r="N1502" s="35">
        <f>DATE(Table4[[#This Row],[year]],Table4[[#This Row],[month2]],Table4[[#This Row],[day]])</f>
        <v>45943</v>
      </c>
    </row>
    <row r="1503" spans="1:14" ht="16" x14ac:dyDescent="0.35">
      <c r="A1503" t="str">
        <f t="shared" si="46"/>
        <v>13</v>
      </c>
      <c r="B1503">
        <f>_xlfn.SWITCH(Table4[[#This Row],[month]],"jan",1,"feb",2,"mar",3,"apr",4,"may",5,"jun",6,"jul",7,"aug",8,"sep",9,"oct",10,"nov",11,"dec",12,"no month")</f>
        <v>10</v>
      </c>
      <c r="C1503" s="12" t="str">
        <f>LEFT('All Transactions'!$E1503,3)</f>
        <v>Oct</v>
      </c>
      <c r="D1503" s="12" t="str">
        <f t="shared" si="47"/>
        <v>2025</v>
      </c>
      <c r="E1503" s="22" t="s">
        <v>4770</v>
      </c>
      <c r="F1503" s="23" t="s">
        <v>255</v>
      </c>
      <c r="G1503" s="27" t="s">
        <v>54</v>
      </c>
      <c r="H1503" s="24">
        <v>87</v>
      </c>
      <c r="I1503" s="25" t="s">
        <v>4779</v>
      </c>
      <c r="J1503" s="25" t="s">
        <v>4780</v>
      </c>
      <c r="K1503" s="26" t="s">
        <v>4781</v>
      </c>
      <c r="L1503" s="25" t="s">
        <v>58</v>
      </c>
      <c r="M1503" t="str">
        <f>TEXT(A1503,"dddd")</f>
        <v>Friday</v>
      </c>
      <c r="N1503" s="35">
        <f>DATE(Table4[[#This Row],[year]],Table4[[#This Row],[month2]],Table4[[#This Row],[day]])</f>
        <v>45943</v>
      </c>
    </row>
    <row r="1504" spans="1:14" ht="16" x14ac:dyDescent="0.35">
      <c r="A1504" t="str">
        <f t="shared" si="46"/>
        <v>13</v>
      </c>
      <c r="B1504">
        <f>_xlfn.SWITCH(Table4[[#This Row],[month]],"jan",1,"feb",2,"mar",3,"apr",4,"may",5,"jun",6,"jul",7,"aug",8,"sep",9,"oct",10,"nov",11,"dec",12,"no month")</f>
        <v>10</v>
      </c>
      <c r="C1504" s="12" t="str">
        <f>LEFT('All Transactions'!$E1504,3)</f>
        <v>Oct</v>
      </c>
      <c r="D1504" s="12" t="str">
        <f t="shared" si="47"/>
        <v>2025</v>
      </c>
      <c r="E1504" s="16" t="s">
        <v>4770</v>
      </c>
      <c r="F1504" s="17" t="s">
        <v>1189</v>
      </c>
      <c r="G1504" s="18" t="s">
        <v>28</v>
      </c>
      <c r="H1504" s="19">
        <v>120</v>
      </c>
      <c r="I1504" s="20" t="s">
        <v>4782</v>
      </c>
      <c r="J1504" s="20" t="s">
        <v>4783</v>
      </c>
      <c r="K1504" s="21" t="s">
        <v>4784</v>
      </c>
      <c r="L1504" s="20" t="s">
        <v>47</v>
      </c>
      <c r="M1504" t="str">
        <f>TEXT(A1504,"dddd")</f>
        <v>Friday</v>
      </c>
      <c r="N1504" s="35">
        <f>DATE(Table4[[#This Row],[year]],Table4[[#This Row],[month2]],Table4[[#This Row],[day]])</f>
        <v>45943</v>
      </c>
    </row>
    <row r="1505" spans="1:14" ht="16" x14ac:dyDescent="0.35">
      <c r="A1505" t="str">
        <f t="shared" si="46"/>
        <v>13</v>
      </c>
      <c r="B1505">
        <f>_xlfn.SWITCH(Table4[[#This Row],[month]],"jan",1,"feb",2,"mar",3,"apr",4,"may",5,"jun",6,"jul",7,"aug",8,"sep",9,"oct",10,"nov",11,"dec",12,"no month")</f>
        <v>10</v>
      </c>
      <c r="C1505" s="12" t="str">
        <f>LEFT('All Transactions'!$E1505,3)</f>
        <v>Oct</v>
      </c>
      <c r="D1505" s="12" t="str">
        <f t="shared" si="47"/>
        <v>2025</v>
      </c>
      <c r="E1505" s="22" t="s">
        <v>4770</v>
      </c>
      <c r="F1505" s="23" t="s">
        <v>4785</v>
      </c>
      <c r="G1505" s="18" t="s">
        <v>28</v>
      </c>
      <c r="H1505" s="24">
        <v>1270.8</v>
      </c>
      <c r="I1505" s="25" t="s">
        <v>3933</v>
      </c>
      <c r="J1505" s="25" t="s">
        <v>4786</v>
      </c>
      <c r="K1505" s="26" t="s">
        <v>4787</v>
      </c>
      <c r="L1505" s="25" t="s">
        <v>32</v>
      </c>
      <c r="M1505" t="str">
        <f>TEXT(A1505,"dddd")</f>
        <v>Friday</v>
      </c>
      <c r="N1505" s="35">
        <f>DATE(Table4[[#This Row],[year]],Table4[[#This Row],[month2]],Table4[[#This Row],[day]])</f>
        <v>45943</v>
      </c>
    </row>
    <row r="1506" spans="1:14" ht="16" x14ac:dyDescent="0.35">
      <c r="A1506" t="str">
        <f t="shared" si="46"/>
        <v>12</v>
      </c>
      <c r="B1506">
        <f>_xlfn.SWITCH(Table4[[#This Row],[month]],"jan",1,"feb",2,"mar",3,"apr",4,"may",5,"jun",6,"jul",7,"aug",8,"sep",9,"oct",10,"nov",11,"dec",12,"no month")</f>
        <v>10</v>
      </c>
      <c r="C1506" s="12" t="str">
        <f>LEFT('All Transactions'!$E1506,3)</f>
        <v>Oct</v>
      </c>
      <c r="D1506" s="12" t="str">
        <f t="shared" si="47"/>
        <v>2025</v>
      </c>
      <c r="E1506" s="16" t="s">
        <v>4788</v>
      </c>
      <c r="F1506" s="17" t="s">
        <v>661</v>
      </c>
      <c r="G1506" s="18" t="s">
        <v>28</v>
      </c>
      <c r="H1506" s="19">
        <v>500</v>
      </c>
      <c r="I1506" s="20" t="s">
        <v>12</v>
      </c>
      <c r="J1506" s="20" t="s">
        <v>4789</v>
      </c>
      <c r="K1506" s="21" t="s">
        <v>4790</v>
      </c>
      <c r="L1506" s="20" t="s">
        <v>47</v>
      </c>
      <c r="M1506" t="str">
        <f>TEXT(A1506,"dddd")</f>
        <v>Thursday</v>
      </c>
      <c r="N1506" s="35">
        <f>DATE(Table4[[#This Row],[year]],Table4[[#This Row],[month2]],Table4[[#This Row],[day]])</f>
        <v>45942</v>
      </c>
    </row>
    <row r="1507" spans="1:14" ht="16" x14ac:dyDescent="0.35">
      <c r="A1507" t="str">
        <f t="shared" si="46"/>
        <v>12</v>
      </c>
      <c r="B1507">
        <f>_xlfn.SWITCH(Table4[[#This Row],[month]],"jan",1,"feb",2,"mar",3,"apr",4,"may",5,"jun",6,"jul",7,"aug",8,"sep",9,"oct",10,"nov",11,"dec",12,"no month")</f>
        <v>10</v>
      </c>
      <c r="C1507" s="12" t="str">
        <f>LEFT('All Transactions'!$E1507,3)</f>
        <v>Oct</v>
      </c>
      <c r="D1507" s="12" t="str">
        <f t="shared" si="47"/>
        <v>2025</v>
      </c>
      <c r="E1507" s="22" t="s">
        <v>4788</v>
      </c>
      <c r="F1507" s="23" t="s">
        <v>1161</v>
      </c>
      <c r="G1507" s="18" t="s">
        <v>28</v>
      </c>
      <c r="H1507" s="24">
        <v>20</v>
      </c>
      <c r="I1507" s="25" t="s">
        <v>4791</v>
      </c>
      <c r="J1507" s="25" t="s">
        <v>4792</v>
      </c>
      <c r="K1507" s="26" t="s">
        <v>4793</v>
      </c>
      <c r="L1507" s="25" t="s">
        <v>47</v>
      </c>
      <c r="M1507" t="str">
        <f>TEXT(A1507,"dddd")</f>
        <v>Thursday</v>
      </c>
      <c r="N1507" s="35">
        <f>DATE(Table4[[#This Row],[year]],Table4[[#This Row],[month2]],Table4[[#This Row],[day]])</f>
        <v>45942</v>
      </c>
    </row>
    <row r="1508" spans="1:14" ht="16" x14ac:dyDescent="0.35">
      <c r="A1508" t="str">
        <f t="shared" si="46"/>
        <v>12</v>
      </c>
      <c r="B1508">
        <f>_xlfn.SWITCH(Table4[[#This Row],[month]],"jan",1,"feb",2,"mar",3,"apr",4,"may",5,"jun",6,"jul",7,"aug",8,"sep",9,"oct",10,"nov",11,"dec",12,"no month")</f>
        <v>10</v>
      </c>
      <c r="C1508" s="12" t="str">
        <f>LEFT('All Transactions'!$E1508,3)</f>
        <v>Oct</v>
      </c>
      <c r="D1508" s="12" t="str">
        <f t="shared" si="47"/>
        <v>2025</v>
      </c>
      <c r="E1508" s="16" t="s">
        <v>4788</v>
      </c>
      <c r="F1508" s="17" t="s">
        <v>2215</v>
      </c>
      <c r="G1508" s="18" t="s">
        <v>28</v>
      </c>
      <c r="H1508" s="19">
        <v>3000</v>
      </c>
      <c r="I1508" s="20" t="s">
        <v>12</v>
      </c>
      <c r="J1508" s="20" t="s">
        <v>4794</v>
      </c>
      <c r="K1508" s="21" t="s">
        <v>4795</v>
      </c>
      <c r="L1508" s="20" t="s">
        <v>47</v>
      </c>
      <c r="M1508" t="str">
        <f>TEXT(A1508,"dddd")</f>
        <v>Thursday</v>
      </c>
      <c r="N1508" s="35">
        <f>DATE(Table4[[#This Row],[year]],Table4[[#This Row],[month2]],Table4[[#This Row],[day]])</f>
        <v>45942</v>
      </c>
    </row>
    <row r="1509" spans="1:14" ht="16" x14ac:dyDescent="0.35">
      <c r="A1509" t="str">
        <f t="shared" si="46"/>
        <v>12</v>
      </c>
      <c r="B1509">
        <f>_xlfn.SWITCH(Table4[[#This Row],[month]],"jan",1,"feb",2,"mar",3,"apr",4,"may",5,"jun",6,"jul",7,"aug",8,"sep",9,"oct",10,"nov",11,"dec",12,"no month")</f>
        <v>10</v>
      </c>
      <c r="C1509" s="12" t="str">
        <f>LEFT('All Transactions'!$E1509,3)</f>
        <v>Oct</v>
      </c>
      <c r="D1509" s="12" t="str">
        <f t="shared" si="47"/>
        <v>2025</v>
      </c>
      <c r="E1509" s="22" t="s">
        <v>4788</v>
      </c>
      <c r="F1509" s="23" t="s">
        <v>2399</v>
      </c>
      <c r="G1509" s="18" t="s">
        <v>28</v>
      </c>
      <c r="H1509" s="24">
        <v>12</v>
      </c>
      <c r="I1509" s="25" t="s">
        <v>1096</v>
      </c>
      <c r="J1509" s="25" t="s">
        <v>4796</v>
      </c>
      <c r="K1509" s="26" t="s">
        <v>4797</v>
      </c>
      <c r="L1509" s="25" t="s">
        <v>32</v>
      </c>
      <c r="M1509" t="str">
        <f>TEXT(A1509,"dddd")</f>
        <v>Thursday</v>
      </c>
      <c r="N1509" s="35">
        <f>DATE(Table4[[#This Row],[year]],Table4[[#This Row],[month2]],Table4[[#This Row],[day]])</f>
        <v>45942</v>
      </c>
    </row>
    <row r="1510" spans="1:14" ht="16" x14ac:dyDescent="0.35">
      <c r="A1510" t="str">
        <f t="shared" si="46"/>
        <v>12</v>
      </c>
      <c r="B1510">
        <f>_xlfn.SWITCH(Table4[[#This Row],[month]],"jan",1,"feb",2,"mar",3,"apr",4,"may",5,"jun",6,"jul",7,"aug",8,"sep",9,"oct",10,"nov",11,"dec",12,"no month")</f>
        <v>10</v>
      </c>
      <c r="C1510" s="12" t="str">
        <f>LEFT('All Transactions'!$E1510,3)</f>
        <v>Oct</v>
      </c>
      <c r="D1510" s="12" t="str">
        <f t="shared" si="47"/>
        <v>2025</v>
      </c>
      <c r="E1510" s="16" t="s">
        <v>4788</v>
      </c>
      <c r="F1510" s="17" t="s">
        <v>2064</v>
      </c>
      <c r="G1510" s="18" t="s">
        <v>28</v>
      </c>
      <c r="H1510" s="19">
        <v>70</v>
      </c>
      <c r="I1510" s="20" t="s">
        <v>4798</v>
      </c>
      <c r="J1510" s="20" t="s">
        <v>4799</v>
      </c>
      <c r="K1510" s="21" t="s">
        <v>4800</v>
      </c>
      <c r="L1510" s="20" t="s">
        <v>32</v>
      </c>
      <c r="M1510" t="str">
        <f>TEXT(A1510,"dddd")</f>
        <v>Thursday</v>
      </c>
      <c r="N1510" s="35">
        <f>DATE(Table4[[#This Row],[year]],Table4[[#This Row],[month2]],Table4[[#This Row],[day]])</f>
        <v>45942</v>
      </c>
    </row>
    <row r="1511" spans="1:14" ht="16" x14ac:dyDescent="0.35">
      <c r="A1511" t="str">
        <f t="shared" si="46"/>
        <v>12</v>
      </c>
      <c r="B1511">
        <f>_xlfn.SWITCH(Table4[[#This Row],[month]],"jan",1,"feb",2,"mar",3,"apr",4,"may",5,"jun",6,"jul",7,"aug",8,"sep",9,"oct",10,"nov",11,"dec",12,"no month")</f>
        <v>10</v>
      </c>
      <c r="C1511" s="12" t="str">
        <f>LEFT('All Transactions'!$E1511,3)</f>
        <v>Oct</v>
      </c>
      <c r="D1511" s="12" t="str">
        <f t="shared" si="47"/>
        <v>2025</v>
      </c>
      <c r="E1511" s="22" t="s">
        <v>4788</v>
      </c>
      <c r="F1511" s="23" t="s">
        <v>3161</v>
      </c>
      <c r="G1511" s="27" t="s">
        <v>54</v>
      </c>
      <c r="H1511" s="24">
        <v>30</v>
      </c>
      <c r="I1511" s="25" t="s">
        <v>1075</v>
      </c>
      <c r="J1511" s="25" t="s">
        <v>4801</v>
      </c>
      <c r="K1511" s="26" t="s">
        <v>4802</v>
      </c>
      <c r="L1511" s="25" t="s">
        <v>58</v>
      </c>
      <c r="M1511" t="str">
        <f>TEXT(A1511,"dddd")</f>
        <v>Thursday</v>
      </c>
      <c r="N1511" s="35">
        <f>DATE(Table4[[#This Row],[year]],Table4[[#This Row],[month2]],Table4[[#This Row],[day]])</f>
        <v>45942</v>
      </c>
    </row>
    <row r="1512" spans="1:14" ht="16" x14ac:dyDescent="0.35">
      <c r="A1512" t="str">
        <f t="shared" si="46"/>
        <v>12</v>
      </c>
      <c r="B1512">
        <f>_xlfn.SWITCH(Table4[[#This Row],[month]],"jan",1,"feb",2,"mar",3,"apr",4,"may",5,"jun",6,"jul",7,"aug",8,"sep",9,"oct",10,"nov",11,"dec",12,"no month")</f>
        <v>10</v>
      </c>
      <c r="C1512" s="12" t="str">
        <f>LEFT('All Transactions'!$E1512,3)</f>
        <v>Oct</v>
      </c>
      <c r="D1512" s="12" t="str">
        <f t="shared" si="47"/>
        <v>2025</v>
      </c>
      <c r="E1512" s="16" t="s">
        <v>4788</v>
      </c>
      <c r="F1512" s="17" t="s">
        <v>4157</v>
      </c>
      <c r="G1512" s="18" t="s">
        <v>28</v>
      </c>
      <c r="H1512" s="19">
        <v>12</v>
      </c>
      <c r="I1512" s="20" t="s">
        <v>4803</v>
      </c>
      <c r="J1512" s="20" t="s">
        <v>4804</v>
      </c>
      <c r="K1512" s="21" t="s">
        <v>4805</v>
      </c>
      <c r="L1512" s="20" t="s">
        <v>32</v>
      </c>
      <c r="M1512" t="str">
        <f>TEXT(A1512,"dddd")</f>
        <v>Thursday</v>
      </c>
      <c r="N1512" s="35">
        <f>DATE(Table4[[#This Row],[year]],Table4[[#This Row],[month2]],Table4[[#This Row],[day]])</f>
        <v>45942</v>
      </c>
    </row>
    <row r="1513" spans="1:14" ht="16" x14ac:dyDescent="0.35">
      <c r="A1513" t="str">
        <f t="shared" si="46"/>
        <v>12</v>
      </c>
      <c r="B1513">
        <f>_xlfn.SWITCH(Table4[[#This Row],[month]],"jan",1,"feb",2,"mar",3,"apr",4,"may",5,"jun",6,"jul",7,"aug",8,"sep",9,"oct",10,"nov",11,"dec",12,"no month")</f>
        <v>10</v>
      </c>
      <c r="C1513" s="12" t="str">
        <f>LEFT('All Transactions'!$E1513,3)</f>
        <v>Oct</v>
      </c>
      <c r="D1513" s="12" t="str">
        <f t="shared" si="47"/>
        <v>2025</v>
      </c>
      <c r="E1513" s="22" t="s">
        <v>4788</v>
      </c>
      <c r="F1513" s="23" t="s">
        <v>4806</v>
      </c>
      <c r="G1513" s="18" t="s">
        <v>28</v>
      </c>
      <c r="H1513" s="24">
        <v>312.48</v>
      </c>
      <c r="I1513" s="25" t="s">
        <v>566</v>
      </c>
      <c r="J1513" s="25" t="s">
        <v>4807</v>
      </c>
      <c r="K1513" s="26" t="s">
        <v>4808</v>
      </c>
      <c r="L1513" s="25" t="s">
        <v>32</v>
      </c>
      <c r="M1513" t="str">
        <f>TEXT(A1513,"dddd")</f>
        <v>Thursday</v>
      </c>
      <c r="N1513" s="35">
        <f>DATE(Table4[[#This Row],[year]],Table4[[#This Row],[month2]],Table4[[#This Row],[day]])</f>
        <v>45942</v>
      </c>
    </row>
    <row r="1514" spans="1:14" ht="16" x14ac:dyDescent="0.35">
      <c r="A1514" t="str">
        <f t="shared" si="46"/>
        <v>12</v>
      </c>
      <c r="B1514">
        <f>_xlfn.SWITCH(Table4[[#This Row],[month]],"jan",1,"feb",2,"mar",3,"apr",4,"may",5,"jun",6,"jul",7,"aug",8,"sep",9,"oct",10,"nov",11,"dec",12,"no month")</f>
        <v>10</v>
      </c>
      <c r="C1514" s="12" t="str">
        <f>LEFT('All Transactions'!$E1514,3)</f>
        <v>Oct</v>
      </c>
      <c r="D1514" s="12" t="str">
        <f t="shared" si="47"/>
        <v>2025</v>
      </c>
      <c r="E1514" s="16" t="s">
        <v>4788</v>
      </c>
      <c r="F1514" s="17" t="s">
        <v>4809</v>
      </c>
      <c r="G1514" s="27" t="s">
        <v>54</v>
      </c>
      <c r="H1514" s="19">
        <v>160</v>
      </c>
      <c r="I1514" s="20" t="s">
        <v>1075</v>
      </c>
      <c r="J1514" s="20" t="s">
        <v>4810</v>
      </c>
      <c r="K1514" s="21" t="s">
        <v>4811</v>
      </c>
      <c r="L1514" s="20" t="s">
        <v>58</v>
      </c>
      <c r="M1514" t="str">
        <f>TEXT(A1514,"dddd")</f>
        <v>Thursday</v>
      </c>
      <c r="N1514" s="35">
        <f>DATE(Table4[[#This Row],[year]],Table4[[#This Row],[month2]],Table4[[#This Row],[day]])</f>
        <v>45942</v>
      </c>
    </row>
    <row r="1515" spans="1:14" ht="16" x14ac:dyDescent="0.35">
      <c r="A1515" t="str">
        <f t="shared" si="46"/>
        <v>12</v>
      </c>
      <c r="B1515">
        <f>_xlfn.SWITCH(Table4[[#This Row],[month]],"jan",1,"feb",2,"mar",3,"apr",4,"may",5,"jun",6,"jul",7,"aug",8,"sep",9,"oct",10,"nov",11,"dec",12,"no month")</f>
        <v>10</v>
      </c>
      <c r="C1515" s="12" t="str">
        <f>LEFT('All Transactions'!$E1515,3)</f>
        <v>Oct</v>
      </c>
      <c r="D1515" s="12" t="str">
        <f t="shared" si="47"/>
        <v>2025</v>
      </c>
      <c r="E1515" s="22" t="s">
        <v>4788</v>
      </c>
      <c r="F1515" s="23" t="s">
        <v>2150</v>
      </c>
      <c r="G1515" s="18" t="s">
        <v>28</v>
      </c>
      <c r="H1515" s="24">
        <v>440</v>
      </c>
      <c r="I1515" s="25" t="s">
        <v>4812</v>
      </c>
      <c r="J1515" s="25" t="s">
        <v>4813</v>
      </c>
      <c r="K1515" s="26" t="s">
        <v>4814</v>
      </c>
      <c r="L1515" s="25" t="s">
        <v>32</v>
      </c>
      <c r="M1515" t="str">
        <f>TEXT(A1515,"dddd")</f>
        <v>Thursday</v>
      </c>
      <c r="N1515" s="35">
        <f>DATE(Table4[[#This Row],[year]],Table4[[#This Row],[month2]],Table4[[#This Row],[day]])</f>
        <v>45942</v>
      </c>
    </row>
    <row r="1516" spans="1:14" ht="16" x14ac:dyDescent="0.35">
      <c r="A1516" t="str">
        <f t="shared" si="46"/>
        <v>12</v>
      </c>
      <c r="B1516">
        <f>_xlfn.SWITCH(Table4[[#This Row],[month]],"jan",1,"feb",2,"mar",3,"apr",4,"may",5,"jun",6,"jul",7,"aug",8,"sep",9,"oct",10,"nov",11,"dec",12,"no month")</f>
        <v>10</v>
      </c>
      <c r="C1516" s="12" t="str">
        <f>LEFT('All Transactions'!$E1516,3)</f>
        <v>Oct</v>
      </c>
      <c r="D1516" s="12" t="str">
        <f t="shared" si="47"/>
        <v>2025</v>
      </c>
      <c r="E1516" s="16" t="s">
        <v>4788</v>
      </c>
      <c r="F1516" s="17" t="s">
        <v>2150</v>
      </c>
      <c r="G1516" s="27" t="s">
        <v>54</v>
      </c>
      <c r="H1516" s="19">
        <v>450</v>
      </c>
      <c r="I1516" s="20" t="s">
        <v>1090</v>
      </c>
      <c r="J1516" s="20" t="s">
        <v>4815</v>
      </c>
      <c r="K1516" s="21" t="s">
        <v>4816</v>
      </c>
      <c r="L1516" s="20" t="s">
        <v>58</v>
      </c>
      <c r="M1516" t="str">
        <f>TEXT(A1516,"dddd")</f>
        <v>Thursday</v>
      </c>
      <c r="N1516" s="35">
        <f>DATE(Table4[[#This Row],[year]],Table4[[#This Row],[month2]],Table4[[#This Row],[day]])</f>
        <v>45942</v>
      </c>
    </row>
    <row r="1517" spans="1:14" ht="16" x14ac:dyDescent="0.35">
      <c r="A1517" t="str">
        <f t="shared" si="46"/>
        <v>11</v>
      </c>
      <c r="B1517">
        <f>_xlfn.SWITCH(Table4[[#This Row],[month]],"jan",1,"feb",2,"mar",3,"apr",4,"may",5,"jun",6,"jul",7,"aug",8,"sep",9,"oct",10,"nov",11,"dec",12,"no month")</f>
        <v>10</v>
      </c>
      <c r="C1517" s="12" t="str">
        <f>LEFT('All Transactions'!$E1517,3)</f>
        <v>Oct</v>
      </c>
      <c r="D1517" s="12" t="str">
        <f t="shared" si="47"/>
        <v>2025</v>
      </c>
      <c r="E1517" s="22" t="s">
        <v>4817</v>
      </c>
      <c r="F1517" s="23" t="s">
        <v>4818</v>
      </c>
      <c r="G1517" s="27" t="s">
        <v>54</v>
      </c>
      <c r="H1517" s="24">
        <v>135</v>
      </c>
      <c r="I1517" s="25" t="s">
        <v>4819</v>
      </c>
      <c r="J1517" s="25" t="s">
        <v>4820</v>
      </c>
      <c r="K1517" s="26" t="s">
        <v>4821</v>
      </c>
      <c r="L1517" s="25" t="s">
        <v>58</v>
      </c>
      <c r="M1517" t="str">
        <f>TEXT(A1517,"dddd")</f>
        <v>Wednesday</v>
      </c>
      <c r="N1517" s="35">
        <f>DATE(Table4[[#This Row],[year]],Table4[[#This Row],[month2]],Table4[[#This Row],[day]])</f>
        <v>45941</v>
      </c>
    </row>
    <row r="1518" spans="1:14" ht="16" x14ac:dyDescent="0.35">
      <c r="A1518" t="str">
        <f t="shared" si="46"/>
        <v>11</v>
      </c>
      <c r="B1518">
        <f>_xlfn.SWITCH(Table4[[#This Row],[month]],"jan",1,"feb",2,"mar",3,"apr",4,"may",5,"jun",6,"jul",7,"aug",8,"sep",9,"oct",10,"nov",11,"dec",12,"no month")</f>
        <v>10</v>
      </c>
      <c r="C1518" s="12" t="str">
        <f>LEFT('All Transactions'!$E1518,3)</f>
        <v>Oct</v>
      </c>
      <c r="D1518" s="12" t="str">
        <f t="shared" si="47"/>
        <v>2025</v>
      </c>
      <c r="E1518" s="16" t="s">
        <v>4817</v>
      </c>
      <c r="F1518" s="17" t="s">
        <v>1396</v>
      </c>
      <c r="G1518" s="18" t="s">
        <v>28</v>
      </c>
      <c r="H1518" s="19">
        <v>60</v>
      </c>
      <c r="I1518" s="20" t="s">
        <v>4822</v>
      </c>
      <c r="J1518" s="20" t="s">
        <v>4823</v>
      </c>
      <c r="K1518" s="21" t="s">
        <v>4824</v>
      </c>
      <c r="L1518" s="20" t="s">
        <v>32</v>
      </c>
      <c r="M1518" t="str">
        <f>TEXT(A1518,"dddd")</f>
        <v>Wednesday</v>
      </c>
      <c r="N1518" s="35">
        <f>DATE(Table4[[#This Row],[year]],Table4[[#This Row],[month2]],Table4[[#This Row],[day]])</f>
        <v>45941</v>
      </c>
    </row>
    <row r="1519" spans="1:14" ht="16" x14ac:dyDescent="0.35">
      <c r="A1519" t="str">
        <f t="shared" si="46"/>
        <v>10</v>
      </c>
      <c r="B1519">
        <f>_xlfn.SWITCH(Table4[[#This Row],[month]],"jan",1,"feb",2,"mar",3,"apr",4,"may",5,"jun",6,"jul",7,"aug",8,"sep",9,"oct",10,"nov",11,"dec",12,"no month")</f>
        <v>10</v>
      </c>
      <c r="C1519" s="12" t="str">
        <f>LEFT('All Transactions'!$E1519,3)</f>
        <v>Oct</v>
      </c>
      <c r="D1519" s="12" t="str">
        <f t="shared" si="47"/>
        <v>2025</v>
      </c>
      <c r="E1519" s="22" t="s">
        <v>4825</v>
      </c>
      <c r="F1519" s="23" t="s">
        <v>2500</v>
      </c>
      <c r="G1519" s="18" t="s">
        <v>28</v>
      </c>
      <c r="H1519" s="24">
        <v>40</v>
      </c>
      <c r="I1519" s="25" t="s">
        <v>4177</v>
      </c>
      <c r="J1519" s="25" t="s">
        <v>4826</v>
      </c>
      <c r="K1519" s="26" t="s">
        <v>4827</v>
      </c>
      <c r="L1519" s="25" t="s">
        <v>32</v>
      </c>
      <c r="M1519" t="str">
        <f>TEXT(A1519,"dddd")</f>
        <v>Tuesday</v>
      </c>
      <c r="N1519" s="35">
        <f>DATE(Table4[[#This Row],[year]],Table4[[#This Row],[month2]],Table4[[#This Row],[day]])</f>
        <v>45940</v>
      </c>
    </row>
    <row r="1520" spans="1:14" ht="16" x14ac:dyDescent="0.35">
      <c r="A1520" t="str">
        <f t="shared" si="46"/>
        <v>10</v>
      </c>
      <c r="B1520">
        <f>_xlfn.SWITCH(Table4[[#This Row],[month]],"jan",1,"feb",2,"mar",3,"apr",4,"may",5,"jun",6,"jul",7,"aug",8,"sep",9,"oct",10,"nov",11,"dec",12,"no month")</f>
        <v>10</v>
      </c>
      <c r="C1520" s="12" t="str">
        <f>LEFT('All Transactions'!$E1520,3)</f>
        <v>Oct</v>
      </c>
      <c r="D1520" s="12" t="str">
        <f t="shared" si="47"/>
        <v>2025</v>
      </c>
      <c r="E1520" s="16" t="s">
        <v>4825</v>
      </c>
      <c r="F1520" s="17" t="s">
        <v>457</v>
      </c>
      <c r="G1520" s="18" t="s">
        <v>28</v>
      </c>
      <c r="H1520" s="19">
        <v>30</v>
      </c>
      <c r="I1520" s="20" t="s">
        <v>4828</v>
      </c>
      <c r="J1520" s="20" t="s">
        <v>4829</v>
      </c>
      <c r="K1520" s="21" t="s">
        <v>4830</v>
      </c>
      <c r="L1520" s="20" t="s">
        <v>32</v>
      </c>
      <c r="M1520" t="str">
        <f>TEXT(A1520,"dddd")</f>
        <v>Tuesday</v>
      </c>
      <c r="N1520" s="35">
        <f>DATE(Table4[[#This Row],[year]],Table4[[#This Row],[month2]],Table4[[#This Row],[day]])</f>
        <v>45940</v>
      </c>
    </row>
    <row r="1521" spans="1:14" ht="16" x14ac:dyDescent="0.35">
      <c r="A1521" t="str">
        <f t="shared" si="46"/>
        <v>10</v>
      </c>
      <c r="B1521">
        <f>_xlfn.SWITCH(Table4[[#This Row],[month]],"jan",1,"feb",2,"mar",3,"apr",4,"may",5,"jun",6,"jul",7,"aug",8,"sep",9,"oct",10,"nov",11,"dec",12,"no month")</f>
        <v>10</v>
      </c>
      <c r="C1521" s="12" t="str">
        <f>LEFT('All Transactions'!$E1521,3)</f>
        <v>Oct</v>
      </c>
      <c r="D1521" s="12" t="str">
        <f t="shared" si="47"/>
        <v>2025</v>
      </c>
      <c r="E1521" s="22" t="s">
        <v>4825</v>
      </c>
      <c r="F1521" s="23" t="s">
        <v>4256</v>
      </c>
      <c r="G1521" s="18" t="s">
        <v>28</v>
      </c>
      <c r="H1521" s="24">
        <v>20</v>
      </c>
      <c r="I1521" s="25" t="s">
        <v>4831</v>
      </c>
      <c r="J1521" s="25" t="s">
        <v>4832</v>
      </c>
      <c r="K1521" s="26" t="s">
        <v>4833</v>
      </c>
      <c r="L1521" s="25" t="s">
        <v>32</v>
      </c>
      <c r="M1521" t="str">
        <f>TEXT(A1521,"dddd")</f>
        <v>Tuesday</v>
      </c>
      <c r="N1521" s="35">
        <f>DATE(Table4[[#This Row],[year]],Table4[[#This Row],[month2]],Table4[[#This Row],[day]])</f>
        <v>45940</v>
      </c>
    </row>
    <row r="1522" spans="1:14" ht="16" x14ac:dyDescent="0.35">
      <c r="A1522" t="str">
        <f t="shared" si="46"/>
        <v>10</v>
      </c>
      <c r="B1522">
        <f>_xlfn.SWITCH(Table4[[#This Row],[month]],"jan",1,"feb",2,"mar",3,"apr",4,"may",5,"jun",6,"jul",7,"aug",8,"sep",9,"oct",10,"nov",11,"dec",12,"no month")</f>
        <v>10</v>
      </c>
      <c r="C1522" s="12" t="str">
        <f>LEFT('All Transactions'!$E1522,3)</f>
        <v>Oct</v>
      </c>
      <c r="D1522" s="12" t="str">
        <f t="shared" si="47"/>
        <v>2025</v>
      </c>
      <c r="E1522" s="16" t="s">
        <v>4825</v>
      </c>
      <c r="F1522" s="17" t="s">
        <v>4834</v>
      </c>
      <c r="G1522" s="18" t="s">
        <v>28</v>
      </c>
      <c r="H1522" s="19">
        <v>242</v>
      </c>
      <c r="I1522" s="20" t="s">
        <v>4835</v>
      </c>
      <c r="J1522" s="20" t="s">
        <v>4836</v>
      </c>
      <c r="K1522" s="21" t="s">
        <v>4837</v>
      </c>
      <c r="L1522" s="20" t="s">
        <v>32</v>
      </c>
      <c r="M1522" t="str">
        <f>TEXT(A1522,"dddd")</f>
        <v>Tuesday</v>
      </c>
      <c r="N1522" s="35">
        <f>DATE(Table4[[#This Row],[year]],Table4[[#This Row],[month2]],Table4[[#This Row],[day]])</f>
        <v>45940</v>
      </c>
    </row>
    <row r="1523" spans="1:14" ht="16" x14ac:dyDescent="0.35">
      <c r="A1523" t="str">
        <f t="shared" si="46"/>
        <v>09</v>
      </c>
      <c r="B1523">
        <f>_xlfn.SWITCH(Table4[[#This Row],[month]],"jan",1,"feb",2,"mar",3,"apr",4,"may",5,"jun",6,"jul",7,"aug",8,"sep",9,"oct",10,"nov",11,"dec",12,"no month")</f>
        <v>10</v>
      </c>
      <c r="C1523" s="12" t="str">
        <f>LEFT('All Transactions'!$E1523,3)</f>
        <v>Oct</v>
      </c>
      <c r="D1523" s="12" t="str">
        <f t="shared" si="47"/>
        <v>2025</v>
      </c>
      <c r="E1523" s="22" t="s">
        <v>4838</v>
      </c>
      <c r="F1523" s="23" t="s">
        <v>4839</v>
      </c>
      <c r="G1523" s="18" t="s">
        <v>28</v>
      </c>
      <c r="H1523" s="24">
        <v>20</v>
      </c>
      <c r="I1523" s="25" t="s">
        <v>1900</v>
      </c>
      <c r="J1523" s="25" t="s">
        <v>4840</v>
      </c>
      <c r="K1523" s="26" t="s">
        <v>4841</v>
      </c>
      <c r="L1523" s="25" t="s">
        <v>32</v>
      </c>
      <c r="M1523" t="str">
        <f>TEXT(A1523,"dddd")</f>
        <v>Monday</v>
      </c>
      <c r="N1523" s="35">
        <f>DATE(Table4[[#This Row],[year]],Table4[[#This Row],[month2]],Table4[[#This Row],[day]])</f>
        <v>45939</v>
      </c>
    </row>
    <row r="1524" spans="1:14" ht="16" x14ac:dyDescent="0.35">
      <c r="A1524" t="str">
        <f t="shared" si="46"/>
        <v>09</v>
      </c>
      <c r="B1524">
        <f>_xlfn.SWITCH(Table4[[#This Row],[month]],"jan",1,"feb",2,"mar",3,"apr",4,"may",5,"jun",6,"jul",7,"aug",8,"sep",9,"oct",10,"nov",11,"dec",12,"no month")</f>
        <v>10</v>
      </c>
      <c r="C1524" s="12" t="str">
        <f>LEFT('All Transactions'!$E1524,3)</f>
        <v>Oct</v>
      </c>
      <c r="D1524" s="12" t="str">
        <f t="shared" si="47"/>
        <v>2025</v>
      </c>
      <c r="E1524" s="16" t="s">
        <v>4838</v>
      </c>
      <c r="F1524" s="17" t="s">
        <v>4842</v>
      </c>
      <c r="G1524" s="18" t="s">
        <v>28</v>
      </c>
      <c r="H1524" s="19">
        <v>10</v>
      </c>
      <c r="I1524" s="20" t="s">
        <v>3672</v>
      </c>
      <c r="J1524" s="20" t="s">
        <v>4843</v>
      </c>
      <c r="K1524" s="21" t="s">
        <v>4844</v>
      </c>
      <c r="L1524" s="20" t="s">
        <v>32</v>
      </c>
      <c r="M1524" t="str">
        <f>TEXT(A1524,"dddd")</f>
        <v>Monday</v>
      </c>
      <c r="N1524" s="35">
        <f>DATE(Table4[[#This Row],[year]],Table4[[#This Row],[month2]],Table4[[#This Row],[day]])</f>
        <v>45939</v>
      </c>
    </row>
    <row r="1525" spans="1:14" ht="16" x14ac:dyDescent="0.35">
      <c r="A1525" t="str">
        <f t="shared" si="46"/>
        <v>08</v>
      </c>
      <c r="B1525">
        <f>_xlfn.SWITCH(Table4[[#This Row],[month]],"jan",1,"feb",2,"mar",3,"apr",4,"may",5,"jun",6,"jul",7,"aug",8,"sep",9,"oct",10,"nov",11,"dec",12,"no month")</f>
        <v>10</v>
      </c>
      <c r="C1525" s="12" t="str">
        <f>LEFT('All Transactions'!$E1525,3)</f>
        <v>Oct</v>
      </c>
      <c r="D1525" s="12" t="str">
        <f t="shared" si="47"/>
        <v>2025</v>
      </c>
      <c r="E1525" s="22" t="s">
        <v>4845</v>
      </c>
      <c r="F1525" s="23" t="s">
        <v>4846</v>
      </c>
      <c r="G1525" s="18" t="s">
        <v>28</v>
      </c>
      <c r="H1525" s="24">
        <v>20</v>
      </c>
      <c r="I1525" s="25" t="s">
        <v>4160</v>
      </c>
      <c r="J1525" s="25" t="s">
        <v>4847</v>
      </c>
      <c r="K1525" s="26" t="s">
        <v>4848</v>
      </c>
      <c r="L1525" s="25" t="s">
        <v>32</v>
      </c>
      <c r="M1525" t="str">
        <f>TEXT(A1525,"dddd")</f>
        <v>Sunday</v>
      </c>
      <c r="N1525" s="35">
        <f>DATE(Table4[[#This Row],[year]],Table4[[#This Row],[month2]],Table4[[#This Row],[day]])</f>
        <v>45938</v>
      </c>
    </row>
    <row r="1526" spans="1:14" ht="16" x14ac:dyDescent="0.35">
      <c r="A1526" t="str">
        <f t="shared" si="46"/>
        <v>07</v>
      </c>
      <c r="B1526">
        <f>_xlfn.SWITCH(Table4[[#This Row],[month]],"jan",1,"feb",2,"mar",3,"apr",4,"may",5,"jun",6,"jul",7,"aug",8,"sep",9,"oct",10,"nov",11,"dec",12,"no month")</f>
        <v>10</v>
      </c>
      <c r="C1526" s="12" t="str">
        <f>LEFT('All Transactions'!$E1526,3)</f>
        <v>Oct</v>
      </c>
      <c r="D1526" s="12" t="str">
        <f t="shared" si="47"/>
        <v>2025</v>
      </c>
      <c r="E1526" s="16" t="s">
        <v>4849</v>
      </c>
      <c r="F1526" s="17" t="s">
        <v>1388</v>
      </c>
      <c r="G1526" s="18" t="s">
        <v>28</v>
      </c>
      <c r="H1526" s="19">
        <v>60</v>
      </c>
      <c r="I1526" s="20" t="s">
        <v>4850</v>
      </c>
      <c r="J1526" s="20" t="s">
        <v>4851</v>
      </c>
      <c r="K1526" s="21" t="s">
        <v>4852</v>
      </c>
      <c r="L1526" s="20" t="s">
        <v>32</v>
      </c>
      <c r="M1526" t="str">
        <f>TEXT(A1526,"dddd")</f>
        <v>Saturday</v>
      </c>
      <c r="N1526" s="35">
        <f>DATE(Table4[[#This Row],[year]],Table4[[#This Row],[month2]],Table4[[#This Row],[day]])</f>
        <v>45937</v>
      </c>
    </row>
    <row r="1527" spans="1:14" ht="16" x14ac:dyDescent="0.35">
      <c r="A1527" t="str">
        <f t="shared" si="46"/>
        <v>07</v>
      </c>
      <c r="B1527">
        <f>_xlfn.SWITCH(Table4[[#This Row],[month]],"jan",1,"feb",2,"mar",3,"apr",4,"may",5,"jun",6,"jul",7,"aug",8,"sep",9,"oct",10,"nov",11,"dec",12,"no month")</f>
        <v>10</v>
      </c>
      <c r="C1527" s="12" t="str">
        <f>LEFT('All Transactions'!$E1527,3)</f>
        <v>Oct</v>
      </c>
      <c r="D1527" s="12" t="str">
        <f t="shared" si="47"/>
        <v>2025</v>
      </c>
      <c r="E1527" s="22" t="s">
        <v>4849</v>
      </c>
      <c r="F1527" s="23" t="s">
        <v>2009</v>
      </c>
      <c r="G1527" s="18" t="s">
        <v>28</v>
      </c>
      <c r="H1527" s="24">
        <v>62</v>
      </c>
      <c r="I1527" s="25" t="s">
        <v>4853</v>
      </c>
      <c r="J1527" s="25" t="s">
        <v>4854</v>
      </c>
      <c r="K1527" s="26" t="s">
        <v>4855</v>
      </c>
      <c r="L1527" s="25" t="s">
        <v>32</v>
      </c>
      <c r="M1527" t="str">
        <f>TEXT(A1527,"dddd")</f>
        <v>Saturday</v>
      </c>
      <c r="N1527" s="35">
        <f>DATE(Table4[[#This Row],[year]],Table4[[#This Row],[month2]],Table4[[#This Row],[day]])</f>
        <v>45937</v>
      </c>
    </row>
    <row r="1528" spans="1:14" ht="16" x14ac:dyDescent="0.35">
      <c r="A1528" t="str">
        <f t="shared" si="46"/>
        <v>07</v>
      </c>
      <c r="B1528">
        <f>_xlfn.SWITCH(Table4[[#This Row],[month]],"jan",1,"feb",2,"mar",3,"apr",4,"may",5,"jun",6,"jul",7,"aug",8,"sep",9,"oct",10,"nov",11,"dec",12,"no month")</f>
        <v>10</v>
      </c>
      <c r="C1528" s="12" t="str">
        <f>LEFT('All Transactions'!$E1528,3)</f>
        <v>Oct</v>
      </c>
      <c r="D1528" s="12" t="str">
        <f t="shared" si="47"/>
        <v>2025</v>
      </c>
      <c r="E1528" s="16" t="s">
        <v>4849</v>
      </c>
      <c r="F1528" s="17" t="s">
        <v>1393</v>
      </c>
      <c r="G1528" s="18" t="s">
        <v>28</v>
      </c>
      <c r="H1528" s="19">
        <v>15</v>
      </c>
      <c r="I1528" s="20" t="s">
        <v>4856</v>
      </c>
      <c r="J1528" s="20" t="s">
        <v>4857</v>
      </c>
      <c r="K1528" s="21" t="s">
        <v>4858</v>
      </c>
      <c r="L1528" s="20" t="s">
        <v>32</v>
      </c>
      <c r="M1528" t="str">
        <f>TEXT(A1528,"dddd")</f>
        <v>Saturday</v>
      </c>
      <c r="N1528" s="35">
        <f>DATE(Table4[[#This Row],[year]],Table4[[#This Row],[month2]],Table4[[#This Row],[day]])</f>
        <v>45937</v>
      </c>
    </row>
    <row r="1529" spans="1:14" ht="16" x14ac:dyDescent="0.35">
      <c r="A1529" t="str">
        <f t="shared" si="46"/>
        <v>07</v>
      </c>
      <c r="B1529">
        <f>_xlfn.SWITCH(Table4[[#This Row],[month]],"jan",1,"feb",2,"mar",3,"apr",4,"may",5,"jun",6,"jul",7,"aug",8,"sep",9,"oct",10,"nov",11,"dec",12,"no month")</f>
        <v>10</v>
      </c>
      <c r="C1529" s="12" t="str">
        <f>LEFT('All Transactions'!$E1529,3)</f>
        <v>Oct</v>
      </c>
      <c r="D1529" s="12" t="str">
        <f t="shared" si="47"/>
        <v>2025</v>
      </c>
      <c r="E1529" s="22" t="s">
        <v>4849</v>
      </c>
      <c r="F1529" s="23" t="s">
        <v>4859</v>
      </c>
      <c r="G1529" s="18" t="s">
        <v>28</v>
      </c>
      <c r="H1529" s="24">
        <v>440</v>
      </c>
      <c r="I1529" s="25" t="s">
        <v>4860</v>
      </c>
      <c r="J1529" s="25" t="s">
        <v>4861</v>
      </c>
      <c r="K1529" s="26" t="s">
        <v>4862</v>
      </c>
      <c r="L1529" s="25" t="s">
        <v>32</v>
      </c>
      <c r="M1529" t="str">
        <f>TEXT(A1529,"dddd")</f>
        <v>Saturday</v>
      </c>
      <c r="N1529" s="35">
        <f>DATE(Table4[[#This Row],[year]],Table4[[#This Row],[month2]],Table4[[#This Row],[day]])</f>
        <v>45937</v>
      </c>
    </row>
    <row r="1530" spans="1:14" ht="16" x14ac:dyDescent="0.35">
      <c r="A1530" t="str">
        <f t="shared" si="46"/>
        <v>07</v>
      </c>
      <c r="B1530">
        <f>_xlfn.SWITCH(Table4[[#This Row],[month]],"jan",1,"feb",2,"mar",3,"apr",4,"may",5,"jun",6,"jul",7,"aug",8,"sep",9,"oct",10,"nov",11,"dec",12,"no month")</f>
        <v>10</v>
      </c>
      <c r="C1530" s="12" t="str">
        <f>LEFT('All Transactions'!$E1530,3)</f>
        <v>Oct</v>
      </c>
      <c r="D1530" s="12" t="str">
        <f t="shared" si="47"/>
        <v>2025</v>
      </c>
      <c r="E1530" s="16" t="s">
        <v>4849</v>
      </c>
      <c r="F1530" s="17" t="s">
        <v>4859</v>
      </c>
      <c r="G1530" s="18" t="s">
        <v>28</v>
      </c>
      <c r="H1530" s="19">
        <v>230</v>
      </c>
      <c r="I1530" s="20" t="s">
        <v>4863</v>
      </c>
      <c r="J1530" s="20" t="s">
        <v>4864</v>
      </c>
      <c r="K1530" s="21" t="s">
        <v>4865</v>
      </c>
      <c r="L1530" s="20" t="s">
        <v>32</v>
      </c>
      <c r="M1530" t="str">
        <f>TEXT(A1530,"dddd")</f>
        <v>Saturday</v>
      </c>
      <c r="N1530" s="35">
        <f>DATE(Table4[[#This Row],[year]],Table4[[#This Row],[month2]],Table4[[#This Row],[day]])</f>
        <v>45937</v>
      </c>
    </row>
    <row r="1531" spans="1:14" ht="16" x14ac:dyDescent="0.35">
      <c r="A1531" t="str">
        <f t="shared" si="46"/>
        <v>07</v>
      </c>
      <c r="B1531">
        <f>_xlfn.SWITCH(Table4[[#This Row],[month]],"jan",1,"feb",2,"mar",3,"apr",4,"may",5,"jun",6,"jul",7,"aug",8,"sep",9,"oct",10,"nov",11,"dec",12,"no month")</f>
        <v>10</v>
      </c>
      <c r="C1531" s="12" t="str">
        <f>LEFT('All Transactions'!$E1531,3)</f>
        <v>Oct</v>
      </c>
      <c r="D1531" s="12" t="str">
        <f t="shared" si="47"/>
        <v>2025</v>
      </c>
      <c r="E1531" s="22" t="s">
        <v>4849</v>
      </c>
      <c r="F1531" s="23" t="s">
        <v>1629</v>
      </c>
      <c r="G1531" s="27" t="s">
        <v>54</v>
      </c>
      <c r="H1531" s="24">
        <v>900</v>
      </c>
      <c r="I1531" s="25" t="s">
        <v>1090</v>
      </c>
      <c r="J1531" s="25" t="s">
        <v>4866</v>
      </c>
      <c r="K1531" s="26" t="s">
        <v>4867</v>
      </c>
      <c r="L1531" s="25" t="s">
        <v>58</v>
      </c>
      <c r="M1531" t="str">
        <f>TEXT(A1531,"dddd")</f>
        <v>Saturday</v>
      </c>
      <c r="N1531" s="35">
        <f>DATE(Table4[[#This Row],[year]],Table4[[#This Row],[month2]],Table4[[#This Row],[day]])</f>
        <v>45937</v>
      </c>
    </row>
    <row r="1532" spans="1:14" ht="16" x14ac:dyDescent="0.35">
      <c r="A1532" t="str">
        <f t="shared" si="46"/>
        <v>07</v>
      </c>
      <c r="B1532">
        <f>_xlfn.SWITCH(Table4[[#This Row],[month]],"jan",1,"feb",2,"mar",3,"apr",4,"may",5,"jun",6,"jul",7,"aug",8,"sep",9,"oct",10,"nov",11,"dec",12,"no month")</f>
        <v>10</v>
      </c>
      <c r="C1532" s="12" t="str">
        <f>LEFT('All Transactions'!$E1532,3)</f>
        <v>Oct</v>
      </c>
      <c r="D1532" s="12" t="str">
        <f t="shared" si="47"/>
        <v>2025</v>
      </c>
      <c r="E1532" s="16" t="s">
        <v>4849</v>
      </c>
      <c r="F1532" s="17" t="s">
        <v>4868</v>
      </c>
      <c r="G1532" s="18" t="s">
        <v>28</v>
      </c>
      <c r="H1532" s="19">
        <v>1</v>
      </c>
      <c r="I1532" s="20" t="s">
        <v>84</v>
      </c>
      <c r="J1532" s="20" t="s">
        <v>4869</v>
      </c>
      <c r="K1532" s="21" t="s">
        <v>4870</v>
      </c>
      <c r="L1532" s="20" t="s">
        <v>32</v>
      </c>
      <c r="M1532" t="str">
        <f>TEXT(A1532,"dddd")</f>
        <v>Saturday</v>
      </c>
      <c r="N1532" s="35">
        <f>DATE(Table4[[#This Row],[year]],Table4[[#This Row],[month2]],Table4[[#This Row],[day]])</f>
        <v>45937</v>
      </c>
    </row>
    <row r="1533" spans="1:14" ht="16" x14ac:dyDescent="0.35">
      <c r="A1533" t="str">
        <f t="shared" si="46"/>
        <v>06</v>
      </c>
      <c r="B1533">
        <f>_xlfn.SWITCH(Table4[[#This Row],[month]],"jan",1,"feb",2,"mar",3,"apr",4,"may",5,"jun",6,"jul",7,"aug",8,"sep",9,"oct",10,"nov",11,"dec",12,"no month")</f>
        <v>10</v>
      </c>
      <c r="C1533" s="12" t="str">
        <f>LEFT('All Transactions'!$E1533,3)</f>
        <v>Oct</v>
      </c>
      <c r="D1533" s="12" t="str">
        <f t="shared" si="47"/>
        <v>2025</v>
      </c>
      <c r="E1533" s="22" t="s">
        <v>4871</v>
      </c>
      <c r="F1533" s="23" t="s">
        <v>2745</v>
      </c>
      <c r="G1533" s="18" t="s">
        <v>28</v>
      </c>
      <c r="H1533" s="24">
        <v>10</v>
      </c>
      <c r="I1533" s="25" t="s">
        <v>4713</v>
      </c>
      <c r="J1533" s="25" t="s">
        <v>4872</v>
      </c>
      <c r="K1533" s="26" t="s">
        <v>4873</v>
      </c>
      <c r="L1533" s="25" t="s">
        <v>32</v>
      </c>
      <c r="M1533" t="str">
        <f>TEXT(A1533,"dddd")</f>
        <v>Friday</v>
      </c>
      <c r="N1533" s="35">
        <f>DATE(Table4[[#This Row],[year]],Table4[[#This Row],[month2]],Table4[[#This Row],[day]])</f>
        <v>45936</v>
      </c>
    </row>
    <row r="1534" spans="1:14" ht="16" x14ac:dyDescent="0.35">
      <c r="A1534" t="str">
        <f t="shared" si="46"/>
        <v>06</v>
      </c>
      <c r="B1534">
        <f>_xlfn.SWITCH(Table4[[#This Row],[month]],"jan",1,"feb",2,"mar",3,"apr",4,"may",5,"jun",6,"jul",7,"aug",8,"sep",9,"oct",10,"nov",11,"dec",12,"no month")</f>
        <v>10</v>
      </c>
      <c r="C1534" s="12" t="str">
        <f>LEFT('All Transactions'!$E1534,3)</f>
        <v>Oct</v>
      </c>
      <c r="D1534" s="12" t="str">
        <f t="shared" si="47"/>
        <v>2025</v>
      </c>
      <c r="E1534" s="16" t="s">
        <v>4871</v>
      </c>
      <c r="F1534" s="17" t="s">
        <v>4874</v>
      </c>
      <c r="G1534" s="18" t="s">
        <v>28</v>
      </c>
      <c r="H1534" s="19">
        <v>400</v>
      </c>
      <c r="I1534" s="20" t="s">
        <v>4875</v>
      </c>
      <c r="J1534" s="20" t="s">
        <v>4876</v>
      </c>
      <c r="K1534" s="21" t="s">
        <v>4877</v>
      </c>
      <c r="L1534" s="20" t="s">
        <v>32</v>
      </c>
      <c r="M1534" t="str">
        <f>TEXT(A1534,"dddd")</f>
        <v>Friday</v>
      </c>
      <c r="N1534" s="35">
        <f>DATE(Table4[[#This Row],[year]],Table4[[#This Row],[month2]],Table4[[#This Row],[day]])</f>
        <v>45936</v>
      </c>
    </row>
    <row r="1535" spans="1:14" ht="16" x14ac:dyDescent="0.35">
      <c r="A1535" t="str">
        <f t="shared" si="46"/>
        <v>06</v>
      </c>
      <c r="B1535">
        <f>_xlfn.SWITCH(Table4[[#This Row],[month]],"jan",1,"feb",2,"mar",3,"apr",4,"may",5,"jun",6,"jul",7,"aug",8,"sep",9,"oct",10,"nov",11,"dec",12,"no month")</f>
        <v>10</v>
      </c>
      <c r="C1535" s="12" t="str">
        <f>LEFT('All Transactions'!$E1535,3)</f>
        <v>Oct</v>
      </c>
      <c r="D1535" s="12" t="str">
        <f t="shared" si="47"/>
        <v>2025</v>
      </c>
      <c r="E1535" s="22" t="s">
        <v>4871</v>
      </c>
      <c r="F1535" s="23" t="s">
        <v>4874</v>
      </c>
      <c r="G1535" s="27" t="s">
        <v>54</v>
      </c>
      <c r="H1535" s="24">
        <v>400</v>
      </c>
      <c r="I1535" s="25" t="s">
        <v>1090</v>
      </c>
      <c r="J1535" s="25" t="s">
        <v>4878</v>
      </c>
      <c r="K1535" s="26" t="s">
        <v>4879</v>
      </c>
      <c r="L1535" s="25" t="s">
        <v>58</v>
      </c>
      <c r="M1535" t="str">
        <f>TEXT(A1535,"dddd")</f>
        <v>Friday</v>
      </c>
      <c r="N1535" s="35">
        <f>DATE(Table4[[#This Row],[year]],Table4[[#This Row],[month2]],Table4[[#This Row],[day]])</f>
        <v>45936</v>
      </c>
    </row>
    <row r="1536" spans="1:14" ht="16" x14ac:dyDescent="0.35">
      <c r="A1536" t="str">
        <f t="shared" si="46"/>
        <v>05</v>
      </c>
      <c r="B1536">
        <f>_xlfn.SWITCH(Table4[[#This Row],[month]],"jan",1,"feb",2,"mar",3,"apr",4,"may",5,"jun",6,"jul",7,"aug",8,"sep",9,"oct",10,"nov",11,"dec",12,"no month")</f>
        <v>10</v>
      </c>
      <c r="C1536" s="12" t="str">
        <f>LEFT('All Transactions'!$E1536,3)</f>
        <v>Oct</v>
      </c>
      <c r="D1536" s="12" t="str">
        <f t="shared" si="47"/>
        <v>2025</v>
      </c>
      <c r="E1536" s="16" t="s">
        <v>4880</v>
      </c>
      <c r="F1536" s="17" t="s">
        <v>159</v>
      </c>
      <c r="G1536" s="18" t="s">
        <v>28</v>
      </c>
      <c r="H1536" s="19">
        <v>180</v>
      </c>
      <c r="I1536" s="20" t="s">
        <v>4881</v>
      </c>
      <c r="J1536" s="20" t="s">
        <v>4882</v>
      </c>
      <c r="K1536" s="21" t="s">
        <v>4883</v>
      </c>
      <c r="L1536" s="20" t="s">
        <v>32</v>
      </c>
      <c r="M1536" t="str">
        <f>TEXT(A1536,"dddd")</f>
        <v>Thursday</v>
      </c>
      <c r="N1536" s="35">
        <f>DATE(Table4[[#This Row],[year]],Table4[[#This Row],[month2]],Table4[[#This Row],[day]])</f>
        <v>45935</v>
      </c>
    </row>
    <row r="1537" spans="1:14" ht="16" x14ac:dyDescent="0.35">
      <c r="A1537" t="str">
        <f t="shared" si="46"/>
        <v>05</v>
      </c>
      <c r="B1537">
        <f>_xlfn.SWITCH(Table4[[#This Row],[month]],"jan",1,"feb",2,"mar",3,"apr",4,"may",5,"jun",6,"jul",7,"aug",8,"sep",9,"oct",10,"nov",11,"dec",12,"no month")</f>
        <v>10</v>
      </c>
      <c r="C1537" s="12" t="str">
        <f>LEFT('All Transactions'!$E1537,3)</f>
        <v>Oct</v>
      </c>
      <c r="D1537" s="12" t="str">
        <f t="shared" si="47"/>
        <v>2025</v>
      </c>
      <c r="E1537" s="22" t="s">
        <v>4880</v>
      </c>
      <c r="F1537" s="23" t="s">
        <v>159</v>
      </c>
      <c r="G1537" s="27" t="s">
        <v>54</v>
      </c>
      <c r="H1537" s="24">
        <v>180</v>
      </c>
      <c r="I1537" s="25" t="s">
        <v>1090</v>
      </c>
      <c r="J1537" s="25" t="s">
        <v>4884</v>
      </c>
      <c r="K1537" s="26" t="s">
        <v>4885</v>
      </c>
      <c r="L1537" s="25" t="s">
        <v>58</v>
      </c>
      <c r="M1537" t="str">
        <f>TEXT(A1537,"dddd")</f>
        <v>Thursday</v>
      </c>
      <c r="N1537" s="35">
        <f>DATE(Table4[[#This Row],[year]],Table4[[#This Row],[month2]],Table4[[#This Row],[day]])</f>
        <v>45935</v>
      </c>
    </row>
    <row r="1538" spans="1:14" ht="16" x14ac:dyDescent="0.35">
      <c r="A1538" t="str">
        <f t="shared" si="46"/>
        <v>05</v>
      </c>
      <c r="B1538">
        <f>_xlfn.SWITCH(Table4[[#This Row],[month]],"jan",1,"feb",2,"mar",3,"apr",4,"may",5,"jun",6,"jul",7,"aug",8,"sep",9,"oct",10,"nov",11,"dec",12,"no month")</f>
        <v>10</v>
      </c>
      <c r="C1538" s="12" t="str">
        <f>LEFT('All Transactions'!$E1538,3)</f>
        <v>Oct</v>
      </c>
      <c r="D1538" s="12" t="str">
        <f t="shared" si="47"/>
        <v>2025</v>
      </c>
      <c r="E1538" s="16" t="s">
        <v>4880</v>
      </c>
      <c r="F1538" s="17" t="s">
        <v>3918</v>
      </c>
      <c r="G1538" s="18" t="s">
        <v>28</v>
      </c>
      <c r="H1538" s="19">
        <v>18</v>
      </c>
      <c r="I1538" s="20" t="s">
        <v>4886</v>
      </c>
      <c r="J1538" s="20" t="s">
        <v>4887</v>
      </c>
      <c r="K1538" s="21" t="s">
        <v>4888</v>
      </c>
      <c r="L1538" s="20" t="s">
        <v>32</v>
      </c>
      <c r="M1538" t="str">
        <f>TEXT(A1538,"dddd")</f>
        <v>Thursday</v>
      </c>
      <c r="N1538" s="35">
        <f>DATE(Table4[[#This Row],[year]],Table4[[#This Row],[month2]],Table4[[#This Row],[day]])</f>
        <v>45935</v>
      </c>
    </row>
    <row r="1539" spans="1:14" ht="16" x14ac:dyDescent="0.35">
      <c r="A1539" t="str">
        <f t="shared" ref="A1539:A1602" si="48">MID(E1539,5,2)</f>
        <v>05</v>
      </c>
      <c r="B1539">
        <f>_xlfn.SWITCH(Table4[[#This Row],[month]],"jan",1,"feb",2,"mar",3,"apr",4,"may",5,"jun",6,"jul",7,"aug",8,"sep",9,"oct",10,"nov",11,"dec",12,"no month")</f>
        <v>10</v>
      </c>
      <c r="C1539" s="12" t="str">
        <f>LEFT('All Transactions'!$E1539,3)</f>
        <v>Oct</v>
      </c>
      <c r="D1539" s="12" t="str">
        <f t="shared" ref="D1539:D1602" si="49">RIGHT(E1539,4)</f>
        <v>2025</v>
      </c>
      <c r="E1539" s="22" t="s">
        <v>4880</v>
      </c>
      <c r="F1539" s="23" t="s">
        <v>2475</v>
      </c>
      <c r="G1539" s="18" t="s">
        <v>28</v>
      </c>
      <c r="H1539" s="24">
        <v>501</v>
      </c>
      <c r="I1539" s="25" t="s">
        <v>4547</v>
      </c>
      <c r="J1539" s="25" t="s">
        <v>4889</v>
      </c>
      <c r="K1539" s="26" t="s">
        <v>4890</v>
      </c>
      <c r="L1539" s="25" t="s">
        <v>32</v>
      </c>
      <c r="M1539" t="str">
        <f>TEXT(A1539,"dddd")</f>
        <v>Thursday</v>
      </c>
      <c r="N1539" s="35">
        <f>DATE(Table4[[#This Row],[year]],Table4[[#This Row],[month2]],Table4[[#This Row],[day]])</f>
        <v>45935</v>
      </c>
    </row>
    <row r="1540" spans="1:14" ht="16" x14ac:dyDescent="0.35">
      <c r="A1540" t="str">
        <f t="shared" si="48"/>
        <v>04</v>
      </c>
      <c r="B1540">
        <f>_xlfn.SWITCH(Table4[[#This Row],[month]],"jan",1,"feb",2,"mar",3,"apr",4,"may",5,"jun",6,"jul",7,"aug",8,"sep",9,"oct",10,"nov",11,"dec",12,"no month")</f>
        <v>10</v>
      </c>
      <c r="C1540" s="12" t="str">
        <f>LEFT('All Transactions'!$E1540,3)</f>
        <v>Oct</v>
      </c>
      <c r="D1540" s="12" t="str">
        <f t="shared" si="49"/>
        <v>2025</v>
      </c>
      <c r="E1540" s="16" t="s">
        <v>4891</v>
      </c>
      <c r="F1540" s="17" t="s">
        <v>2710</v>
      </c>
      <c r="G1540" s="27" t="s">
        <v>54</v>
      </c>
      <c r="H1540" s="19">
        <v>1000</v>
      </c>
      <c r="I1540" s="20" t="s">
        <v>89</v>
      </c>
      <c r="J1540" s="20" t="s">
        <v>4892</v>
      </c>
      <c r="K1540" s="21" t="s">
        <v>4893</v>
      </c>
      <c r="L1540" s="20" t="s">
        <v>58</v>
      </c>
      <c r="M1540" t="str">
        <f>TEXT(A1540,"dddd")</f>
        <v>Wednesday</v>
      </c>
      <c r="N1540" s="35">
        <f>DATE(Table4[[#This Row],[year]],Table4[[#This Row],[month2]],Table4[[#This Row],[day]])</f>
        <v>45934</v>
      </c>
    </row>
    <row r="1541" spans="1:14" ht="16" x14ac:dyDescent="0.35">
      <c r="A1541" t="str">
        <f t="shared" si="48"/>
        <v>04</v>
      </c>
      <c r="B1541">
        <f>_xlfn.SWITCH(Table4[[#This Row],[month]],"jan",1,"feb",2,"mar",3,"apr",4,"may",5,"jun",6,"jul",7,"aug",8,"sep",9,"oct",10,"nov",11,"dec",12,"no month")</f>
        <v>10</v>
      </c>
      <c r="C1541" s="12" t="str">
        <f>LEFT('All Transactions'!$E1541,3)</f>
        <v>Oct</v>
      </c>
      <c r="D1541" s="12" t="str">
        <f t="shared" si="49"/>
        <v>2025</v>
      </c>
      <c r="E1541" s="22" t="s">
        <v>4891</v>
      </c>
      <c r="F1541" s="23" t="s">
        <v>4673</v>
      </c>
      <c r="G1541" s="18" t="s">
        <v>28</v>
      </c>
      <c r="H1541" s="24">
        <v>110</v>
      </c>
      <c r="I1541" s="25" t="s">
        <v>4741</v>
      </c>
      <c r="J1541" s="25" t="s">
        <v>4894</v>
      </c>
      <c r="K1541" s="26" t="s">
        <v>4895</v>
      </c>
      <c r="L1541" s="25" t="s">
        <v>32</v>
      </c>
      <c r="M1541" t="str">
        <f>TEXT(A1541,"dddd")</f>
        <v>Wednesday</v>
      </c>
      <c r="N1541" s="35">
        <f>DATE(Table4[[#This Row],[year]],Table4[[#This Row],[month2]],Table4[[#This Row],[day]])</f>
        <v>45934</v>
      </c>
    </row>
    <row r="1542" spans="1:14" ht="16" x14ac:dyDescent="0.35">
      <c r="A1542" t="str">
        <f t="shared" si="48"/>
        <v>04</v>
      </c>
      <c r="B1542">
        <f>_xlfn.SWITCH(Table4[[#This Row],[month]],"jan",1,"feb",2,"mar",3,"apr",4,"may",5,"jun",6,"jul",7,"aug",8,"sep",9,"oct",10,"nov",11,"dec",12,"no month")</f>
        <v>10</v>
      </c>
      <c r="C1542" s="12" t="str">
        <f>LEFT('All Transactions'!$E1542,3)</f>
        <v>Oct</v>
      </c>
      <c r="D1542" s="12" t="str">
        <f t="shared" si="49"/>
        <v>2025</v>
      </c>
      <c r="E1542" s="16" t="s">
        <v>4891</v>
      </c>
      <c r="F1542" s="17" t="s">
        <v>1164</v>
      </c>
      <c r="G1542" s="18" t="s">
        <v>28</v>
      </c>
      <c r="H1542" s="19">
        <v>500</v>
      </c>
      <c r="I1542" s="20" t="s">
        <v>4896</v>
      </c>
      <c r="J1542" s="20" t="s">
        <v>4897</v>
      </c>
      <c r="K1542" s="21" t="s">
        <v>4898</v>
      </c>
      <c r="L1542" s="20" t="s">
        <v>32</v>
      </c>
      <c r="M1542" t="str">
        <f>TEXT(A1542,"dddd")</f>
        <v>Wednesday</v>
      </c>
      <c r="N1542" s="35">
        <f>DATE(Table4[[#This Row],[year]],Table4[[#This Row],[month2]],Table4[[#This Row],[day]])</f>
        <v>45934</v>
      </c>
    </row>
    <row r="1543" spans="1:14" ht="16" x14ac:dyDescent="0.35">
      <c r="A1543" t="str">
        <f t="shared" si="48"/>
        <v>04</v>
      </c>
      <c r="B1543">
        <f>_xlfn.SWITCH(Table4[[#This Row],[month]],"jan",1,"feb",2,"mar",3,"apr",4,"may",5,"jun",6,"jul",7,"aug",8,"sep",9,"oct",10,"nov",11,"dec",12,"no month")</f>
        <v>10</v>
      </c>
      <c r="C1543" s="12" t="str">
        <f>LEFT('All Transactions'!$E1543,3)</f>
        <v>Oct</v>
      </c>
      <c r="D1543" s="12" t="str">
        <f t="shared" si="49"/>
        <v>2025</v>
      </c>
      <c r="E1543" s="22" t="s">
        <v>4891</v>
      </c>
      <c r="F1543" s="23" t="s">
        <v>593</v>
      </c>
      <c r="G1543" s="18" t="s">
        <v>28</v>
      </c>
      <c r="H1543" s="24">
        <v>40</v>
      </c>
      <c r="I1543" s="25" t="s">
        <v>4713</v>
      </c>
      <c r="J1543" s="25" t="s">
        <v>4899</v>
      </c>
      <c r="K1543" s="26" t="s">
        <v>4900</v>
      </c>
      <c r="L1543" s="25" t="s">
        <v>32</v>
      </c>
      <c r="M1543" t="str">
        <f>TEXT(A1543,"dddd")</f>
        <v>Wednesday</v>
      </c>
      <c r="N1543" s="35">
        <f>DATE(Table4[[#This Row],[year]],Table4[[#This Row],[month2]],Table4[[#This Row],[day]])</f>
        <v>45934</v>
      </c>
    </row>
    <row r="1544" spans="1:14" ht="16" x14ac:dyDescent="0.35">
      <c r="A1544" t="str">
        <f t="shared" si="48"/>
        <v>04</v>
      </c>
      <c r="B1544">
        <f>_xlfn.SWITCH(Table4[[#This Row],[month]],"jan",1,"feb",2,"mar",3,"apr",4,"may",5,"jun",6,"jul",7,"aug",8,"sep",9,"oct",10,"nov",11,"dec",12,"no month")</f>
        <v>10</v>
      </c>
      <c r="C1544" s="12" t="str">
        <f>LEFT('All Transactions'!$E1544,3)</f>
        <v>Oct</v>
      </c>
      <c r="D1544" s="12" t="str">
        <f t="shared" si="49"/>
        <v>2025</v>
      </c>
      <c r="E1544" s="16" t="s">
        <v>4891</v>
      </c>
      <c r="F1544" s="17" t="s">
        <v>1850</v>
      </c>
      <c r="G1544" s="18" t="s">
        <v>28</v>
      </c>
      <c r="H1544" s="19">
        <v>20</v>
      </c>
      <c r="I1544" s="20" t="s">
        <v>4901</v>
      </c>
      <c r="J1544" s="20" t="s">
        <v>4902</v>
      </c>
      <c r="K1544" s="21" t="s">
        <v>4903</v>
      </c>
      <c r="L1544" s="20" t="s">
        <v>32</v>
      </c>
      <c r="M1544" t="str">
        <f>TEXT(A1544,"dddd")</f>
        <v>Wednesday</v>
      </c>
      <c r="N1544" s="35">
        <f>DATE(Table4[[#This Row],[year]],Table4[[#This Row],[month2]],Table4[[#This Row],[day]])</f>
        <v>45934</v>
      </c>
    </row>
    <row r="1545" spans="1:14" ht="16" x14ac:dyDescent="0.35">
      <c r="A1545" t="str">
        <f t="shared" si="48"/>
        <v>03</v>
      </c>
      <c r="B1545">
        <f>_xlfn.SWITCH(Table4[[#This Row],[month]],"jan",1,"feb",2,"mar",3,"apr",4,"may",5,"jun",6,"jul",7,"aug",8,"sep",9,"oct",10,"nov",11,"dec",12,"no month")</f>
        <v>10</v>
      </c>
      <c r="C1545" s="12" t="str">
        <f>LEFT('All Transactions'!$E1545,3)</f>
        <v>Oct</v>
      </c>
      <c r="D1545" s="12" t="str">
        <f t="shared" si="49"/>
        <v>2025</v>
      </c>
      <c r="E1545" s="22" t="s">
        <v>4904</v>
      </c>
      <c r="F1545" s="23" t="s">
        <v>4905</v>
      </c>
      <c r="G1545" s="27" t="s">
        <v>54</v>
      </c>
      <c r="H1545" s="24">
        <v>20</v>
      </c>
      <c r="I1545" s="25" t="s">
        <v>4906</v>
      </c>
      <c r="J1545" s="25" t="s">
        <v>4907</v>
      </c>
      <c r="K1545" s="26" t="s">
        <v>4908</v>
      </c>
      <c r="L1545" s="25" t="s">
        <v>58</v>
      </c>
      <c r="M1545" t="str">
        <f>TEXT(A1545,"dddd")</f>
        <v>Tuesday</v>
      </c>
      <c r="N1545" s="35">
        <f>DATE(Table4[[#This Row],[year]],Table4[[#This Row],[month2]],Table4[[#This Row],[day]])</f>
        <v>45933</v>
      </c>
    </row>
    <row r="1546" spans="1:14" ht="16" x14ac:dyDescent="0.35">
      <c r="A1546" t="str">
        <f t="shared" si="48"/>
        <v>03</v>
      </c>
      <c r="B1546">
        <f>_xlfn.SWITCH(Table4[[#This Row],[month]],"jan",1,"feb",2,"mar",3,"apr",4,"may",5,"jun",6,"jul",7,"aug",8,"sep",9,"oct",10,"nov",11,"dec",12,"no month")</f>
        <v>10</v>
      </c>
      <c r="C1546" s="12" t="str">
        <f>LEFT('All Transactions'!$E1546,3)</f>
        <v>Oct</v>
      </c>
      <c r="D1546" s="12" t="str">
        <f t="shared" si="49"/>
        <v>2025</v>
      </c>
      <c r="E1546" s="16" t="s">
        <v>4904</v>
      </c>
      <c r="F1546" s="17" t="s">
        <v>4909</v>
      </c>
      <c r="G1546" s="18" t="s">
        <v>28</v>
      </c>
      <c r="H1546" s="19">
        <v>20</v>
      </c>
      <c r="I1546" s="20" t="s">
        <v>4910</v>
      </c>
      <c r="J1546" s="20" t="s">
        <v>4911</v>
      </c>
      <c r="K1546" s="21" t="s">
        <v>4912</v>
      </c>
      <c r="L1546" s="20" t="s">
        <v>32</v>
      </c>
      <c r="M1546" t="str">
        <f>TEXT(A1546,"dddd")</f>
        <v>Tuesday</v>
      </c>
      <c r="N1546" s="35">
        <f>DATE(Table4[[#This Row],[year]],Table4[[#This Row],[month2]],Table4[[#This Row],[day]])</f>
        <v>45933</v>
      </c>
    </row>
    <row r="1547" spans="1:14" ht="16" x14ac:dyDescent="0.35">
      <c r="A1547" t="str">
        <f t="shared" si="48"/>
        <v>03</v>
      </c>
      <c r="B1547">
        <f>_xlfn.SWITCH(Table4[[#This Row],[month]],"jan",1,"feb",2,"mar",3,"apr",4,"may",5,"jun",6,"jul",7,"aug",8,"sep",9,"oct",10,"nov",11,"dec",12,"no month")</f>
        <v>10</v>
      </c>
      <c r="C1547" s="12" t="str">
        <f>LEFT('All Transactions'!$E1547,3)</f>
        <v>Oct</v>
      </c>
      <c r="D1547" s="12" t="str">
        <f t="shared" si="49"/>
        <v>2025</v>
      </c>
      <c r="E1547" s="22" t="s">
        <v>4904</v>
      </c>
      <c r="F1547" s="23" t="s">
        <v>4913</v>
      </c>
      <c r="G1547" s="18" t="s">
        <v>28</v>
      </c>
      <c r="H1547" s="24">
        <v>10</v>
      </c>
      <c r="I1547" s="25" t="s">
        <v>4910</v>
      </c>
      <c r="J1547" s="25" t="s">
        <v>4914</v>
      </c>
      <c r="K1547" s="26" t="s">
        <v>4915</v>
      </c>
      <c r="L1547" s="25" t="s">
        <v>32</v>
      </c>
      <c r="M1547" t="str">
        <f>TEXT(A1547,"dddd")</f>
        <v>Tuesday</v>
      </c>
      <c r="N1547" s="35">
        <f>DATE(Table4[[#This Row],[year]],Table4[[#This Row],[month2]],Table4[[#This Row],[day]])</f>
        <v>45933</v>
      </c>
    </row>
    <row r="1548" spans="1:14" ht="16" x14ac:dyDescent="0.35">
      <c r="A1548" t="str">
        <f t="shared" si="48"/>
        <v>03</v>
      </c>
      <c r="B1548">
        <f>_xlfn.SWITCH(Table4[[#This Row],[month]],"jan",1,"feb",2,"mar",3,"apr",4,"may",5,"jun",6,"jul",7,"aug",8,"sep",9,"oct",10,"nov",11,"dec",12,"no month")</f>
        <v>10</v>
      </c>
      <c r="C1548" s="12" t="str">
        <f>LEFT('All Transactions'!$E1548,3)</f>
        <v>Oct</v>
      </c>
      <c r="D1548" s="12" t="str">
        <f t="shared" si="49"/>
        <v>2025</v>
      </c>
      <c r="E1548" s="16" t="s">
        <v>4904</v>
      </c>
      <c r="F1548" s="17" t="s">
        <v>220</v>
      </c>
      <c r="G1548" s="18" t="s">
        <v>28</v>
      </c>
      <c r="H1548" s="19">
        <v>160</v>
      </c>
      <c r="I1548" s="20" t="s">
        <v>4910</v>
      </c>
      <c r="J1548" s="20" t="s">
        <v>4916</v>
      </c>
      <c r="K1548" s="21" t="s">
        <v>4917</v>
      </c>
      <c r="L1548" s="20" t="s">
        <v>32</v>
      </c>
      <c r="M1548" t="str">
        <f>TEXT(A1548,"dddd")</f>
        <v>Tuesday</v>
      </c>
      <c r="N1548" s="35">
        <f>DATE(Table4[[#This Row],[year]],Table4[[#This Row],[month2]],Table4[[#This Row],[day]])</f>
        <v>45933</v>
      </c>
    </row>
    <row r="1549" spans="1:14" ht="16" x14ac:dyDescent="0.35">
      <c r="A1549" t="str">
        <f t="shared" si="48"/>
        <v>03</v>
      </c>
      <c r="B1549">
        <f>_xlfn.SWITCH(Table4[[#This Row],[month]],"jan",1,"feb",2,"mar",3,"apr",4,"may",5,"jun",6,"jul",7,"aug",8,"sep",9,"oct",10,"nov",11,"dec",12,"no month")</f>
        <v>10</v>
      </c>
      <c r="C1549" s="12" t="str">
        <f>LEFT('All Transactions'!$E1549,3)</f>
        <v>Oct</v>
      </c>
      <c r="D1549" s="12" t="str">
        <f t="shared" si="49"/>
        <v>2025</v>
      </c>
      <c r="E1549" s="22" t="s">
        <v>4904</v>
      </c>
      <c r="F1549" s="23" t="s">
        <v>4918</v>
      </c>
      <c r="G1549" s="27" t="s">
        <v>54</v>
      </c>
      <c r="H1549" s="24">
        <v>200</v>
      </c>
      <c r="I1549" s="25" t="s">
        <v>1090</v>
      </c>
      <c r="J1549" s="25" t="s">
        <v>4919</v>
      </c>
      <c r="K1549" s="26" t="s">
        <v>4920</v>
      </c>
      <c r="L1549" s="25" t="s">
        <v>58</v>
      </c>
      <c r="M1549" t="str">
        <f>TEXT(A1549,"dddd")</f>
        <v>Tuesday</v>
      </c>
      <c r="N1549" s="35">
        <f>DATE(Table4[[#This Row],[year]],Table4[[#This Row],[month2]],Table4[[#This Row],[day]])</f>
        <v>45933</v>
      </c>
    </row>
    <row r="1550" spans="1:14" ht="16" x14ac:dyDescent="0.35">
      <c r="A1550" t="str">
        <f t="shared" si="48"/>
        <v>03</v>
      </c>
      <c r="B1550">
        <f>_xlfn.SWITCH(Table4[[#This Row],[month]],"jan",1,"feb",2,"mar",3,"apr",4,"may",5,"jun",6,"jul",7,"aug",8,"sep",9,"oct",10,"nov",11,"dec",12,"no month")</f>
        <v>10</v>
      </c>
      <c r="C1550" s="12" t="str">
        <f>LEFT('All Transactions'!$E1550,3)</f>
        <v>Oct</v>
      </c>
      <c r="D1550" s="12" t="str">
        <f t="shared" si="49"/>
        <v>2025</v>
      </c>
      <c r="E1550" s="16" t="s">
        <v>4904</v>
      </c>
      <c r="F1550" s="17" t="s">
        <v>665</v>
      </c>
      <c r="G1550" s="18" t="s">
        <v>28</v>
      </c>
      <c r="H1550" s="19">
        <v>20</v>
      </c>
      <c r="I1550" s="20" t="s">
        <v>4910</v>
      </c>
      <c r="J1550" s="20" t="s">
        <v>4921</v>
      </c>
      <c r="K1550" s="21" t="s">
        <v>4922</v>
      </c>
      <c r="L1550" s="20" t="s">
        <v>32</v>
      </c>
      <c r="M1550" t="str">
        <f>TEXT(A1550,"dddd")</f>
        <v>Tuesday</v>
      </c>
      <c r="N1550" s="35">
        <f>DATE(Table4[[#This Row],[year]],Table4[[#This Row],[month2]],Table4[[#This Row],[day]])</f>
        <v>45933</v>
      </c>
    </row>
    <row r="1551" spans="1:14" ht="16" x14ac:dyDescent="0.35">
      <c r="A1551" t="str">
        <f t="shared" si="48"/>
        <v>03</v>
      </c>
      <c r="B1551">
        <f>_xlfn.SWITCH(Table4[[#This Row],[month]],"jan",1,"feb",2,"mar",3,"apr",4,"may",5,"jun",6,"jul",7,"aug",8,"sep",9,"oct",10,"nov",11,"dec",12,"no month")</f>
        <v>10</v>
      </c>
      <c r="C1551" s="12" t="str">
        <f>LEFT('All Transactions'!$E1551,3)</f>
        <v>Oct</v>
      </c>
      <c r="D1551" s="12" t="str">
        <f t="shared" si="49"/>
        <v>2025</v>
      </c>
      <c r="E1551" s="22" t="s">
        <v>4904</v>
      </c>
      <c r="F1551" s="23" t="s">
        <v>685</v>
      </c>
      <c r="G1551" s="18" t="s">
        <v>28</v>
      </c>
      <c r="H1551" s="24">
        <v>6</v>
      </c>
      <c r="I1551" s="25" t="s">
        <v>4923</v>
      </c>
      <c r="J1551" s="25" t="s">
        <v>4924</v>
      </c>
      <c r="K1551" s="26" t="s">
        <v>4925</v>
      </c>
      <c r="L1551" s="25" t="s">
        <v>32</v>
      </c>
      <c r="M1551" t="str">
        <f>TEXT(A1551,"dddd")</f>
        <v>Tuesday</v>
      </c>
      <c r="N1551" s="35">
        <f>DATE(Table4[[#This Row],[year]],Table4[[#This Row],[month2]],Table4[[#This Row],[day]])</f>
        <v>45933</v>
      </c>
    </row>
    <row r="1552" spans="1:14" ht="16" x14ac:dyDescent="0.35">
      <c r="A1552" t="str">
        <f t="shared" si="48"/>
        <v>03</v>
      </c>
      <c r="B1552">
        <f>_xlfn.SWITCH(Table4[[#This Row],[month]],"jan",1,"feb",2,"mar",3,"apr",4,"may",5,"jun",6,"jul",7,"aug",8,"sep",9,"oct",10,"nov",11,"dec",12,"no month")</f>
        <v>10</v>
      </c>
      <c r="C1552" s="12" t="str">
        <f>LEFT('All Transactions'!$E1552,3)</f>
        <v>Oct</v>
      </c>
      <c r="D1552" s="12" t="str">
        <f t="shared" si="49"/>
        <v>2025</v>
      </c>
      <c r="E1552" s="16" t="s">
        <v>4904</v>
      </c>
      <c r="F1552" s="17" t="s">
        <v>1013</v>
      </c>
      <c r="G1552" s="27" t="s">
        <v>54</v>
      </c>
      <c r="H1552" s="19">
        <v>610</v>
      </c>
      <c r="I1552" s="20" t="s">
        <v>1090</v>
      </c>
      <c r="J1552" s="20" t="s">
        <v>4926</v>
      </c>
      <c r="K1552" s="21" t="s">
        <v>4927</v>
      </c>
      <c r="L1552" s="20" t="s">
        <v>58</v>
      </c>
      <c r="M1552" t="str">
        <f>TEXT(A1552,"dddd")</f>
        <v>Tuesday</v>
      </c>
      <c r="N1552" s="35">
        <f>DATE(Table4[[#This Row],[year]],Table4[[#This Row],[month2]],Table4[[#This Row],[day]])</f>
        <v>45933</v>
      </c>
    </row>
    <row r="1553" spans="1:14" ht="16" x14ac:dyDescent="0.35">
      <c r="A1553" t="str">
        <f t="shared" si="48"/>
        <v>03</v>
      </c>
      <c r="B1553">
        <f>_xlfn.SWITCH(Table4[[#This Row],[month]],"jan",1,"feb",2,"mar",3,"apr",4,"may",5,"jun",6,"jul",7,"aug",8,"sep",9,"oct",10,"nov",11,"dec",12,"no month")</f>
        <v>10</v>
      </c>
      <c r="C1553" s="12" t="str">
        <f>LEFT('All Transactions'!$E1553,3)</f>
        <v>Oct</v>
      </c>
      <c r="D1553" s="12" t="str">
        <f t="shared" si="49"/>
        <v>2025</v>
      </c>
      <c r="E1553" s="22" t="s">
        <v>4904</v>
      </c>
      <c r="F1553" s="23" t="s">
        <v>1013</v>
      </c>
      <c r="G1553" s="18" t="s">
        <v>28</v>
      </c>
      <c r="H1553" s="24">
        <v>606.41999999999996</v>
      </c>
      <c r="I1553" s="25" t="s">
        <v>4928</v>
      </c>
      <c r="J1553" s="25" t="s">
        <v>4929</v>
      </c>
      <c r="K1553" s="26" t="s">
        <v>4930</v>
      </c>
      <c r="L1553" s="25" t="s">
        <v>32</v>
      </c>
      <c r="M1553" t="str">
        <f>TEXT(A1553,"dddd")</f>
        <v>Tuesday</v>
      </c>
      <c r="N1553" s="35">
        <f>DATE(Table4[[#This Row],[year]],Table4[[#This Row],[month2]],Table4[[#This Row],[day]])</f>
        <v>45933</v>
      </c>
    </row>
    <row r="1554" spans="1:14" ht="16" x14ac:dyDescent="0.35">
      <c r="A1554" t="str">
        <f t="shared" si="48"/>
        <v>03</v>
      </c>
      <c r="B1554">
        <f>_xlfn.SWITCH(Table4[[#This Row],[month]],"jan",1,"feb",2,"mar",3,"apr",4,"may",5,"jun",6,"jul",7,"aug",8,"sep",9,"oct",10,"nov",11,"dec",12,"no month")</f>
        <v>10</v>
      </c>
      <c r="C1554" s="12" t="str">
        <f>LEFT('All Transactions'!$E1554,3)</f>
        <v>Oct</v>
      </c>
      <c r="D1554" s="12" t="str">
        <f t="shared" si="49"/>
        <v>2025</v>
      </c>
      <c r="E1554" s="16" t="s">
        <v>4904</v>
      </c>
      <c r="F1554" s="17" t="s">
        <v>928</v>
      </c>
      <c r="G1554" s="27" t="s">
        <v>54</v>
      </c>
      <c r="H1554" s="19">
        <v>10000</v>
      </c>
      <c r="I1554" s="20" t="s">
        <v>156</v>
      </c>
      <c r="J1554" s="20" t="s">
        <v>4931</v>
      </c>
      <c r="K1554" s="21" t="s">
        <v>4932</v>
      </c>
      <c r="L1554" s="20" t="s">
        <v>58</v>
      </c>
      <c r="M1554" t="str">
        <f>TEXT(A1554,"dddd")</f>
        <v>Tuesday</v>
      </c>
      <c r="N1554" s="35">
        <f>DATE(Table4[[#This Row],[year]],Table4[[#This Row],[month2]],Table4[[#This Row],[day]])</f>
        <v>45933</v>
      </c>
    </row>
    <row r="1555" spans="1:14" ht="16" x14ac:dyDescent="0.35">
      <c r="A1555" t="str">
        <f t="shared" si="48"/>
        <v>03</v>
      </c>
      <c r="B1555">
        <f>_xlfn.SWITCH(Table4[[#This Row],[month]],"jan",1,"feb",2,"mar",3,"apr",4,"may",5,"jun",6,"jul",7,"aug",8,"sep",9,"oct",10,"nov",11,"dec",12,"no month")</f>
        <v>10</v>
      </c>
      <c r="C1555" s="12" t="str">
        <f>LEFT('All Transactions'!$E1555,3)</f>
        <v>Oct</v>
      </c>
      <c r="D1555" s="12" t="str">
        <f t="shared" si="49"/>
        <v>2025</v>
      </c>
      <c r="E1555" s="22" t="s">
        <v>4904</v>
      </c>
      <c r="F1555" s="23" t="s">
        <v>4933</v>
      </c>
      <c r="G1555" s="27" t="s">
        <v>54</v>
      </c>
      <c r="H1555" s="24">
        <v>10000</v>
      </c>
      <c r="I1555" s="25" t="s">
        <v>1642</v>
      </c>
      <c r="J1555" s="25" t="s">
        <v>4934</v>
      </c>
      <c r="K1555" s="26" t="s">
        <v>4935</v>
      </c>
      <c r="L1555" s="25" t="s">
        <v>58</v>
      </c>
      <c r="M1555" t="str">
        <f>TEXT(A1555,"dddd")</f>
        <v>Tuesday</v>
      </c>
      <c r="N1555" s="35">
        <f>DATE(Table4[[#This Row],[year]],Table4[[#This Row],[month2]],Table4[[#This Row],[day]])</f>
        <v>45933</v>
      </c>
    </row>
    <row r="1556" spans="1:14" ht="16" x14ac:dyDescent="0.35">
      <c r="A1556" t="str">
        <f t="shared" si="48"/>
        <v>02</v>
      </c>
      <c r="B1556">
        <f>_xlfn.SWITCH(Table4[[#This Row],[month]],"jan",1,"feb",2,"mar",3,"apr",4,"may",5,"jun",6,"jul",7,"aug",8,"sep",9,"oct",10,"nov",11,"dec",12,"no month")</f>
        <v>10</v>
      </c>
      <c r="C1556" s="12" t="str">
        <f>LEFT('All Transactions'!$E1556,3)</f>
        <v>Oct</v>
      </c>
      <c r="D1556" s="12" t="str">
        <f t="shared" si="49"/>
        <v>2025</v>
      </c>
      <c r="E1556" s="16" t="s">
        <v>4936</v>
      </c>
      <c r="F1556" s="17" t="s">
        <v>2064</v>
      </c>
      <c r="G1556" s="18" t="s">
        <v>28</v>
      </c>
      <c r="H1556" s="19">
        <v>4</v>
      </c>
      <c r="I1556" s="20" t="s">
        <v>4937</v>
      </c>
      <c r="J1556" s="20" t="s">
        <v>4938</v>
      </c>
      <c r="K1556" s="21" t="s">
        <v>4939</v>
      </c>
      <c r="L1556" s="20" t="s">
        <v>32</v>
      </c>
      <c r="M1556" t="str">
        <f>TEXT(A1556,"dddd")</f>
        <v>Monday</v>
      </c>
      <c r="N1556" s="35">
        <f>DATE(Table4[[#This Row],[year]],Table4[[#This Row],[month2]],Table4[[#This Row],[day]])</f>
        <v>45932</v>
      </c>
    </row>
    <row r="1557" spans="1:14" ht="16" x14ac:dyDescent="0.35">
      <c r="A1557" t="str">
        <f t="shared" si="48"/>
        <v>02</v>
      </c>
      <c r="B1557">
        <f>_xlfn.SWITCH(Table4[[#This Row],[month]],"jan",1,"feb",2,"mar",3,"apr",4,"may",5,"jun",6,"jul",7,"aug",8,"sep",9,"oct",10,"nov",11,"dec",12,"no month")</f>
        <v>10</v>
      </c>
      <c r="C1557" s="12" t="str">
        <f>LEFT('All Transactions'!$E1557,3)</f>
        <v>Oct</v>
      </c>
      <c r="D1557" s="12" t="str">
        <f t="shared" si="49"/>
        <v>2025</v>
      </c>
      <c r="E1557" s="22" t="s">
        <v>4936</v>
      </c>
      <c r="F1557" s="23" t="s">
        <v>1048</v>
      </c>
      <c r="G1557" s="18" t="s">
        <v>28</v>
      </c>
      <c r="H1557" s="24">
        <v>61</v>
      </c>
      <c r="I1557" s="25" t="s">
        <v>4940</v>
      </c>
      <c r="J1557" s="25" t="s">
        <v>4941</v>
      </c>
      <c r="K1557" s="26" t="s">
        <v>4942</v>
      </c>
      <c r="L1557" s="25" t="s">
        <v>32</v>
      </c>
      <c r="M1557" t="str">
        <f>TEXT(A1557,"dddd")</f>
        <v>Monday</v>
      </c>
      <c r="N1557" s="35">
        <f>DATE(Table4[[#This Row],[year]],Table4[[#This Row],[month2]],Table4[[#This Row],[day]])</f>
        <v>45932</v>
      </c>
    </row>
    <row r="1558" spans="1:14" ht="16" x14ac:dyDescent="0.35">
      <c r="A1558" t="str">
        <f t="shared" si="48"/>
        <v>02</v>
      </c>
      <c r="B1558">
        <f>_xlfn.SWITCH(Table4[[#This Row],[month]],"jan",1,"feb",2,"mar",3,"apr",4,"may",5,"jun",6,"jul",7,"aug",8,"sep",9,"oct",10,"nov",11,"dec",12,"no month")</f>
        <v>10</v>
      </c>
      <c r="C1558" s="12" t="str">
        <f>LEFT('All Transactions'!$E1558,3)</f>
        <v>Oct</v>
      </c>
      <c r="D1558" s="12" t="str">
        <f t="shared" si="49"/>
        <v>2025</v>
      </c>
      <c r="E1558" s="16" t="s">
        <v>4936</v>
      </c>
      <c r="F1558" s="17" t="s">
        <v>1282</v>
      </c>
      <c r="G1558" s="18" t="s">
        <v>28</v>
      </c>
      <c r="H1558" s="19">
        <v>22</v>
      </c>
      <c r="I1558" s="20" t="s">
        <v>4943</v>
      </c>
      <c r="J1558" s="20" t="s">
        <v>4944</v>
      </c>
      <c r="K1558" s="21" t="s">
        <v>4945</v>
      </c>
      <c r="L1558" s="20" t="s">
        <v>32</v>
      </c>
      <c r="M1558" t="str">
        <f>TEXT(A1558,"dddd")</f>
        <v>Monday</v>
      </c>
      <c r="N1558" s="35">
        <f>DATE(Table4[[#This Row],[year]],Table4[[#This Row],[month2]],Table4[[#This Row],[day]])</f>
        <v>45932</v>
      </c>
    </row>
    <row r="1559" spans="1:14" ht="16" x14ac:dyDescent="0.35">
      <c r="A1559" t="str">
        <f t="shared" si="48"/>
        <v>01</v>
      </c>
      <c r="B1559">
        <f>_xlfn.SWITCH(Table4[[#This Row],[month]],"jan",1,"feb",2,"mar",3,"apr",4,"may",5,"jun",6,"jul",7,"aug",8,"sep",9,"oct",10,"nov",11,"dec",12,"no month")</f>
        <v>10</v>
      </c>
      <c r="C1559" s="12" t="str">
        <f>LEFT('All Transactions'!$E1559,3)</f>
        <v>Oct</v>
      </c>
      <c r="D1559" s="12" t="str">
        <f t="shared" si="49"/>
        <v>2025</v>
      </c>
      <c r="E1559" s="22" t="s">
        <v>4946</v>
      </c>
      <c r="F1559" s="23" t="s">
        <v>4947</v>
      </c>
      <c r="G1559" s="18" t="s">
        <v>28</v>
      </c>
      <c r="H1559" s="24">
        <v>10</v>
      </c>
      <c r="I1559" s="25" t="s">
        <v>4948</v>
      </c>
      <c r="J1559" s="25" t="s">
        <v>4949</v>
      </c>
      <c r="K1559" s="26" t="s">
        <v>4950</v>
      </c>
      <c r="L1559" s="25" t="s">
        <v>32</v>
      </c>
      <c r="M1559" t="str">
        <f>TEXT(A1559,"dddd")</f>
        <v>Sunday</v>
      </c>
      <c r="N1559" s="35">
        <f>DATE(Table4[[#This Row],[year]],Table4[[#This Row],[month2]],Table4[[#This Row],[day]])</f>
        <v>45931</v>
      </c>
    </row>
    <row r="1560" spans="1:14" ht="16" x14ac:dyDescent="0.35">
      <c r="A1560" t="str">
        <f t="shared" si="48"/>
        <v>31</v>
      </c>
      <c r="B1560">
        <f>_xlfn.SWITCH(Table4[[#This Row],[month]],"jan",1,"feb",2,"mar",3,"apr",4,"may",5,"jun",6,"jul",7,"aug",8,"sep",9,"oct",10,"nov",11,"dec",12,"no month")</f>
        <v>8</v>
      </c>
      <c r="C1560" s="12" t="str">
        <f>LEFT('All Transactions'!$E1560,3)</f>
        <v>Aug</v>
      </c>
      <c r="D1560" s="12" t="str">
        <f t="shared" si="49"/>
        <v>2025</v>
      </c>
      <c r="E1560" s="16" t="s">
        <v>4951</v>
      </c>
      <c r="F1560" s="17" t="s">
        <v>482</v>
      </c>
      <c r="G1560" s="18" t="s">
        <v>28</v>
      </c>
      <c r="H1560" s="19">
        <v>20</v>
      </c>
      <c r="I1560" s="20" t="s">
        <v>4952</v>
      </c>
      <c r="J1560" s="20" t="s">
        <v>4953</v>
      </c>
      <c r="K1560" s="21" t="s">
        <v>4954</v>
      </c>
      <c r="L1560" s="20" t="s">
        <v>47</v>
      </c>
      <c r="M1560" t="str">
        <f>TEXT(A1560,"dddd")</f>
        <v>Tuesday</v>
      </c>
      <c r="N1560" s="35">
        <f>DATE(Table4[[#This Row],[year]],Table4[[#This Row],[month2]],Table4[[#This Row],[day]])</f>
        <v>45900</v>
      </c>
    </row>
    <row r="1561" spans="1:14" ht="16" x14ac:dyDescent="0.35">
      <c r="A1561" t="str">
        <f t="shared" si="48"/>
        <v>31</v>
      </c>
      <c r="B1561">
        <f>_xlfn.SWITCH(Table4[[#This Row],[month]],"jan",1,"feb",2,"mar",3,"apr",4,"may",5,"jun",6,"jul",7,"aug",8,"sep",9,"oct",10,"nov",11,"dec",12,"no month")</f>
        <v>8</v>
      </c>
      <c r="C1561" s="12" t="str">
        <f>LEFT('All Transactions'!$E1561,3)</f>
        <v>Aug</v>
      </c>
      <c r="D1561" s="12" t="str">
        <f t="shared" si="49"/>
        <v>2025</v>
      </c>
      <c r="E1561" s="22" t="s">
        <v>4951</v>
      </c>
      <c r="F1561" s="23" t="s">
        <v>482</v>
      </c>
      <c r="G1561" s="18" t="s">
        <v>28</v>
      </c>
      <c r="H1561" s="24">
        <v>20</v>
      </c>
      <c r="I1561" s="25" t="s">
        <v>4952</v>
      </c>
      <c r="J1561" s="25" t="s">
        <v>4955</v>
      </c>
      <c r="K1561" s="26" t="s">
        <v>4956</v>
      </c>
      <c r="L1561" s="25" t="s">
        <v>1808</v>
      </c>
      <c r="M1561" t="str">
        <f>TEXT(A1561,"dddd")</f>
        <v>Tuesday</v>
      </c>
      <c r="N1561" s="35">
        <f>DATE(Table4[[#This Row],[year]],Table4[[#This Row],[month2]],Table4[[#This Row],[day]])</f>
        <v>45900</v>
      </c>
    </row>
    <row r="1562" spans="1:14" ht="16" x14ac:dyDescent="0.35">
      <c r="A1562" t="str">
        <f t="shared" si="48"/>
        <v>30</v>
      </c>
      <c r="B1562">
        <f>_xlfn.SWITCH(Table4[[#This Row],[month]],"jan",1,"feb",2,"mar",3,"apr",4,"may",5,"jun",6,"jul",7,"aug",8,"sep",9,"oct",10,"nov",11,"dec",12,"no month")</f>
        <v>8</v>
      </c>
      <c r="C1562" s="12" t="str">
        <f>LEFT('All Transactions'!$E1562,3)</f>
        <v>Aug</v>
      </c>
      <c r="D1562" s="12" t="str">
        <f t="shared" si="49"/>
        <v>2025</v>
      </c>
      <c r="E1562" s="16" t="s">
        <v>4957</v>
      </c>
      <c r="F1562" s="17" t="s">
        <v>4410</v>
      </c>
      <c r="G1562" s="18" t="s">
        <v>28</v>
      </c>
      <c r="H1562" s="19">
        <v>289</v>
      </c>
      <c r="I1562" s="20" t="s">
        <v>4958</v>
      </c>
      <c r="J1562" s="20" t="s">
        <v>4959</v>
      </c>
      <c r="K1562" s="21" t="s">
        <v>4960</v>
      </c>
      <c r="L1562" s="20" t="s">
        <v>32</v>
      </c>
      <c r="M1562" t="str">
        <f>TEXT(A1562,"dddd")</f>
        <v>Monday</v>
      </c>
      <c r="N1562" s="35">
        <f>DATE(Table4[[#This Row],[year]],Table4[[#This Row],[month2]],Table4[[#This Row],[day]])</f>
        <v>45899</v>
      </c>
    </row>
    <row r="1563" spans="1:14" ht="16" x14ac:dyDescent="0.35">
      <c r="A1563" t="str">
        <f t="shared" si="48"/>
        <v>30</v>
      </c>
      <c r="B1563">
        <f>_xlfn.SWITCH(Table4[[#This Row],[month]],"jan",1,"feb",2,"mar",3,"apr",4,"may",5,"jun",6,"jul",7,"aug",8,"sep",9,"oct",10,"nov",11,"dec",12,"no month")</f>
        <v>8</v>
      </c>
      <c r="C1563" s="12" t="str">
        <f>LEFT('All Transactions'!$E1563,3)</f>
        <v>Aug</v>
      </c>
      <c r="D1563" s="12" t="str">
        <f t="shared" si="49"/>
        <v>2025</v>
      </c>
      <c r="E1563" s="22" t="s">
        <v>4957</v>
      </c>
      <c r="F1563" s="23" t="s">
        <v>4961</v>
      </c>
      <c r="G1563" s="27" t="s">
        <v>54</v>
      </c>
      <c r="H1563" s="24">
        <v>200</v>
      </c>
      <c r="I1563" s="25" t="s">
        <v>156</v>
      </c>
      <c r="J1563" s="25" t="s">
        <v>4962</v>
      </c>
      <c r="K1563" s="26" t="s">
        <v>4963</v>
      </c>
      <c r="L1563" s="25" t="s">
        <v>58</v>
      </c>
      <c r="M1563" t="str">
        <f>TEXT(A1563,"dddd")</f>
        <v>Monday</v>
      </c>
      <c r="N1563" s="35">
        <f>DATE(Table4[[#This Row],[year]],Table4[[#This Row],[month2]],Table4[[#This Row],[day]])</f>
        <v>45899</v>
      </c>
    </row>
    <row r="1564" spans="1:14" ht="16" x14ac:dyDescent="0.35">
      <c r="A1564" t="str">
        <f t="shared" si="48"/>
        <v>30</v>
      </c>
      <c r="B1564">
        <f>_xlfn.SWITCH(Table4[[#This Row],[month]],"jan",1,"feb",2,"mar",3,"apr",4,"may",5,"jun",6,"jul",7,"aug",8,"sep",9,"oct",10,"nov",11,"dec",12,"no month")</f>
        <v>8</v>
      </c>
      <c r="C1564" s="12" t="str">
        <f>LEFT('All Transactions'!$E1564,3)</f>
        <v>Aug</v>
      </c>
      <c r="D1564" s="12" t="str">
        <f t="shared" si="49"/>
        <v>2025</v>
      </c>
      <c r="E1564" s="16" t="s">
        <v>4957</v>
      </c>
      <c r="F1564" s="17" t="s">
        <v>4964</v>
      </c>
      <c r="G1564" s="18" t="s">
        <v>28</v>
      </c>
      <c r="H1564" s="19">
        <v>100</v>
      </c>
      <c r="I1564" s="20" t="s">
        <v>4965</v>
      </c>
      <c r="J1564" s="20" t="s">
        <v>4966</v>
      </c>
      <c r="K1564" s="21" t="s">
        <v>4967</v>
      </c>
      <c r="L1564" s="20" t="s">
        <v>1808</v>
      </c>
      <c r="M1564" t="str">
        <f>TEXT(A1564,"dddd")</f>
        <v>Monday</v>
      </c>
      <c r="N1564" s="35">
        <f>DATE(Table4[[#This Row],[year]],Table4[[#This Row],[month2]],Table4[[#This Row],[day]])</f>
        <v>45899</v>
      </c>
    </row>
    <row r="1565" spans="1:14" ht="16" x14ac:dyDescent="0.35">
      <c r="A1565" t="str">
        <f t="shared" si="48"/>
        <v>30</v>
      </c>
      <c r="B1565">
        <f>_xlfn.SWITCH(Table4[[#This Row],[month]],"jan",1,"feb",2,"mar",3,"apr",4,"may",5,"jun",6,"jul",7,"aug",8,"sep",9,"oct",10,"nov",11,"dec",12,"no month")</f>
        <v>8</v>
      </c>
      <c r="C1565" s="12" t="str">
        <f>LEFT('All Transactions'!$E1565,3)</f>
        <v>Aug</v>
      </c>
      <c r="D1565" s="12" t="str">
        <f t="shared" si="49"/>
        <v>2025</v>
      </c>
      <c r="E1565" s="22" t="s">
        <v>4957</v>
      </c>
      <c r="F1565" s="23" t="s">
        <v>4183</v>
      </c>
      <c r="G1565" s="18" t="s">
        <v>28</v>
      </c>
      <c r="H1565" s="24">
        <v>170</v>
      </c>
      <c r="I1565" s="25" t="s">
        <v>4968</v>
      </c>
      <c r="J1565" s="25" t="s">
        <v>4969</v>
      </c>
      <c r="K1565" s="26" t="s">
        <v>4970</v>
      </c>
      <c r="L1565" s="25" t="s">
        <v>32</v>
      </c>
      <c r="M1565" t="str">
        <f>TEXT(A1565,"dddd")</f>
        <v>Monday</v>
      </c>
      <c r="N1565" s="35">
        <f>DATE(Table4[[#This Row],[year]],Table4[[#This Row],[month2]],Table4[[#This Row],[day]])</f>
        <v>45899</v>
      </c>
    </row>
    <row r="1566" spans="1:14" ht="16" x14ac:dyDescent="0.35">
      <c r="A1566" t="str">
        <f t="shared" si="48"/>
        <v>30</v>
      </c>
      <c r="B1566">
        <f>_xlfn.SWITCH(Table4[[#This Row],[month]],"jan",1,"feb",2,"mar",3,"apr",4,"may",5,"jun",6,"jul",7,"aug",8,"sep",9,"oct",10,"nov",11,"dec",12,"no month")</f>
        <v>8</v>
      </c>
      <c r="C1566" s="12" t="str">
        <f>LEFT('All Transactions'!$E1566,3)</f>
        <v>Aug</v>
      </c>
      <c r="D1566" s="12" t="str">
        <f t="shared" si="49"/>
        <v>2025</v>
      </c>
      <c r="E1566" s="16" t="s">
        <v>4957</v>
      </c>
      <c r="F1566" s="17" t="s">
        <v>3526</v>
      </c>
      <c r="G1566" s="27" t="s">
        <v>54</v>
      </c>
      <c r="H1566" s="19">
        <v>200</v>
      </c>
      <c r="I1566" s="20" t="s">
        <v>1090</v>
      </c>
      <c r="J1566" s="20" t="s">
        <v>4971</v>
      </c>
      <c r="K1566" s="21" t="s">
        <v>4972</v>
      </c>
      <c r="L1566" s="20" t="s">
        <v>58</v>
      </c>
      <c r="M1566" t="str">
        <f>TEXT(A1566,"dddd")</f>
        <v>Monday</v>
      </c>
      <c r="N1566" s="35">
        <f>DATE(Table4[[#This Row],[year]],Table4[[#This Row],[month2]],Table4[[#This Row],[day]])</f>
        <v>45899</v>
      </c>
    </row>
    <row r="1567" spans="1:14" ht="16" x14ac:dyDescent="0.35">
      <c r="A1567" t="str">
        <f t="shared" si="48"/>
        <v>30</v>
      </c>
      <c r="B1567">
        <f>_xlfn.SWITCH(Table4[[#This Row],[month]],"jan",1,"feb",2,"mar",3,"apr",4,"may",5,"jun",6,"jul",7,"aug",8,"sep",9,"oct",10,"nov",11,"dec",12,"no month")</f>
        <v>8</v>
      </c>
      <c r="C1567" s="12" t="str">
        <f>LEFT('All Transactions'!$E1567,3)</f>
        <v>Aug</v>
      </c>
      <c r="D1567" s="12" t="str">
        <f t="shared" si="49"/>
        <v>2025</v>
      </c>
      <c r="E1567" s="22" t="s">
        <v>4957</v>
      </c>
      <c r="F1567" s="23" t="s">
        <v>1899</v>
      </c>
      <c r="G1567" s="18" t="s">
        <v>28</v>
      </c>
      <c r="H1567" s="24">
        <v>4000</v>
      </c>
      <c r="I1567" s="25" t="s">
        <v>4973</v>
      </c>
      <c r="J1567" s="25" t="s">
        <v>4974</v>
      </c>
      <c r="K1567" s="26" t="s">
        <v>4975</v>
      </c>
      <c r="L1567" s="25" t="s">
        <v>32</v>
      </c>
      <c r="M1567" t="str">
        <f>TEXT(A1567,"dddd")</f>
        <v>Monday</v>
      </c>
      <c r="N1567" s="35">
        <f>DATE(Table4[[#This Row],[year]],Table4[[#This Row],[month2]],Table4[[#This Row],[day]])</f>
        <v>45899</v>
      </c>
    </row>
    <row r="1568" spans="1:14" ht="16" x14ac:dyDescent="0.35">
      <c r="A1568" t="str">
        <f t="shared" si="48"/>
        <v>30</v>
      </c>
      <c r="B1568">
        <f>_xlfn.SWITCH(Table4[[#This Row],[month]],"jan",1,"feb",2,"mar",3,"apr",4,"may",5,"jun",6,"jul",7,"aug",8,"sep",9,"oct",10,"nov",11,"dec",12,"no month")</f>
        <v>8</v>
      </c>
      <c r="C1568" s="12" t="str">
        <f>LEFT('All Transactions'!$E1568,3)</f>
        <v>Aug</v>
      </c>
      <c r="D1568" s="12" t="str">
        <f t="shared" si="49"/>
        <v>2025</v>
      </c>
      <c r="E1568" s="16" t="s">
        <v>4957</v>
      </c>
      <c r="F1568" s="17" t="s">
        <v>4976</v>
      </c>
      <c r="G1568" s="18" t="s">
        <v>28</v>
      </c>
      <c r="H1568" s="19">
        <v>302</v>
      </c>
      <c r="I1568" s="20" t="s">
        <v>4977</v>
      </c>
      <c r="J1568" s="20" t="s">
        <v>4978</v>
      </c>
      <c r="K1568" s="21" t="s">
        <v>4979</v>
      </c>
      <c r="L1568" s="20" t="s">
        <v>32</v>
      </c>
      <c r="M1568" t="str">
        <f>TEXT(A1568,"dddd")</f>
        <v>Monday</v>
      </c>
      <c r="N1568" s="35">
        <f>DATE(Table4[[#This Row],[year]],Table4[[#This Row],[month2]],Table4[[#This Row],[day]])</f>
        <v>45899</v>
      </c>
    </row>
    <row r="1569" spans="1:14" ht="16" x14ac:dyDescent="0.35">
      <c r="A1569" t="str">
        <f t="shared" si="48"/>
        <v>29</v>
      </c>
      <c r="B1569">
        <f>_xlfn.SWITCH(Table4[[#This Row],[month]],"jan",1,"feb",2,"mar",3,"apr",4,"may",5,"jun",6,"jul",7,"aug",8,"sep",9,"oct",10,"nov",11,"dec",12,"no month")</f>
        <v>8</v>
      </c>
      <c r="C1569" s="12" t="str">
        <f>LEFT('All Transactions'!$E1569,3)</f>
        <v>Aug</v>
      </c>
      <c r="D1569" s="12" t="str">
        <f t="shared" si="49"/>
        <v>2025</v>
      </c>
      <c r="E1569" s="22" t="s">
        <v>4980</v>
      </c>
      <c r="F1569" s="23" t="s">
        <v>2729</v>
      </c>
      <c r="G1569" s="18" t="s">
        <v>28</v>
      </c>
      <c r="H1569" s="24">
        <v>130</v>
      </c>
      <c r="I1569" s="25" t="s">
        <v>4981</v>
      </c>
      <c r="J1569" s="25" t="s">
        <v>4982</v>
      </c>
      <c r="K1569" s="26" t="s">
        <v>4983</v>
      </c>
      <c r="L1569" s="25" t="s">
        <v>1808</v>
      </c>
      <c r="M1569" t="str">
        <f>TEXT(A1569,"dddd")</f>
        <v>Sunday</v>
      </c>
      <c r="N1569" s="35">
        <f>DATE(Table4[[#This Row],[year]],Table4[[#This Row],[month2]],Table4[[#This Row],[day]])</f>
        <v>45898</v>
      </c>
    </row>
    <row r="1570" spans="1:14" ht="16" x14ac:dyDescent="0.35">
      <c r="A1570" t="str">
        <f t="shared" si="48"/>
        <v>29</v>
      </c>
      <c r="B1570">
        <f>_xlfn.SWITCH(Table4[[#This Row],[month]],"jan",1,"feb",2,"mar",3,"apr",4,"may",5,"jun",6,"jul",7,"aug",8,"sep",9,"oct",10,"nov",11,"dec",12,"no month")</f>
        <v>8</v>
      </c>
      <c r="C1570" s="12" t="str">
        <f>LEFT('All Transactions'!$E1570,3)</f>
        <v>Aug</v>
      </c>
      <c r="D1570" s="12" t="str">
        <f t="shared" si="49"/>
        <v>2025</v>
      </c>
      <c r="E1570" s="16" t="s">
        <v>4980</v>
      </c>
      <c r="F1570" s="17" t="s">
        <v>4059</v>
      </c>
      <c r="G1570" s="18" t="s">
        <v>28</v>
      </c>
      <c r="H1570" s="19">
        <v>70</v>
      </c>
      <c r="I1570" s="20" t="s">
        <v>4342</v>
      </c>
      <c r="J1570" s="20" t="s">
        <v>4984</v>
      </c>
      <c r="K1570" s="21" t="s">
        <v>4985</v>
      </c>
      <c r="L1570" s="20" t="s">
        <v>1808</v>
      </c>
      <c r="M1570" t="str">
        <f>TEXT(A1570,"dddd")</f>
        <v>Sunday</v>
      </c>
      <c r="N1570" s="35">
        <f>DATE(Table4[[#This Row],[year]],Table4[[#This Row],[month2]],Table4[[#This Row],[day]])</f>
        <v>45898</v>
      </c>
    </row>
    <row r="1571" spans="1:14" ht="16" x14ac:dyDescent="0.35">
      <c r="A1571" t="str">
        <f t="shared" si="48"/>
        <v>29</v>
      </c>
      <c r="B1571">
        <f>_xlfn.SWITCH(Table4[[#This Row],[month]],"jan",1,"feb",2,"mar",3,"apr",4,"may",5,"jun",6,"jul",7,"aug",8,"sep",9,"oct",10,"nov",11,"dec",12,"no month")</f>
        <v>8</v>
      </c>
      <c r="C1571" s="12" t="str">
        <f>LEFT('All Transactions'!$E1571,3)</f>
        <v>Aug</v>
      </c>
      <c r="D1571" s="12" t="str">
        <f t="shared" si="49"/>
        <v>2025</v>
      </c>
      <c r="E1571" s="22" t="s">
        <v>4980</v>
      </c>
      <c r="F1571" s="23" t="s">
        <v>4986</v>
      </c>
      <c r="G1571" s="18" t="s">
        <v>28</v>
      </c>
      <c r="H1571" s="24">
        <v>8000</v>
      </c>
      <c r="I1571" s="25" t="s">
        <v>20</v>
      </c>
      <c r="J1571" s="25" t="s">
        <v>4987</v>
      </c>
      <c r="K1571" s="26" t="s">
        <v>4988</v>
      </c>
      <c r="L1571" s="25" t="s">
        <v>47</v>
      </c>
      <c r="M1571" t="str">
        <f>TEXT(A1571,"dddd")</f>
        <v>Sunday</v>
      </c>
      <c r="N1571" s="35">
        <f>DATE(Table4[[#This Row],[year]],Table4[[#This Row],[month2]],Table4[[#This Row],[day]])</f>
        <v>45898</v>
      </c>
    </row>
    <row r="1572" spans="1:14" ht="16" x14ac:dyDescent="0.35">
      <c r="A1572" t="str">
        <f t="shared" si="48"/>
        <v>29</v>
      </c>
      <c r="B1572">
        <f>_xlfn.SWITCH(Table4[[#This Row],[month]],"jan",1,"feb",2,"mar",3,"apr",4,"may",5,"jun",6,"jul",7,"aug",8,"sep",9,"oct",10,"nov",11,"dec",12,"no month")</f>
        <v>8</v>
      </c>
      <c r="C1572" s="12" t="str">
        <f>LEFT('All Transactions'!$E1572,3)</f>
        <v>Aug</v>
      </c>
      <c r="D1572" s="12" t="str">
        <f t="shared" si="49"/>
        <v>2025</v>
      </c>
      <c r="E1572" s="16" t="s">
        <v>4980</v>
      </c>
      <c r="F1572" s="17" t="s">
        <v>4989</v>
      </c>
      <c r="G1572" s="18" t="s">
        <v>28</v>
      </c>
      <c r="H1572" s="19">
        <v>15000</v>
      </c>
      <c r="I1572" s="20" t="s">
        <v>4990</v>
      </c>
      <c r="J1572" s="20"/>
      <c r="K1572" s="21" t="s">
        <v>4991</v>
      </c>
      <c r="L1572" s="20" t="s">
        <v>32</v>
      </c>
      <c r="M1572" t="str">
        <f>TEXT(A1572,"dddd")</f>
        <v>Sunday</v>
      </c>
      <c r="N1572" s="35">
        <f>DATE(Table4[[#This Row],[year]],Table4[[#This Row],[month2]],Table4[[#This Row],[day]])</f>
        <v>45898</v>
      </c>
    </row>
    <row r="1573" spans="1:14" ht="16" x14ac:dyDescent="0.35">
      <c r="A1573" t="str">
        <f t="shared" si="48"/>
        <v>29</v>
      </c>
      <c r="B1573">
        <f>_xlfn.SWITCH(Table4[[#This Row],[month]],"jan",1,"feb",2,"mar",3,"apr",4,"may",5,"jun",6,"jul",7,"aug",8,"sep",9,"oct",10,"nov",11,"dec",12,"no month")</f>
        <v>8</v>
      </c>
      <c r="C1573" s="12" t="str">
        <f>LEFT('All Transactions'!$E1573,3)</f>
        <v>Aug</v>
      </c>
      <c r="D1573" s="12" t="str">
        <f t="shared" si="49"/>
        <v>2025</v>
      </c>
      <c r="E1573" s="22" t="s">
        <v>4980</v>
      </c>
      <c r="F1573" s="23" t="s">
        <v>1265</v>
      </c>
      <c r="G1573" s="18" t="s">
        <v>28</v>
      </c>
      <c r="H1573" s="24">
        <v>10000</v>
      </c>
      <c r="I1573" s="25" t="s">
        <v>4992</v>
      </c>
      <c r="J1573" s="25"/>
      <c r="K1573" s="26" t="s">
        <v>4993</v>
      </c>
      <c r="L1573" s="25" t="s">
        <v>32</v>
      </c>
      <c r="M1573" t="str">
        <f>TEXT(A1573,"dddd")</f>
        <v>Sunday</v>
      </c>
      <c r="N1573" s="35">
        <f>DATE(Table4[[#This Row],[year]],Table4[[#This Row],[month2]],Table4[[#This Row],[day]])</f>
        <v>45898</v>
      </c>
    </row>
    <row r="1574" spans="1:14" ht="16" x14ac:dyDescent="0.35">
      <c r="A1574" t="str">
        <f t="shared" si="48"/>
        <v>29</v>
      </c>
      <c r="B1574">
        <f>_xlfn.SWITCH(Table4[[#This Row],[month]],"jan",1,"feb",2,"mar",3,"apr",4,"may",5,"jun",6,"jul",7,"aug",8,"sep",9,"oct",10,"nov",11,"dec",12,"no month")</f>
        <v>8</v>
      </c>
      <c r="C1574" s="12" t="str">
        <f>LEFT('All Transactions'!$E1574,3)</f>
        <v>Aug</v>
      </c>
      <c r="D1574" s="12" t="str">
        <f t="shared" si="49"/>
        <v>2025</v>
      </c>
      <c r="E1574" s="16" t="s">
        <v>4980</v>
      </c>
      <c r="F1574" s="17" t="s">
        <v>4994</v>
      </c>
      <c r="G1574" s="18" t="s">
        <v>28</v>
      </c>
      <c r="H1574" s="19">
        <v>10000</v>
      </c>
      <c r="I1574" s="20" t="s">
        <v>12</v>
      </c>
      <c r="J1574" s="20" t="s">
        <v>4995</v>
      </c>
      <c r="K1574" s="21" t="s">
        <v>4996</v>
      </c>
      <c r="L1574" s="20" t="s">
        <v>47</v>
      </c>
      <c r="M1574" t="str">
        <f>TEXT(A1574,"dddd")</f>
        <v>Sunday</v>
      </c>
      <c r="N1574" s="35">
        <f>DATE(Table4[[#This Row],[year]],Table4[[#This Row],[month2]],Table4[[#This Row],[day]])</f>
        <v>45898</v>
      </c>
    </row>
    <row r="1575" spans="1:14" ht="16" x14ac:dyDescent="0.35">
      <c r="A1575" t="str">
        <f t="shared" si="48"/>
        <v>29</v>
      </c>
      <c r="B1575">
        <f>_xlfn.SWITCH(Table4[[#This Row],[month]],"jan",1,"feb",2,"mar",3,"apr",4,"may",5,"jun",6,"jul",7,"aug",8,"sep",9,"oct",10,"nov",11,"dec",12,"no month")</f>
        <v>8</v>
      </c>
      <c r="C1575" s="12" t="str">
        <f>LEFT('All Transactions'!$E1575,3)</f>
        <v>Aug</v>
      </c>
      <c r="D1575" s="12" t="str">
        <f t="shared" si="49"/>
        <v>2025</v>
      </c>
      <c r="E1575" s="22" t="s">
        <v>4980</v>
      </c>
      <c r="F1575" s="23" t="s">
        <v>1842</v>
      </c>
      <c r="G1575" s="27" t="s">
        <v>54</v>
      </c>
      <c r="H1575" s="24">
        <v>25000</v>
      </c>
      <c r="I1575" s="25" t="s">
        <v>1090</v>
      </c>
      <c r="J1575" s="25" t="s">
        <v>4997</v>
      </c>
      <c r="K1575" s="26" t="s">
        <v>4998</v>
      </c>
      <c r="L1575" s="25" t="s">
        <v>58</v>
      </c>
      <c r="M1575" t="str">
        <f>TEXT(A1575,"dddd")</f>
        <v>Sunday</v>
      </c>
      <c r="N1575" s="35">
        <f>DATE(Table4[[#This Row],[year]],Table4[[#This Row],[month2]],Table4[[#This Row],[day]])</f>
        <v>45898</v>
      </c>
    </row>
    <row r="1576" spans="1:14" ht="16" x14ac:dyDescent="0.35">
      <c r="A1576" t="str">
        <f t="shared" si="48"/>
        <v>29</v>
      </c>
      <c r="B1576">
        <f>_xlfn.SWITCH(Table4[[#This Row],[month]],"jan",1,"feb",2,"mar",3,"apr",4,"may",5,"jun",6,"jul",7,"aug",8,"sep",9,"oct",10,"nov",11,"dec",12,"no month")</f>
        <v>8</v>
      </c>
      <c r="C1576" s="12" t="str">
        <f>LEFT('All Transactions'!$E1576,3)</f>
        <v>Aug</v>
      </c>
      <c r="D1576" s="12" t="str">
        <f t="shared" si="49"/>
        <v>2025</v>
      </c>
      <c r="E1576" s="16" t="s">
        <v>4980</v>
      </c>
      <c r="F1576" s="17" t="s">
        <v>4834</v>
      </c>
      <c r="G1576" s="18" t="s">
        <v>28</v>
      </c>
      <c r="H1576" s="19">
        <v>80</v>
      </c>
      <c r="I1576" s="20" t="s">
        <v>4965</v>
      </c>
      <c r="J1576" s="20" t="s">
        <v>4999</v>
      </c>
      <c r="K1576" s="21" t="s">
        <v>5000</v>
      </c>
      <c r="L1576" s="20" t="s">
        <v>1808</v>
      </c>
      <c r="M1576" t="str">
        <f>TEXT(A1576,"dddd")</f>
        <v>Sunday</v>
      </c>
      <c r="N1576" s="35">
        <f>DATE(Table4[[#This Row],[year]],Table4[[#This Row],[month2]],Table4[[#This Row],[day]])</f>
        <v>45898</v>
      </c>
    </row>
    <row r="1577" spans="1:14" ht="16" x14ac:dyDescent="0.35">
      <c r="A1577" t="str">
        <f t="shared" si="48"/>
        <v>29</v>
      </c>
      <c r="B1577">
        <f>_xlfn.SWITCH(Table4[[#This Row],[month]],"jan",1,"feb",2,"mar",3,"apr",4,"may",5,"jun",6,"jul",7,"aug",8,"sep",9,"oct",10,"nov",11,"dec",12,"no month")</f>
        <v>8</v>
      </c>
      <c r="C1577" s="12" t="str">
        <f>LEFT('All Transactions'!$E1577,3)</f>
        <v>Aug</v>
      </c>
      <c r="D1577" s="12" t="str">
        <f t="shared" si="49"/>
        <v>2025</v>
      </c>
      <c r="E1577" s="22" t="s">
        <v>4980</v>
      </c>
      <c r="F1577" s="23" t="s">
        <v>5001</v>
      </c>
      <c r="G1577" s="18" t="s">
        <v>28</v>
      </c>
      <c r="H1577" s="24">
        <v>1800</v>
      </c>
      <c r="I1577" s="25" t="s">
        <v>13</v>
      </c>
      <c r="J1577" s="25" t="s">
        <v>5002</v>
      </c>
      <c r="K1577" s="26" t="s">
        <v>5003</v>
      </c>
      <c r="L1577" s="25" t="s">
        <v>47</v>
      </c>
      <c r="M1577" t="str">
        <f>TEXT(A1577,"dddd")</f>
        <v>Sunday</v>
      </c>
      <c r="N1577" s="35">
        <f>DATE(Table4[[#This Row],[year]],Table4[[#This Row],[month2]],Table4[[#This Row],[day]])</f>
        <v>45898</v>
      </c>
    </row>
    <row r="1578" spans="1:14" ht="16" x14ac:dyDescent="0.35">
      <c r="A1578" t="str">
        <f t="shared" si="48"/>
        <v>29</v>
      </c>
      <c r="B1578">
        <f>_xlfn.SWITCH(Table4[[#This Row],[month]],"jan",1,"feb",2,"mar",3,"apr",4,"may",5,"jun",6,"jul",7,"aug",8,"sep",9,"oct",10,"nov",11,"dec",12,"no month")</f>
        <v>8</v>
      </c>
      <c r="C1578" s="12" t="str">
        <f>LEFT('All Transactions'!$E1578,3)</f>
        <v>Aug</v>
      </c>
      <c r="D1578" s="12" t="str">
        <f t="shared" si="49"/>
        <v>2025</v>
      </c>
      <c r="E1578" s="16" t="s">
        <v>4980</v>
      </c>
      <c r="F1578" s="17" t="s">
        <v>5004</v>
      </c>
      <c r="G1578" s="18" t="s">
        <v>28</v>
      </c>
      <c r="H1578" s="19">
        <v>2700</v>
      </c>
      <c r="I1578" s="20" t="s">
        <v>13</v>
      </c>
      <c r="J1578" s="20" t="s">
        <v>5005</v>
      </c>
      <c r="K1578" s="21" t="s">
        <v>5006</v>
      </c>
      <c r="L1578" s="20" t="s">
        <v>47</v>
      </c>
      <c r="M1578" t="str">
        <f>TEXT(A1578,"dddd")</f>
        <v>Sunday</v>
      </c>
      <c r="N1578" s="35">
        <f>DATE(Table4[[#This Row],[year]],Table4[[#This Row],[month2]],Table4[[#This Row],[day]])</f>
        <v>45898</v>
      </c>
    </row>
    <row r="1579" spans="1:14" ht="16" x14ac:dyDescent="0.35">
      <c r="A1579" t="str">
        <f t="shared" si="48"/>
        <v>28</v>
      </c>
      <c r="B1579">
        <f>_xlfn.SWITCH(Table4[[#This Row],[month]],"jan",1,"feb",2,"mar",3,"apr",4,"may",5,"jun",6,"jul",7,"aug",8,"sep",9,"oct",10,"nov",11,"dec",12,"no month")</f>
        <v>8</v>
      </c>
      <c r="C1579" s="12" t="str">
        <f>LEFT('All Transactions'!$E1579,3)</f>
        <v>Aug</v>
      </c>
      <c r="D1579" s="12" t="str">
        <f t="shared" si="49"/>
        <v>2025</v>
      </c>
      <c r="E1579" s="22" t="s">
        <v>5007</v>
      </c>
      <c r="F1579" s="23" t="s">
        <v>5008</v>
      </c>
      <c r="G1579" s="18" t="s">
        <v>28</v>
      </c>
      <c r="H1579" s="24">
        <v>140</v>
      </c>
      <c r="I1579" s="25" t="s">
        <v>5009</v>
      </c>
      <c r="J1579" s="25" t="s">
        <v>5010</v>
      </c>
      <c r="K1579" s="26" t="s">
        <v>5011</v>
      </c>
      <c r="L1579" s="25" t="s">
        <v>32</v>
      </c>
      <c r="M1579" t="str">
        <f>TEXT(A1579,"dddd")</f>
        <v>Saturday</v>
      </c>
      <c r="N1579" s="35">
        <f>DATE(Table4[[#This Row],[year]],Table4[[#This Row],[month2]],Table4[[#This Row],[day]])</f>
        <v>45897</v>
      </c>
    </row>
    <row r="1580" spans="1:14" ht="16" x14ac:dyDescent="0.35">
      <c r="A1580" t="str">
        <f t="shared" si="48"/>
        <v>28</v>
      </c>
      <c r="B1580">
        <f>_xlfn.SWITCH(Table4[[#This Row],[month]],"jan",1,"feb",2,"mar",3,"apr",4,"may",5,"jun",6,"jul",7,"aug",8,"sep",9,"oct",10,"nov",11,"dec",12,"no month")</f>
        <v>8</v>
      </c>
      <c r="C1580" s="12" t="str">
        <f>LEFT('All Transactions'!$E1580,3)</f>
        <v>Aug</v>
      </c>
      <c r="D1580" s="12" t="str">
        <f t="shared" si="49"/>
        <v>2025</v>
      </c>
      <c r="E1580" s="16" t="s">
        <v>5007</v>
      </c>
      <c r="F1580" s="17" t="s">
        <v>1571</v>
      </c>
      <c r="G1580" s="18" t="s">
        <v>28</v>
      </c>
      <c r="H1580" s="19">
        <v>400</v>
      </c>
      <c r="I1580" s="20" t="s">
        <v>20</v>
      </c>
      <c r="J1580" s="20" t="s">
        <v>5012</v>
      </c>
      <c r="K1580" s="21" t="s">
        <v>5013</v>
      </c>
      <c r="L1580" s="20" t="s">
        <v>1808</v>
      </c>
      <c r="M1580" t="str">
        <f>TEXT(A1580,"dddd")</f>
        <v>Saturday</v>
      </c>
      <c r="N1580" s="35">
        <f>DATE(Table4[[#This Row],[year]],Table4[[#This Row],[month2]],Table4[[#This Row],[day]])</f>
        <v>45897</v>
      </c>
    </row>
    <row r="1581" spans="1:14" ht="16" x14ac:dyDescent="0.35">
      <c r="A1581" t="str">
        <f t="shared" si="48"/>
        <v>28</v>
      </c>
      <c r="B1581">
        <f>_xlfn.SWITCH(Table4[[#This Row],[month]],"jan",1,"feb",2,"mar",3,"apr",4,"may",5,"jun",6,"jul",7,"aug",8,"sep",9,"oct",10,"nov",11,"dec",12,"no month")</f>
        <v>8</v>
      </c>
      <c r="C1581" s="12" t="str">
        <f>LEFT('All Transactions'!$E1581,3)</f>
        <v>Aug</v>
      </c>
      <c r="D1581" s="12" t="str">
        <f t="shared" si="49"/>
        <v>2025</v>
      </c>
      <c r="E1581" s="22" t="s">
        <v>5007</v>
      </c>
      <c r="F1581" s="23" t="s">
        <v>5014</v>
      </c>
      <c r="G1581" s="18" t="s">
        <v>28</v>
      </c>
      <c r="H1581" s="24">
        <v>6000</v>
      </c>
      <c r="I1581" s="25" t="s">
        <v>10</v>
      </c>
      <c r="J1581" s="25" t="s">
        <v>5015</v>
      </c>
      <c r="K1581" s="26" t="s">
        <v>5016</v>
      </c>
      <c r="L1581" s="25" t="s">
        <v>32</v>
      </c>
      <c r="M1581" t="str">
        <f>TEXT(A1581,"dddd")</f>
        <v>Saturday</v>
      </c>
      <c r="N1581" s="35">
        <f>DATE(Table4[[#This Row],[year]],Table4[[#This Row],[month2]],Table4[[#This Row],[day]])</f>
        <v>45897</v>
      </c>
    </row>
    <row r="1582" spans="1:14" ht="16" x14ac:dyDescent="0.35">
      <c r="A1582" t="str">
        <f t="shared" si="48"/>
        <v>28</v>
      </c>
      <c r="B1582">
        <f>_xlfn.SWITCH(Table4[[#This Row],[month]],"jan",1,"feb",2,"mar",3,"apr",4,"may",5,"jun",6,"jul",7,"aug",8,"sep",9,"oct",10,"nov",11,"dec",12,"no month")</f>
        <v>8</v>
      </c>
      <c r="C1582" s="12" t="str">
        <f>LEFT('All Transactions'!$E1582,3)</f>
        <v>Aug</v>
      </c>
      <c r="D1582" s="12" t="str">
        <f t="shared" si="49"/>
        <v>2025</v>
      </c>
      <c r="E1582" s="16" t="s">
        <v>5007</v>
      </c>
      <c r="F1582" s="17" t="s">
        <v>2263</v>
      </c>
      <c r="G1582" s="27" t="s">
        <v>54</v>
      </c>
      <c r="H1582" s="19">
        <v>6000</v>
      </c>
      <c r="I1582" s="20" t="s">
        <v>156</v>
      </c>
      <c r="J1582" s="20" t="s">
        <v>5017</v>
      </c>
      <c r="K1582" s="21" t="s">
        <v>5018</v>
      </c>
      <c r="L1582" s="20" t="s">
        <v>58</v>
      </c>
      <c r="M1582" t="str">
        <f>TEXT(A1582,"dddd")</f>
        <v>Saturday</v>
      </c>
      <c r="N1582" s="35">
        <f>DATE(Table4[[#This Row],[year]],Table4[[#This Row],[month2]],Table4[[#This Row],[day]])</f>
        <v>45897</v>
      </c>
    </row>
    <row r="1583" spans="1:14" ht="16" x14ac:dyDescent="0.35">
      <c r="A1583" t="str">
        <f t="shared" si="48"/>
        <v>28</v>
      </c>
      <c r="B1583">
        <f>_xlfn.SWITCH(Table4[[#This Row],[month]],"jan",1,"feb",2,"mar",3,"apr",4,"may",5,"jun",6,"jul",7,"aug",8,"sep",9,"oct",10,"nov",11,"dec",12,"no month")</f>
        <v>8</v>
      </c>
      <c r="C1583" s="12" t="str">
        <f>LEFT('All Transactions'!$E1583,3)</f>
        <v>Aug</v>
      </c>
      <c r="D1583" s="12" t="str">
        <f t="shared" si="49"/>
        <v>2025</v>
      </c>
      <c r="E1583" s="22" t="s">
        <v>5007</v>
      </c>
      <c r="F1583" s="23" t="s">
        <v>2263</v>
      </c>
      <c r="G1583" s="27" t="s">
        <v>54</v>
      </c>
      <c r="H1583" s="24">
        <v>1</v>
      </c>
      <c r="I1583" s="25" t="s">
        <v>156</v>
      </c>
      <c r="J1583" s="25" t="s">
        <v>5019</v>
      </c>
      <c r="K1583" s="26" t="s">
        <v>5020</v>
      </c>
      <c r="L1583" s="25" t="s">
        <v>58</v>
      </c>
      <c r="M1583" t="str">
        <f>TEXT(A1583,"dddd")</f>
        <v>Saturday</v>
      </c>
      <c r="N1583" s="35">
        <f>DATE(Table4[[#This Row],[year]],Table4[[#This Row],[month2]],Table4[[#This Row],[day]])</f>
        <v>45897</v>
      </c>
    </row>
    <row r="1584" spans="1:14" ht="16" x14ac:dyDescent="0.35">
      <c r="A1584" t="str">
        <f t="shared" si="48"/>
        <v>28</v>
      </c>
      <c r="B1584">
        <f>_xlfn.SWITCH(Table4[[#This Row],[month]],"jan",1,"feb",2,"mar",3,"apr",4,"may",5,"jun",6,"jul",7,"aug",8,"sep",9,"oct",10,"nov",11,"dec",12,"no month")</f>
        <v>8</v>
      </c>
      <c r="C1584" s="12" t="str">
        <f>LEFT('All Transactions'!$E1584,3)</f>
        <v>Aug</v>
      </c>
      <c r="D1584" s="12" t="str">
        <f t="shared" si="49"/>
        <v>2025</v>
      </c>
      <c r="E1584" s="16" t="s">
        <v>5007</v>
      </c>
      <c r="F1584" s="17" t="s">
        <v>2695</v>
      </c>
      <c r="G1584" s="18" t="s">
        <v>28</v>
      </c>
      <c r="H1584" s="19">
        <v>6000</v>
      </c>
      <c r="I1584" s="20" t="s">
        <v>12</v>
      </c>
      <c r="J1584" s="20" t="s">
        <v>5021</v>
      </c>
      <c r="K1584" s="21" t="s">
        <v>5022</v>
      </c>
      <c r="L1584" s="20" t="s">
        <v>1808</v>
      </c>
      <c r="M1584" t="str">
        <f>TEXT(A1584,"dddd")</f>
        <v>Saturday</v>
      </c>
      <c r="N1584" s="35">
        <f>DATE(Table4[[#This Row],[year]],Table4[[#This Row],[month2]],Table4[[#This Row],[day]])</f>
        <v>45897</v>
      </c>
    </row>
    <row r="1585" spans="1:14" ht="16" x14ac:dyDescent="0.35">
      <c r="A1585" t="str">
        <f t="shared" si="48"/>
        <v>28</v>
      </c>
      <c r="B1585">
        <f>_xlfn.SWITCH(Table4[[#This Row],[month]],"jan",1,"feb",2,"mar",3,"apr",4,"may",5,"jun",6,"jul",7,"aug",8,"sep",9,"oct",10,"nov",11,"dec",12,"no month")</f>
        <v>8</v>
      </c>
      <c r="C1585" s="12" t="str">
        <f>LEFT('All Transactions'!$E1585,3)</f>
        <v>Aug</v>
      </c>
      <c r="D1585" s="12" t="str">
        <f t="shared" si="49"/>
        <v>2025</v>
      </c>
      <c r="E1585" s="22" t="s">
        <v>5007</v>
      </c>
      <c r="F1585" s="23" t="s">
        <v>4190</v>
      </c>
      <c r="G1585" s="27" t="s">
        <v>54</v>
      </c>
      <c r="H1585" s="24">
        <v>6000</v>
      </c>
      <c r="I1585" s="25" t="s">
        <v>156</v>
      </c>
      <c r="J1585" s="25" t="s">
        <v>5023</v>
      </c>
      <c r="K1585" s="26" t="s">
        <v>5024</v>
      </c>
      <c r="L1585" s="25" t="s">
        <v>2330</v>
      </c>
      <c r="M1585" t="str">
        <f>TEXT(A1585,"dddd")</f>
        <v>Saturday</v>
      </c>
      <c r="N1585" s="35">
        <f>DATE(Table4[[#This Row],[year]],Table4[[#This Row],[month2]],Table4[[#This Row],[day]])</f>
        <v>45897</v>
      </c>
    </row>
    <row r="1586" spans="1:14" ht="16" x14ac:dyDescent="0.35">
      <c r="A1586" t="str">
        <f t="shared" si="48"/>
        <v>28</v>
      </c>
      <c r="B1586">
        <f>_xlfn.SWITCH(Table4[[#This Row],[month]],"jan",1,"feb",2,"mar",3,"apr",4,"may",5,"jun",6,"jul",7,"aug",8,"sep",9,"oct",10,"nov",11,"dec",12,"no month")</f>
        <v>8</v>
      </c>
      <c r="C1586" s="12" t="str">
        <f>LEFT('All Transactions'!$E1586,3)</f>
        <v>Aug</v>
      </c>
      <c r="D1586" s="12" t="str">
        <f t="shared" si="49"/>
        <v>2025</v>
      </c>
      <c r="E1586" s="16" t="s">
        <v>5007</v>
      </c>
      <c r="F1586" s="17" t="s">
        <v>328</v>
      </c>
      <c r="G1586" s="18" t="s">
        <v>28</v>
      </c>
      <c r="H1586" s="19">
        <v>20</v>
      </c>
      <c r="I1586" s="20" t="s">
        <v>5025</v>
      </c>
      <c r="J1586" s="20" t="s">
        <v>5026</v>
      </c>
      <c r="K1586" s="21" t="s">
        <v>5027</v>
      </c>
      <c r="L1586" s="20" t="s">
        <v>1808</v>
      </c>
      <c r="M1586" t="str">
        <f>TEXT(A1586,"dddd")</f>
        <v>Saturday</v>
      </c>
      <c r="N1586" s="35">
        <f>DATE(Table4[[#This Row],[year]],Table4[[#This Row],[month2]],Table4[[#This Row],[day]])</f>
        <v>45897</v>
      </c>
    </row>
    <row r="1587" spans="1:14" ht="16" x14ac:dyDescent="0.35">
      <c r="A1587" t="str">
        <f t="shared" si="48"/>
        <v>27</v>
      </c>
      <c r="B1587">
        <f>_xlfn.SWITCH(Table4[[#This Row],[month]],"jan",1,"feb",2,"mar",3,"apr",4,"may",5,"jun",6,"jul",7,"aug",8,"sep",9,"oct",10,"nov",11,"dec",12,"no month")</f>
        <v>8</v>
      </c>
      <c r="C1587" s="12" t="str">
        <f>LEFT('All Transactions'!$E1587,3)</f>
        <v>Aug</v>
      </c>
      <c r="D1587" s="12" t="str">
        <f t="shared" si="49"/>
        <v>2025</v>
      </c>
      <c r="E1587" s="22" t="s">
        <v>5028</v>
      </c>
      <c r="F1587" s="23" t="s">
        <v>1029</v>
      </c>
      <c r="G1587" s="18" t="s">
        <v>28</v>
      </c>
      <c r="H1587" s="24">
        <v>500</v>
      </c>
      <c r="I1587" s="25" t="s">
        <v>5029</v>
      </c>
      <c r="J1587" s="25" t="s">
        <v>5030</v>
      </c>
      <c r="K1587" s="26" t="s">
        <v>5031</v>
      </c>
      <c r="L1587" s="25" t="s">
        <v>1808</v>
      </c>
      <c r="M1587" t="str">
        <f>TEXT(A1587,"dddd")</f>
        <v>Friday</v>
      </c>
      <c r="N1587" s="35">
        <f>DATE(Table4[[#This Row],[year]],Table4[[#This Row],[month2]],Table4[[#This Row],[day]])</f>
        <v>45896</v>
      </c>
    </row>
    <row r="1588" spans="1:14" ht="16" x14ac:dyDescent="0.35">
      <c r="A1588" t="str">
        <f t="shared" si="48"/>
        <v>27</v>
      </c>
      <c r="B1588">
        <f>_xlfn.SWITCH(Table4[[#This Row],[month]],"jan",1,"feb",2,"mar",3,"apr",4,"may",5,"jun",6,"jul",7,"aug",8,"sep",9,"oct",10,"nov",11,"dec",12,"no month")</f>
        <v>8</v>
      </c>
      <c r="C1588" s="12" t="str">
        <f>LEFT('All Transactions'!$E1588,3)</f>
        <v>Aug</v>
      </c>
      <c r="D1588" s="12" t="str">
        <f t="shared" si="49"/>
        <v>2025</v>
      </c>
      <c r="E1588" s="16" t="s">
        <v>5028</v>
      </c>
      <c r="F1588" s="17" t="s">
        <v>1998</v>
      </c>
      <c r="G1588" s="27" t="s">
        <v>54</v>
      </c>
      <c r="H1588" s="19">
        <v>500</v>
      </c>
      <c r="I1588" s="20" t="s">
        <v>1075</v>
      </c>
      <c r="J1588" s="20" t="s">
        <v>5032</v>
      </c>
      <c r="K1588" s="21" t="s">
        <v>5033</v>
      </c>
      <c r="L1588" s="20" t="s">
        <v>2330</v>
      </c>
      <c r="M1588" t="str">
        <f>TEXT(A1588,"dddd")</f>
        <v>Friday</v>
      </c>
      <c r="N1588" s="35">
        <f>DATE(Table4[[#This Row],[year]],Table4[[#This Row],[month2]],Table4[[#This Row],[day]])</f>
        <v>45896</v>
      </c>
    </row>
    <row r="1589" spans="1:14" ht="16" x14ac:dyDescent="0.35">
      <c r="A1589" t="str">
        <f t="shared" si="48"/>
        <v>27</v>
      </c>
      <c r="B1589">
        <f>_xlfn.SWITCH(Table4[[#This Row],[month]],"jan",1,"feb",2,"mar",3,"apr",4,"may",5,"jun",6,"jul",7,"aug",8,"sep",9,"oct",10,"nov",11,"dec",12,"no month")</f>
        <v>8</v>
      </c>
      <c r="C1589" s="12" t="str">
        <f>LEFT('All Transactions'!$E1589,3)</f>
        <v>Aug</v>
      </c>
      <c r="D1589" s="12" t="str">
        <f t="shared" si="49"/>
        <v>2025</v>
      </c>
      <c r="E1589" s="22" t="s">
        <v>5028</v>
      </c>
      <c r="F1589" s="23" t="s">
        <v>3369</v>
      </c>
      <c r="G1589" s="18" t="s">
        <v>28</v>
      </c>
      <c r="H1589" s="24">
        <v>2000</v>
      </c>
      <c r="I1589" s="25" t="s">
        <v>13</v>
      </c>
      <c r="J1589" s="25" t="s">
        <v>5034</v>
      </c>
      <c r="K1589" s="26" t="s">
        <v>5035</v>
      </c>
      <c r="L1589" s="25" t="s">
        <v>47</v>
      </c>
      <c r="M1589" t="str">
        <f>TEXT(A1589,"dddd")</f>
        <v>Friday</v>
      </c>
      <c r="N1589" s="35">
        <f>DATE(Table4[[#This Row],[year]],Table4[[#This Row],[month2]],Table4[[#This Row],[day]])</f>
        <v>45896</v>
      </c>
    </row>
    <row r="1590" spans="1:14" ht="16" x14ac:dyDescent="0.35">
      <c r="A1590" t="str">
        <f t="shared" si="48"/>
        <v>27</v>
      </c>
      <c r="B1590">
        <f>_xlfn.SWITCH(Table4[[#This Row],[month]],"jan",1,"feb",2,"mar",3,"apr",4,"may",5,"jun",6,"jul",7,"aug",8,"sep",9,"oct",10,"nov",11,"dec",12,"no month")</f>
        <v>8</v>
      </c>
      <c r="C1590" s="12" t="str">
        <f>LEFT('All Transactions'!$E1590,3)</f>
        <v>Aug</v>
      </c>
      <c r="D1590" s="12" t="str">
        <f t="shared" si="49"/>
        <v>2025</v>
      </c>
      <c r="E1590" s="16" t="s">
        <v>5028</v>
      </c>
      <c r="F1590" s="17" t="s">
        <v>2114</v>
      </c>
      <c r="G1590" s="18" t="s">
        <v>28</v>
      </c>
      <c r="H1590" s="19">
        <v>101</v>
      </c>
      <c r="I1590" s="20" t="s">
        <v>5036</v>
      </c>
      <c r="J1590" s="20" t="s">
        <v>5037</v>
      </c>
      <c r="K1590" s="21" t="s">
        <v>5038</v>
      </c>
      <c r="L1590" s="20" t="s">
        <v>32</v>
      </c>
      <c r="M1590" t="str">
        <f>TEXT(A1590,"dddd")</f>
        <v>Friday</v>
      </c>
      <c r="N1590" s="35">
        <f>DATE(Table4[[#This Row],[year]],Table4[[#This Row],[month2]],Table4[[#This Row],[day]])</f>
        <v>45896</v>
      </c>
    </row>
    <row r="1591" spans="1:14" ht="16" x14ac:dyDescent="0.35">
      <c r="A1591" t="str">
        <f t="shared" si="48"/>
        <v>27</v>
      </c>
      <c r="B1591">
        <f>_xlfn.SWITCH(Table4[[#This Row],[month]],"jan",1,"feb",2,"mar",3,"apr",4,"may",5,"jun",6,"jul",7,"aug",8,"sep",9,"oct",10,"nov",11,"dec",12,"no month")</f>
        <v>8</v>
      </c>
      <c r="C1591" s="12" t="str">
        <f>LEFT('All Transactions'!$E1591,3)</f>
        <v>Aug</v>
      </c>
      <c r="D1591" s="12" t="str">
        <f t="shared" si="49"/>
        <v>2025</v>
      </c>
      <c r="E1591" s="22" t="s">
        <v>5028</v>
      </c>
      <c r="F1591" s="23" t="s">
        <v>2908</v>
      </c>
      <c r="G1591" s="18" t="s">
        <v>28</v>
      </c>
      <c r="H1591" s="24">
        <v>20</v>
      </c>
      <c r="I1591" s="25" t="s">
        <v>4160</v>
      </c>
      <c r="J1591" s="25" t="s">
        <v>5039</v>
      </c>
      <c r="K1591" s="26" t="s">
        <v>5040</v>
      </c>
      <c r="L1591" s="25" t="s">
        <v>1808</v>
      </c>
      <c r="M1591" t="str">
        <f>TEXT(A1591,"dddd")</f>
        <v>Friday</v>
      </c>
      <c r="N1591" s="35">
        <f>DATE(Table4[[#This Row],[year]],Table4[[#This Row],[month2]],Table4[[#This Row],[day]])</f>
        <v>45896</v>
      </c>
    </row>
    <row r="1592" spans="1:14" ht="16" x14ac:dyDescent="0.35">
      <c r="A1592" t="str">
        <f t="shared" si="48"/>
        <v>27</v>
      </c>
      <c r="B1592">
        <f>_xlfn.SWITCH(Table4[[#This Row],[month]],"jan",1,"feb",2,"mar",3,"apr",4,"may",5,"jun",6,"jul",7,"aug",8,"sep",9,"oct",10,"nov",11,"dec",12,"no month")</f>
        <v>8</v>
      </c>
      <c r="C1592" s="12" t="str">
        <f>LEFT('All Transactions'!$E1592,3)</f>
        <v>Aug</v>
      </c>
      <c r="D1592" s="12" t="str">
        <f t="shared" si="49"/>
        <v>2025</v>
      </c>
      <c r="E1592" s="16" t="s">
        <v>5028</v>
      </c>
      <c r="F1592" s="17" t="s">
        <v>3526</v>
      </c>
      <c r="G1592" s="18" t="s">
        <v>28</v>
      </c>
      <c r="H1592" s="19">
        <v>80</v>
      </c>
      <c r="I1592" s="20" t="s">
        <v>5041</v>
      </c>
      <c r="J1592" s="20" t="s">
        <v>5042</v>
      </c>
      <c r="K1592" s="21" t="s">
        <v>5043</v>
      </c>
      <c r="L1592" s="20" t="s">
        <v>1808</v>
      </c>
      <c r="M1592" t="str">
        <f>TEXT(A1592,"dddd")</f>
        <v>Friday</v>
      </c>
      <c r="N1592" s="35">
        <f>DATE(Table4[[#This Row],[year]],Table4[[#This Row],[month2]],Table4[[#This Row],[day]])</f>
        <v>45896</v>
      </c>
    </row>
    <row r="1593" spans="1:14" ht="16" x14ac:dyDescent="0.35">
      <c r="A1593" t="str">
        <f t="shared" si="48"/>
        <v>27</v>
      </c>
      <c r="B1593">
        <f>_xlfn.SWITCH(Table4[[#This Row],[month]],"jan",1,"feb",2,"mar",3,"apr",4,"may",5,"jun",6,"jul",7,"aug",8,"sep",9,"oct",10,"nov",11,"dec",12,"no month")</f>
        <v>8</v>
      </c>
      <c r="C1593" s="12" t="str">
        <f>LEFT('All Transactions'!$E1593,3)</f>
        <v>Aug</v>
      </c>
      <c r="D1593" s="12" t="str">
        <f t="shared" si="49"/>
        <v>2025</v>
      </c>
      <c r="E1593" s="22" t="s">
        <v>5028</v>
      </c>
      <c r="F1593" s="23" t="s">
        <v>5044</v>
      </c>
      <c r="G1593" s="18" t="s">
        <v>28</v>
      </c>
      <c r="H1593" s="24">
        <v>30</v>
      </c>
      <c r="I1593" s="25" t="s">
        <v>5045</v>
      </c>
      <c r="J1593" s="25" t="s">
        <v>5046</v>
      </c>
      <c r="K1593" s="26" t="s">
        <v>5047</v>
      </c>
      <c r="L1593" s="25" t="s">
        <v>1808</v>
      </c>
      <c r="M1593" t="str">
        <f>TEXT(A1593,"dddd")</f>
        <v>Friday</v>
      </c>
      <c r="N1593" s="35">
        <f>DATE(Table4[[#This Row],[year]],Table4[[#This Row],[month2]],Table4[[#This Row],[day]])</f>
        <v>45896</v>
      </c>
    </row>
    <row r="1594" spans="1:14" ht="16" x14ac:dyDescent="0.35">
      <c r="A1594" t="str">
        <f t="shared" si="48"/>
        <v>27</v>
      </c>
      <c r="B1594">
        <f>_xlfn.SWITCH(Table4[[#This Row],[month]],"jan",1,"feb",2,"mar",3,"apr",4,"may",5,"jun",6,"jul",7,"aug",8,"sep",9,"oct",10,"nov",11,"dec",12,"no month")</f>
        <v>8</v>
      </c>
      <c r="C1594" s="12" t="str">
        <f>LEFT('All Transactions'!$E1594,3)</f>
        <v>Aug</v>
      </c>
      <c r="D1594" s="12" t="str">
        <f t="shared" si="49"/>
        <v>2025</v>
      </c>
      <c r="E1594" s="16" t="s">
        <v>5028</v>
      </c>
      <c r="F1594" s="17" t="s">
        <v>5048</v>
      </c>
      <c r="G1594" s="18" t="s">
        <v>28</v>
      </c>
      <c r="H1594" s="19">
        <v>500</v>
      </c>
      <c r="I1594" s="20" t="s">
        <v>5045</v>
      </c>
      <c r="J1594" s="20" t="s">
        <v>5049</v>
      </c>
      <c r="K1594" s="21" t="s">
        <v>5050</v>
      </c>
      <c r="L1594" s="20" t="s">
        <v>1808</v>
      </c>
      <c r="M1594" t="str">
        <f>TEXT(A1594,"dddd")</f>
        <v>Friday</v>
      </c>
      <c r="N1594" s="35">
        <f>DATE(Table4[[#This Row],[year]],Table4[[#This Row],[month2]],Table4[[#This Row],[day]])</f>
        <v>45896</v>
      </c>
    </row>
    <row r="1595" spans="1:14" ht="16" x14ac:dyDescent="0.35">
      <c r="A1595" t="str">
        <f t="shared" si="48"/>
        <v>27</v>
      </c>
      <c r="B1595">
        <f>_xlfn.SWITCH(Table4[[#This Row],[month]],"jan",1,"feb",2,"mar",3,"apr",4,"may",5,"jun",6,"jul",7,"aug",8,"sep",9,"oct",10,"nov",11,"dec",12,"no month")</f>
        <v>8</v>
      </c>
      <c r="C1595" s="12" t="str">
        <f>LEFT('All Transactions'!$E1595,3)</f>
        <v>Aug</v>
      </c>
      <c r="D1595" s="12" t="str">
        <f t="shared" si="49"/>
        <v>2025</v>
      </c>
      <c r="E1595" s="22" t="s">
        <v>5028</v>
      </c>
      <c r="F1595" s="23" t="s">
        <v>5051</v>
      </c>
      <c r="G1595" s="27" t="s">
        <v>54</v>
      </c>
      <c r="H1595" s="24">
        <v>550</v>
      </c>
      <c r="I1595" s="25" t="s">
        <v>1090</v>
      </c>
      <c r="J1595" s="25" t="s">
        <v>5052</v>
      </c>
      <c r="K1595" s="26" t="s">
        <v>5053</v>
      </c>
      <c r="L1595" s="25" t="s">
        <v>2330</v>
      </c>
      <c r="M1595" t="str">
        <f>TEXT(A1595,"dddd")</f>
        <v>Friday</v>
      </c>
      <c r="N1595" s="35">
        <f>DATE(Table4[[#This Row],[year]],Table4[[#This Row],[month2]],Table4[[#This Row],[day]])</f>
        <v>45896</v>
      </c>
    </row>
    <row r="1596" spans="1:14" ht="16" x14ac:dyDescent="0.35">
      <c r="A1596" t="str">
        <f t="shared" si="48"/>
        <v>26</v>
      </c>
      <c r="B1596">
        <f>_xlfn.SWITCH(Table4[[#This Row],[month]],"jan",1,"feb",2,"mar",3,"apr",4,"may",5,"jun",6,"jul",7,"aug",8,"sep",9,"oct",10,"nov",11,"dec",12,"no month")</f>
        <v>8</v>
      </c>
      <c r="C1596" s="12" t="str">
        <f>LEFT('All Transactions'!$E1596,3)</f>
        <v>Aug</v>
      </c>
      <c r="D1596" s="12" t="str">
        <f t="shared" si="49"/>
        <v>2025</v>
      </c>
      <c r="E1596" s="16" t="s">
        <v>5054</v>
      </c>
      <c r="F1596" s="17" t="s">
        <v>1393</v>
      </c>
      <c r="G1596" s="18" t="s">
        <v>28</v>
      </c>
      <c r="H1596" s="19">
        <v>60</v>
      </c>
      <c r="I1596" s="20" t="s">
        <v>5055</v>
      </c>
      <c r="J1596" s="20" t="s">
        <v>5056</v>
      </c>
      <c r="K1596" s="21" t="s">
        <v>5057</v>
      </c>
      <c r="L1596" s="20" t="s">
        <v>32</v>
      </c>
      <c r="M1596" t="str">
        <f>TEXT(A1596,"dddd")</f>
        <v>Thursday</v>
      </c>
      <c r="N1596" s="35">
        <f>DATE(Table4[[#This Row],[year]],Table4[[#This Row],[month2]],Table4[[#This Row],[day]])</f>
        <v>45895</v>
      </c>
    </row>
    <row r="1597" spans="1:14" ht="16" x14ac:dyDescent="0.35">
      <c r="A1597" t="str">
        <f t="shared" si="48"/>
        <v>26</v>
      </c>
      <c r="B1597">
        <f>_xlfn.SWITCH(Table4[[#This Row],[month]],"jan",1,"feb",2,"mar",3,"apr",4,"may",5,"jun",6,"jul",7,"aug",8,"sep",9,"oct",10,"nov",11,"dec",12,"no month")</f>
        <v>8</v>
      </c>
      <c r="C1597" s="12" t="str">
        <f>LEFT('All Transactions'!$E1597,3)</f>
        <v>Aug</v>
      </c>
      <c r="D1597" s="12" t="str">
        <f t="shared" si="49"/>
        <v>2025</v>
      </c>
      <c r="E1597" s="22" t="s">
        <v>5054</v>
      </c>
      <c r="F1597" s="23" t="s">
        <v>5058</v>
      </c>
      <c r="G1597" s="18" t="s">
        <v>28</v>
      </c>
      <c r="H1597" s="24">
        <v>40</v>
      </c>
      <c r="I1597" s="25" t="s">
        <v>3951</v>
      </c>
      <c r="J1597" s="25" t="s">
        <v>5059</v>
      </c>
      <c r="K1597" s="26" t="s">
        <v>5060</v>
      </c>
      <c r="L1597" s="25" t="s">
        <v>32</v>
      </c>
      <c r="M1597" t="str">
        <f>TEXT(A1597,"dddd")</f>
        <v>Thursday</v>
      </c>
      <c r="N1597" s="35">
        <f>DATE(Table4[[#This Row],[year]],Table4[[#This Row],[month2]],Table4[[#This Row],[day]])</f>
        <v>45895</v>
      </c>
    </row>
    <row r="1598" spans="1:14" ht="16" x14ac:dyDescent="0.35">
      <c r="A1598" t="str">
        <f t="shared" si="48"/>
        <v>26</v>
      </c>
      <c r="B1598">
        <f>_xlfn.SWITCH(Table4[[#This Row],[month]],"jan",1,"feb",2,"mar",3,"apr",4,"may",5,"jun",6,"jul",7,"aug",8,"sep",9,"oct",10,"nov",11,"dec",12,"no month")</f>
        <v>8</v>
      </c>
      <c r="C1598" s="12" t="str">
        <f>LEFT('All Transactions'!$E1598,3)</f>
        <v>Aug</v>
      </c>
      <c r="D1598" s="12" t="str">
        <f t="shared" si="49"/>
        <v>2025</v>
      </c>
      <c r="E1598" s="16" t="s">
        <v>5054</v>
      </c>
      <c r="F1598" s="17" t="s">
        <v>1618</v>
      </c>
      <c r="G1598" s="18" t="s">
        <v>28</v>
      </c>
      <c r="H1598" s="19">
        <v>14400</v>
      </c>
      <c r="I1598" s="20" t="s">
        <v>10</v>
      </c>
      <c r="J1598" s="20" t="s">
        <v>5061</v>
      </c>
      <c r="K1598" s="21" t="s">
        <v>5062</v>
      </c>
      <c r="L1598" s="20" t="s">
        <v>1808</v>
      </c>
      <c r="M1598" t="str">
        <f>TEXT(A1598,"dddd")</f>
        <v>Thursday</v>
      </c>
      <c r="N1598" s="35">
        <f>DATE(Table4[[#This Row],[year]],Table4[[#This Row],[month2]],Table4[[#This Row],[day]])</f>
        <v>45895</v>
      </c>
    </row>
    <row r="1599" spans="1:14" ht="16" x14ac:dyDescent="0.35">
      <c r="A1599" t="str">
        <f t="shared" si="48"/>
        <v>26</v>
      </c>
      <c r="B1599">
        <f>_xlfn.SWITCH(Table4[[#This Row],[month]],"jan",1,"feb",2,"mar",3,"apr",4,"may",5,"jun",6,"jul",7,"aug",8,"sep",9,"oct",10,"nov",11,"dec",12,"no month")</f>
        <v>8</v>
      </c>
      <c r="C1599" s="12" t="str">
        <f>LEFT('All Transactions'!$E1599,3)</f>
        <v>Aug</v>
      </c>
      <c r="D1599" s="12" t="str">
        <f t="shared" si="49"/>
        <v>2025</v>
      </c>
      <c r="E1599" s="22" t="s">
        <v>5054</v>
      </c>
      <c r="F1599" s="23" t="s">
        <v>2313</v>
      </c>
      <c r="G1599" s="18" t="s">
        <v>28</v>
      </c>
      <c r="H1599" s="24">
        <v>14400</v>
      </c>
      <c r="I1599" s="25" t="s">
        <v>13</v>
      </c>
      <c r="J1599" s="25" t="s">
        <v>5063</v>
      </c>
      <c r="K1599" s="26" t="s">
        <v>5064</v>
      </c>
      <c r="L1599" s="25" t="s">
        <v>47</v>
      </c>
      <c r="M1599" t="str">
        <f>TEXT(A1599,"dddd")</f>
        <v>Thursday</v>
      </c>
      <c r="N1599" s="35">
        <f>DATE(Table4[[#This Row],[year]],Table4[[#This Row],[month2]],Table4[[#This Row],[day]])</f>
        <v>45895</v>
      </c>
    </row>
    <row r="1600" spans="1:14" ht="16" x14ac:dyDescent="0.35">
      <c r="A1600" t="str">
        <f t="shared" si="48"/>
        <v>26</v>
      </c>
      <c r="B1600">
        <f>_xlfn.SWITCH(Table4[[#This Row],[month]],"jan",1,"feb",2,"mar",3,"apr",4,"may",5,"jun",6,"jul",7,"aug",8,"sep",9,"oct",10,"nov",11,"dec",12,"no month")</f>
        <v>8</v>
      </c>
      <c r="C1600" s="12" t="str">
        <f>LEFT('All Transactions'!$E1600,3)</f>
        <v>Aug</v>
      </c>
      <c r="D1600" s="12" t="str">
        <f t="shared" si="49"/>
        <v>2025</v>
      </c>
      <c r="E1600" s="16" t="s">
        <v>5054</v>
      </c>
      <c r="F1600" s="17" t="s">
        <v>1716</v>
      </c>
      <c r="G1600" s="18" t="s">
        <v>28</v>
      </c>
      <c r="H1600" s="19">
        <v>14400</v>
      </c>
      <c r="I1600" s="20" t="s">
        <v>10</v>
      </c>
      <c r="J1600" s="20" t="s">
        <v>5065</v>
      </c>
      <c r="K1600" s="21" t="s">
        <v>5066</v>
      </c>
      <c r="L1600" s="20" t="s">
        <v>1808</v>
      </c>
      <c r="M1600" t="str">
        <f>TEXT(A1600,"dddd")</f>
        <v>Thursday</v>
      </c>
      <c r="N1600" s="35">
        <f>DATE(Table4[[#This Row],[year]],Table4[[#This Row],[month2]],Table4[[#This Row],[day]])</f>
        <v>45895</v>
      </c>
    </row>
    <row r="1601" spans="1:14" ht="16" x14ac:dyDescent="0.35">
      <c r="A1601" t="str">
        <f t="shared" si="48"/>
        <v>26</v>
      </c>
      <c r="B1601">
        <f>_xlfn.SWITCH(Table4[[#This Row],[month]],"jan",1,"feb",2,"mar",3,"apr",4,"may",5,"jun",6,"jul",7,"aug",8,"sep",9,"oct",10,"nov",11,"dec",12,"no month")</f>
        <v>8</v>
      </c>
      <c r="C1601" s="12" t="str">
        <f>LEFT('All Transactions'!$E1601,3)</f>
        <v>Aug</v>
      </c>
      <c r="D1601" s="12" t="str">
        <f t="shared" si="49"/>
        <v>2025</v>
      </c>
      <c r="E1601" s="22" t="s">
        <v>5054</v>
      </c>
      <c r="F1601" s="23" t="s">
        <v>5067</v>
      </c>
      <c r="G1601" s="18" t="s">
        <v>28</v>
      </c>
      <c r="H1601" s="24">
        <v>4000</v>
      </c>
      <c r="I1601" s="25" t="s">
        <v>12</v>
      </c>
      <c r="J1601" s="25" t="s">
        <v>5068</v>
      </c>
      <c r="K1601" s="26" t="s">
        <v>5069</v>
      </c>
      <c r="L1601" s="25" t="s">
        <v>32</v>
      </c>
      <c r="M1601" t="str">
        <f>TEXT(A1601,"dddd")</f>
        <v>Thursday</v>
      </c>
      <c r="N1601" s="35">
        <f>DATE(Table4[[#This Row],[year]],Table4[[#This Row],[month2]],Table4[[#This Row],[day]])</f>
        <v>45895</v>
      </c>
    </row>
    <row r="1602" spans="1:14" ht="16" x14ac:dyDescent="0.35">
      <c r="A1602" t="str">
        <f t="shared" si="48"/>
        <v>26</v>
      </c>
      <c r="B1602">
        <f>_xlfn.SWITCH(Table4[[#This Row],[month]],"jan",1,"feb",2,"mar",3,"apr",4,"may",5,"jun",6,"jul",7,"aug",8,"sep",9,"oct",10,"nov",11,"dec",12,"no month")</f>
        <v>8</v>
      </c>
      <c r="C1602" s="12" t="str">
        <f>LEFT('All Transactions'!$E1602,3)</f>
        <v>Aug</v>
      </c>
      <c r="D1602" s="12" t="str">
        <f t="shared" si="49"/>
        <v>2025</v>
      </c>
      <c r="E1602" s="16" t="s">
        <v>5054</v>
      </c>
      <c r="F1602" s="17" t="s">
        <v>4809</v>
      </c>
      <c r="G1602" s="18" t="s">
        <v>28</v>
      </c>
      <c r="H1602" s="19">
        <v>1000</v>
      </c>
      <c r="I1602" s="20" t="s">
        <v>13</v>
      </c>
      <c r="J1602" s="20" t="s">
        <v>5070</v>
      </c>
      <c r="K1602" s="21" t="s">
        <v>5071</v>
      </c>
      <c r="L1602" s="20" t="s">
        <v>32</v>
      </c>
      <c r="M1602" t="str">
        <f>TEXT(A1602,"dddd")</f>
        <v>Thursday</v>
      </c>
      <c r="N1602" s="35">
        <f>DATE(Table4[[#This Row],[year]],Table4[[#This Row],[month2]],Table4[[#This Row],[day]])</f>
        <v>45895</v>
      </c>
    </row>
    <row r="1603" spans="1:14" ht="16" x14ac:dyDescent="0.35">
      <c r="A1603" t="str">
        <f t="shared" ref="A1603:A1666" si="50">MID(E1603,5,2)</f>
        <v>26</v>
      </c>
      <c r="B1603">
        <f>_xlfn.SWITCH(Table4[[#This Row],[month]],"jan",1,"feb",2,"mar",3,"apr",4,"may",5,"jun",6,"jul",7,"aug",8,"sep",9,"oct",10,"nov",11,"dec",12,"no month")</f>
        <v>8</v>
      </c>
      <c r="C1603" s="12" t="str">
        <f>LEFT('All Transactions'!$E1603,3)</f>
        <v>Aug</v>
      </c>
      <c r="D1603" s="12" t="str">
        <f t="shared" ref="D1603:D1666" si="51">RIGHT(E1603,4)</f>
        <v>2025</v>
      </c>
      <c r="E1603" s="22" t="s">
        <v>5054</v>
      </c>
      <c r="F1603" s="23" t="s">
        <v>5072</v>
      </c>
      <c r="G1603" s="18" t="s">
        <v>28</v>
      </c>
      <c r="H1603" s="24">
        <v>15000</v>
      </c>
      <c r="I1603" s="25" t="s">
        <v>13</v>
      </c>
      <c r="J1603" s="25" t="s">
        <v>5073</v>
      </c>
      <c r="K1603" s="26" t="s">
        <v>5074</v>
      </c>
      <c r="L1603" s="25" t="s">
        <v>32</v>
      </c>
      <c r="M1603" t="str">
        <f>TEXT(A1603,"dddd")</f>
        <v>Thursday</v>
      </c>
      <c r="N1603" s="35">
        <f>DATE(Table4[[#This Row],[year]],Table4[[#This Row],[month2]],Table4[[#This Row],[day]])</f>
        <v>45895</v>
      </c>
    </row>
    <row r="1604" spans="1:14" ht="16" x14ac:dyDescent="0.35">
      <c r="A1604" t="str">
        <f t="shared" si="50"/>
        <v>26</v>
      </c>
      <c r="B1604">
        <f>_xlfn.SWITCH(Table4[[#This Row],[month]],"jan",1,"feb",2,"mar",3,"apr",4,"may",5,"jun",6,"jul",7,"aug",8,"sep",9,"oct",10,"nov",11,"dec",12,"no month")</f>
        <v>8</v>
      </c>
      <c r="C1604" s="12" t="str">
        <f>LEFT('All Transactions'!$E1604,3)</f>
        <v>Aug</v>
      </c>
      <c r="D1604" s="12" t="str">
        <f t="shared" si="51"/>
        <v>2025</v>
      </c>
      <c r="E1604" s="16" t="s">
        <v>5054</v>
      </c>
      <c r="F1604" s="17" t="s">
        <v>4319</v>
      </c>
      <c r="G1604" s="18" t="s">
        <v>28</v>
      </c>
      <c r="H1604" s="19">
        <v>100</v>
      </c>
      <c r="I1604" s="20" t="s">
        <v>4965</v>
      </c>
      <c r="J1604" s="20" t="s">
        <v>5075</v>
      </c>
      <c r="K1604" s="21" t="s">
        <v>5076</v>
      </c>
      <c r="L1604" s="20" t="s">
        <v>47</v>
      </c>
      <c r="M1604" t="str">
        <f>TEXT(A1604,"dddd")</f>
        <v>Thursday</v>
      </c>
      <c r="N1604" s="35">
        <f>DATE(Table4[[#This Row],[year]],Table4[[#This Row],[month2]],Table4[[#This Row],[day]])</f>
        <v>45895</v>
      </c>
    </row>
    <row r="1605" spans="1:14" ht="16" x14ac:dyDescent="0.35">
      <c r="A1605" t="str">
        <f t="shared" si="50"/>
        <v>25</v>
      </c>
      <c r="B1605">
        <f>_xlfn.SWITCH(Table4[[#This Row],[month]],"jan",1,"feb",2,"mar",3,"apr",4,"may",5,"jun",6,"jul",7,"aug",8,"sep",9,"oct",10,"nov",11,"dec",12,"no month")</f>
        <v>8</v>
      </c>
      <c r="C1605" s="12" t="str">
        <f>LEFT('All Transactions'!$E1605,3)</f>
        <v>Aug</v>
      </c>
      <c r="D1605" s="12" t="str">
        <f t="shared" si="51"/>
        <v>2025</v>
      </c>
      <c r="E1605" s="22" t="s">
        <v>19</v>
      </c>
      <c r="F1605" s="23" t="s">
        <v>3570</v>
      </c>
      <c r="G1605" s="18" t="s">
        <v>28</v>
      </c>
      <c r="H1605" s="24">
        <v>18000</v>
      </c>
      <c r="I1605" s="25" t="s">
        <v>20</v>
      </c>
      <c r="J1605" s="25" t="s">
        <v>5077</v>
      </c>
      <c r="K1605" s="26" t="s">
        <v>5078</v>
      </c>
      <c r="L1605" s="25" t="s">
        <v>1808</v>
      </c>
      <c r="M1605" t="str">
        <f>TEXT(A1605,"dddd")</f>
        <v>Wednesday</v>
      </c>
      <c r="N1605" s="35">
        <f>DATE(Table4[[#This Row],[year]],Table4[[#This Row],[month2]],Table4[[#This Row],[day]])</f>
        <v>45894</v>
      </c>
    </row>
    <row r="1606" spans="1:14" ht="16" x14ac:dyDescent="0.35">
      <c r="A1606" t="str">
        <f t="shared" si="50"/>
        <v>25</v>
      </c>
      <c r="B1606">
        <f>_xlfn.SWITCH(Table4[[#This Row],[month]],"jan",1,"feb",2,"mar",3,"apr",4,"may",5,"jun",6,"jul",7,"aug",8,"sep",9,"oct",10,"nov",11,"dec",12,"no month")</f>
        <v>8</v>
      </c>
      <c r="C1606" s="12" t="str">
        <f>LEFT('All Transactions'!$E1606,3)</f>
        <v>Aug</v>
      </c>
      <c r="D1606" s="12" t="str">
        <f t="shared" si="51"/>
        <v>2025</v>
      </c>
      <c r="E1606" s="16" t="s">
        <v>19</v>
      </c>
      <c r="F1606" s="17" t="s">
        <v>187</v>
      </c>
      <c r="G1606" s="18" t="s">
        <v>28</v>
      </c>
      <c r="H1606" s="19">
        <v>18000</v>
      </c>
      <c r="I1606" s="20" t="s">
        <v>13</v>
      </c>
      <c r="J1606" s="20" t="s">
        <v>5079</v>
      </c>
      <c r="K1606" s="21" t="s">
        <v>5080</v>
      </c>
      <c r="L1606" s="20" t="s">
        <v>32</v>
      </c>
      <c r="M1606" t="str">
        <f>TEXT(A1606,"dddd")</f>
        <v>Wednesday</v>
      </c>
      <c r="N1606" s="35">
        <f>DATE(Table4[[#This Row],[year]],Table4[[#This Row],[month2]],Table4[[#This Row],[day]])</f>
        <v>45894</v>
      </c>
    </row>
    <row r="1607" spans="1:14" ht="16" x14ac:dyDescent="0.35">
      <c r="A1607" t="str">
        <f t="shared" si="50"/>
        <v>25</v>
      </c>
      <c r="B1607">
        <f>_xlfn.SWITCH(Table4[[#This Row],[month]],"jan",1,"feb",2,"mar",3,"apr",4,"may",5,"jun",6,"jul",7,"aug",8,"sep",9,"oct",10,"nov",11,"dec",12,"no month")</f>
        <v>8</v>
      </c>
      <c r="C1607" s="12" t="str">
        <f>LEFT('All Transactions'!$E1607,3)</f>
        <v>Aug</v>
      </c>
      <c r="D1607" s="12" t="str">
        <f t="shared" si="51"/>
        <v>2025</v>
      </c>
      <c r="E1607" s="22" t="s">
        <v>19</v>
      </c>
      <c r="F1607" s="23" t="s">
        <v>3484</v>
      </c>
      <c r="G1607" s="18" t="s">
        <v>28</v>
      </c>
      <c r="H1607" s="24">
        <v>20000</v>
      </c>
      <c r="I1607" s="25" t="s">
        <v>20</v>
      </c>
      <c r="J1607" s="25" t="s">
        <v>5081</v>
      </c>
      <c r="K1607" s="26" t="s">
        <v>5082</v>
      </c>
      <c r="L1607" s="25" t="s">
        <v>47</v>
      </c>
      <c r="M1607" t="str">
        <f>TEXT(A1607,"dddd")</f>
        <v>Wednesday</v>
      </c>
      <c r="N1607" s="35">
        <f>DATE(Table4[[#This Row],[year]],Table4[[#This Row],[month2]],Table4[[#This Row],[day]])</f>
        <v>45894</v>
      </c>
    </row>
    <row r="1608" spans="1:14" ht="16" x14ac:dyDescent="0.35">
      <c r="A1608" t="str">
        <f t="shared" si="50"/>
        <v>25</v>
      </c>
      <c r="B1608">
        <f>_xlfn.SWITCH(Table4[[#This Row],[month]],"jan",1,"feb",2,"mar",3,"apr",4,"may",5,"jun",6,"jul",7,"aug",8,"sep",9,"oct",10,"nov",11,"dec",12,"no month")</f>
        <v>8</v>
      </c>
      <c r="C1608" s="12" t="str">
        <f>LEFT('All Transactions'!$E1608,3)</f>
        <v>Aug</v>
      </c>
      <c r="D1608" s="12" t="str">
        <f t="shared" si="51"/>
        <v>2025</v>
      </c>
      <c r="E1608" s="16" t="s">
        <v>19</v>
      </c>
      <c r="F1608" s="17" t="s">
        <v>5083</v>
      </c>
      <c r="G1608" s="18" t="s">
        <v>28</v>
      </c>
      <c r="H1608" s="19">
        <v>20000</v>
      </c>
      <c r="I1608" s="20" t="s">
        <v>10</v>
      </c>
      <c r="J1608" s="20" t="s">
        <v>5084</v>
      </c>
      <c r="K1608" s="21" t="s">
        <v>5085</v>
      </c>
      <c r="L1608" s="20" t="s">
        <v>1808</v>
      </c>
      <c r="M1608" t="str">
        <f>TEXT(A1608,"dddd")</f>
        <v>Wednesday</v>
      </c>
      <c r="N1608" s="35">
        <f>DATE(Table4[[#This Row],[year]],Table4[[#This Row],[month2]],Table4[[#This Row],[day]])</f>
        <v>45894</v>
      </c>
    </row>
    <row r="1609" spans="1:14" ht="16" x14ac:dyDescent="0.35">
      <c r="A1609" t="str">
        <f t="shared" si="50"/>
        <v>25</v>
      </c>
      <c r="B1609">
        <f>_xlfn.SWITCH(Table4[[#This Row],[month]],"jan",1,"feb",2,"mar",3,"apr",4,"may",5,"jun",6,"jul",7,"aug",8,"sep",9,"oct",10,"nov",11,"dec",12,"no month")</f>
        <v>8</v>
      </c>
      <c r="C1609" s="12" t="str">
        <f>LEFT('All Transactions'!$E1609,3)</f>
        <v>Aug</v>
      </c>
      <c r="D1609" s="12" t="str">
        <f t="shared" si="51"/>
        <v>2025</v>
      </c>
      <c r="E1609" s="22" t="s">
        <v>19</v>
      </c>
      <c r="F1609" s="23" t="s">
        <v>5086</v>
      </c>
      <c r="G1609" s="18" t="s">
        <v>28</v>
      </c>
      <c r="H1609" s="24">
        <v>10800</v>
      </c>
      <c r="I1609" s="25" t="s">
        <v>13</v>
      </c>
      <c r="J1609" s="25" t="s">
        <v>5087</v>
      </c>
      <c r="K1609" s="26" t="s">
        <v>5088</v>
      </c>
      <c r="L1609" s="25" t="s">
        <v>32</v>
      </c>
      <c r="M1609" t="str">
        <f>TEXT(A1609,"dddd")</f>
        <v>Wednesday</v>
      </c>
      <c r="N1609" s="35">
        <f>DATE(Table4[[#This Row],[year]],Table4[[#This Row],[month2]],Table4[[#This Row],[day]])</f>
        <v>45894</v>
      </c>
    </row>
    <row r="1610" spans="1:14" ht="16" x14ac:dyDescent="0.35">
      <c r="A1610" t="str">
        <f t="shared" si="50"/>
        <v>25</v>
      </c>
      <c r="B1610">
        <f>_xlfn.SWITCH(Table4[[#This Row],[month]],"jan",1,"feb",2,"mar",3,"apr",4,"may",5,"jun",6,"jul",7,"aug",8,"sep",9,"oct",10,"nov",11,"dec",12,"no month")</f>
        <v>8</v>
      </c>
      <c r="C1610" s="12" t="str">
        <f>LEFT('All Transactions'!$E1610,3)</f>
        <v>Aug</v>
      </c>
      <c r="D1610" s="12" t="str">
        <f t="shared" si="51"/>
        <v>2025</v>
      </c>
      <c r="E1610" s="16" t="s">
        <v>19</v>
      </c>
      <c r="F1610" s="17" t="s">
        <v>4264</v>
      </c>
      <c r="G1610" s="18" t="s">
        <v>28</v>
      </c>
      <c r="H1610" s="19">
        <v>1200</v>
      </c>
      <c r="I1610" s="20" t="s">
        <v>13</v>
      </c>
      <c r="J1610" s="20" t="s">
        <v>5089</v>
      </c>
      <c r="K1610" s="21" t="s">
        <v>5090</v>
      </c>
      <c r="L1610" s="20" t="s">
        <v>32</v>
      </c>
      <c r="M1610" t="str">
        <f>TEXT(A1610,"dddd")</f>
        <v>Wednesday</v>
      </c>
      <c r="N1610" s="35">
        <f>DATE(Table4[[#This Row],[year]],Table4[[#This Row],[month2]],Table4[[#This Row],[day]])</f>
        <v>45894</v>
      </c>
    </row>
    <row r="1611" spans="1:14" ht="16" x14ac:dyDescent="0.35">
      <c r="A1611" t="str">
        <f t="shared" si="50"/>
        <v>25</v>
      </c>
      <c r="B1611">
        <f>_xlfn.SWITCH(Table4[[#This Row],[month]],"jan",1,"feb",2,"mar",3,"apr",4,"may",5,"jun",6,"jul",7,"aug",8,"sep",9,"oct",10,"nov",11,"dec",12,"no month")</f>
        <v>8</v>
      </c>
      <c r="C1611" s="12" t="str">
        <f>LEFT('All Transactions'!$E1611,3)</f>
        <v>Aug</v>
      </c>
      <c r="D1611" s="12" t="str">
        <f t="shared" si="51"/>
        <v>2025</v>
      </c>
      <c r="E1611" s="22" t="s">
        <v>19</v>
      </c>
      <c r="F1611" s="23" t="s">
        <v>5091</v>
      </c>
      <c r="G1611" s="27" t="s">
        <v>54</v>
      </c>
      <c r="H1611" s="24">
        <v>8000</v>
      </c>
      <c r="I1611" s="25" t="s">
        <v>156</v>
      </c>
      <c r="J1611" s="25" t="s">
        <v>5092</v>
      </c>
      <c r="K1611" s="26" t="s">
        <v>5093</v>
      </c>
      <c r="L1611" s="25" t="s">
        <v>2330</v>
      </c>
      <c r="M1611" t="str">
        <f>TEXT(A1611,"dddd")</f>
        <v>Wednesday</v>
      </c>
      <c r="N1611" s="35">
        <f>DATE(Table4[[#This Row],[year]],Table4[[#This Row],[month2]],Table4[[#This Row],[day]])</f>
        <v>45894</v>
      </c>
    </row>
    <row r="1612" spans="1:14" ht="16" x14ac:dyDescent="0.35">
      <c r="A1612" t="str">
        <f t="shared" si="50"/>
        <v>25</v>
      </c>
      <c r="B1612">
        <f>_xlfn.SWITCH(Table4[[#This Row],[month]],"jan",1,"feb",2,"mar",3,"apr",4,"may",5,"jun",6,"jul",7,"aug",8,"sep",9,"oct",10,"nov",11,"dec",12,"no month")</f>
        <v>8</v>
      </c>
      <c r="C1612" s="12" t="str">
        <f>LEFT('All Transactions'!$E1612,3)</f>
        <v>Aug</v>
      </c>
      <c r="D1612" s="12" t="str">
        <f t="shared" si="51"/>
        <v>2025</v>
      </c>
      <c r="E1612" s="16" t="s">
        <v>19</v>
      </c>
      <c r="F1612" s="17" t="s">
        <v>5094</v>
      </c>
      <c r="G1612" s="18" t="s">
        <v>28</v>
      </c>
      <c r="H1612" s="19">
        <v>100</v>
      </c>
      <c r="I1612" s="20" t="s">
        <v>5095</v>
      </c>
      <c r="J1612" s="20" t="s">
        <v>5096</v>
      </c>
      <c r="K1612" s="21" t="s">
        <v>5097</v>
      </c>
      <c r="L1612" s="20" t="s">
        <v>1808</v>
      </c>
      <c r="M1612" t="str">
        <f>TEXT(A1612,"dddd")</f>
        <v>Wednesday</v>
      </c>
      <c r="N1612" s="35">
        <f>DATE(Table4[[#This Row],[year]],Table4[[#This Row],[month2]],Table4[[#This Row],[day]])</f>
        <v>45894</v>
      </c>
    </row>
    <row r="1613" spans="1:14" ht="16" x14ac:dyDescent="0.35">
      <c r="A1613" t="str">
        <f t="shared" si="50"/>
        <v>25</v>
      </c>
      <c r="B1613">
        <f>_xlfn.SWITCH(Table4[[#This Row],[month]],"jan",1,"feb",2,"mar",3,"apr",4,"may",5,"jun",6,"jul",7,"aug",8,"sep",9,"oct",10,"nov",11,"dec",12,"no month")</f>
        <v>8</v>
      </c>
      <c r="C1613" s="12" t="str">
        <f>LEFT('All Transactions'!$E1613,3)</f>
        <v>Aug</v>
      </c>
      <c r="D1613" s="12" t="str">
        <f t="shared" si="51"/>
        <v>2025</v>
      </c>
      <c r="E1613" s="22" t="s">
        <v>19</v>
      </c>
      <c r="F1613" s="23" t="s">
        <v>5098</v>
      </c>
      <c r="G1613" s="18" t="s">
        <v>28</v>
      </c>
      <c r="H1613" s="24">
        <v>10</v>
      </c>
      <c r="I1613" s="25" t="s">
        <v>487</v>
      </c>
      <c r="J1613" s="25" t="s">
        <v>5099</v>
      </c>
      <c r="K1613" s="26" t="s">
        <v>5100</v>
      </c>
      <c r="L1613" s="25" t="s">
        <v>1808</v>
      </c>
      <c r="M1613" t="str">
        <f>TEXT(A1613,"dddd")</f>
        <v>Wednesday</v>
      </c>
      <c r="N1613" s="35">
        <f>DATE(Table4[[#This Row],[year]],Table4[[#This Row],[month2]],Table4[[#This Row],[day]])</f>
        <v>45894</v>
      </c>
    </row>
    <row r="1614" spans="1:14" ht="16" x14ac:dyDescent="0.35">
      <c r="A1614" t="str">
        <f t="shared" si="50"/>
        <v>25</v>
      </c>
      <c r="B1614">
        <f>_xlfn.SWITCH(Table4[[#This Row],[month]],"jan",1,"feb",2,"mar",3,"apr",4,"may",5,"jun",6,"jul",7,"aug",8,"sep",9,"oct",10,"nov",11,"dec",12,"no month")</f>
        <v>8</v>
      </c>
      <c r="C1614" s="12" t="str">
        <f>LEFT('All Transactions'!$E1614,3)</f>
        <v>Aug</v>
      </c>
      <c r="D1614" s="12" t="str">
        <f t="shared" si="51"/>
        <v>2025</v>
      </c>
      <c r="E1614" s="16" t="s">
        <v>19</v>
      </c>
      <c r="F1614" s="17" t="s">
        <v>5101</v>
      </c>
      <c r="G1614" s="18" t="s">
        <v>28</v>
      </c>
      <c r="H1614" s="19">
        <v>140</v>
      </c>
      <c r="I1614" s="20" t="s">
        <v>5102</v>
      </c>
      <c r="J1614" s="20" t="s">
        <v>5103</v>
      </c>
      <c r="K1614" s="21" t="s">
        <v>5104</v>
      </c>
      <c r="L1614" s="20" t="s">
        <v>47</v>
      </c>
      <c r="M1614" t="str">
        <f>TEXT(A1614,"dddd")</f>
        <v>Wednesday</v>
      </c>
      <c r="N1614" s="35">
        <f>DATE(Table4[[#This Row],[year]],Table4[[#This Row],[month2]],Table4[[#This Row],[day]])</f>
        <v>45894</v>
      </c>
    </row>
    <row r="1615" spans="1:14" ht="16" x14ac:dyDescent="0.35">
      <c r="A1615" t="str">
        <f t="shared" si="50"/>
        <v>24</v>
      </c>
      <c r="B1615">
        <f>_xlfn.SWITCH(Table4[[#This Row],[month]],"jan",1,"feb",2,"mar",3,"apr",4,"may",5,"jun",6,"jul",7,"aug",8,"sep",9,"oct",10,"nov",11,"dec",12,"no month")</f>
        <v>8</v>
      </c>
      <c r="C1615" s="12" t="str">
        <f>LEFT('All Transactions'!$E1615,3)</f>
        <v>Aug</v>
      </c>
      <c r="D1615" s="12" t="str">
        <f t="shared" si="51"/>
        <v>2025</v>
      </c>
      <c r="E1615" s="22" t="s">
        <v>5105</v>
      </c>
      <c r="F1615" s="23" t="s">
        <v>1421</v>
      </c>
      <c r="G1615" s="18" t="s">
        <v>28</v>
      </c>
      <c r="H1615" s="24">
        <v>100</v>
      </c>
      <c r="I1615" s="25" t="s">
        <v>5055</v>
      </c>
      <c r="J1615" s="25" t="s">
        <v>5106</v>
      </c>
      <c r="K1615" s="26" t="s">
        <v>5107</v>
      </c>
      <c r="L1615" s="25" t="s">
        <v>1808</v>
      </c>
      <c r="M1615" t="str">
        <f>TEXT(A1615,"dddd")</f>
        <v>Tuesday</v>
      </c>
      <c r="N1615" s="35">
        <f>DATE(Table4[[#This Row],[year]],Table4[[#This Row],[month2]],Table4[[#This Row],[day]])</f>
        <v>45893</v>
      </c>
    </row>
    <row r="1616" spans="1:14" ht="16" x14ac:dyDescent="0.35">
      <c r="A1616" t="str">
        <f t="shared" si="50"/>
        <v>24</v>
      </c>
      <c r="B1616">
        <f>_xlfn.SWITCH(Table4[[#This Row],[month]],"jan",1,"feb",2,"mar",3,"apr",4,"may",5,"jun",6,"jul",7,"aug",8,"sep",9,"oct",10,"nov",11,"dec",12,"no month")</f>
        <v>8</v>
      </c>
      <c r="C1616" s="12" t="str">
        <f>LEFT('All Transactions'!$E1616,3)</f>
        <v>Aug</v>
      </c>
      <c r="D1616" s="12" t="str">
        <f t="shared" si="51"/>
        <v>2025</v>
      </c>
      <c r="E1616" s="16" t="s">
        <v>5105</v>
      </c>
      <c r="F1616" s="17" t="s">
        <v>4593</v>
      </c>
      <c r="G1616" s="18" t="s">
        <v>28</v>
      </c>
      <c r="H1616" s="19">
        <v>12400</v>
      </c>
      <c r="I1616" s="20" t="s">
        <v>20</v>
      </c>
      <c r="J1616" s="20" t="s">
        <v>5108</v>
      </c>
      <c r="K1616" s="21" t="s">
        <v>5109</v>
      </c>
      <c r="L1616" s="20" t="s">
        <v>1808</v>
      </c>
      <c r="M1616" t="str">
        <f>TEXT(A1616,"dddd")</f>
        <v>Tuesday</v>
      </c>
      <c r="N1616" s="35">
        <f>DATE(Table4[[#This Row],[year]],Table4[[#This Row],[month2]],Table4[[#This Row],[day]])</f>
        <v>45893</v>
      </c>
    </row>
    <row r="1617" spans="1:14" ht="16" x14ac:dyDescent="0.35">
      <c r="A1617" t="str">
        <f t="shared" si="50"/>
        <v>24</v>
      </c>
      <c r="B1617">
        <f>_xlfn.SWITCH(Table4[[#This Row],[month]],"jan",1,"feb",2,"mar",3,"apr",4,"may",5,"jun",6,"jul",7,"aug",8,"sep",9,"oct",10,"nov",11,"dec",12,"no month")</f>
        <v>8</v>
      </c>
      <c r="C1617" s="12" t="str">
        <f>LEFT('All Transactions'!$E1617,3)</f>
        <v>Aug</v>
      </c>
      <c r="D1617" s="12" t="str">
        <f t="shared" si="51"/>
        <v>2025</v>
      </c>
      <c r="E1617" s="22" t="s">
        <v>5105</v>
      </c>
      <c r="F1617" s="23" t="s">
        <v>672</v>
      </c>
      <c r="G1617" s="18" t="s">
        <v>28</v>
      </c>
      <c r="H1617" s="24">
        <v>6000</v>
      </c>
      <c r="I1617" s="25" t="s">
        <v>12</v>
      </c>
      <c r="J1617" s="25" t="s">
        <v>5110</v>
      </c>
      <c r="K1617" s="26" t="s">
        <v>5111</v>
      </c>
      <c r="L1617" s="25" t="s">
        <v>1808</v>
      </c>
      <c r="M1617" t="str">
        <f>TEXT(A1617,"dddd")</f>
        <v>Tuesday</v>
      </c>
      <c r="N1617" s="35">
        <f>DATE(Table4[[#This Row],[year]],Table4[[#This Row],[month2]],Table4[[#This Row],[day]])</f>
        <v>45893</v>
      </c>
    </row>
    <row r="1618" spans="1:14" ht="16" x14ac:dyDescent="0.35">
      <c r="A1618" t="str">
        <f t="shared" si="50"/>
        <v>24</v>
      </c>
      <c r="B1618">
        <f>_xlfn.SWITCH(Table4[[#This Row],[month]],"jan",1,"feb",2,"mar",3,"apr",4,"may",5,"jun",6,"jul",7,"aug",8,"sep",9,"oct",10,"nov",11,"dec",12,"no month")</f>
        <v>8</v>
      </c>
      <c r="C1618" s="12" t="str">
        <f>LEFT('All Transactions'!$E1618,3)</f>
        <v>Aug</v>
      </c>
      <c r="D1618" s="12" t="str">
        <f t="shared" si="51"/>
        <v>2025</v>
      </c>
      <c r="E1618" s="16" t="s">
        <v>5105</v>
      </c>
      <c r="F1618" s="17" t="s">
        <v>1161</v>
      </c>
      <c r="G1618" s="18" t="s">
        <v>28</v>
      </c>
      <c r="H1618" s="19">
        <v>200</v>
      </c>
      <c r="I1618" s="20" t="s">
        <v>10</v>
      </c>
      <c r="J1618" s="20" t="s">
        <v>5112</v>
      </c>
      <c r="K1618" s="21" t="s">
        <v>5113</v>
      </c>
      <c r="L1618" s="20" t="s">
        <v>1808</v>
      </c>
      <c r="M1618" t="str">
        <f>TEXT(A1618,"dddd")</f>
        <v>Tuesday</v>
      </c>
      <c r="N1618" s="35">
        <f>DATE(Table4[[#This Row],[year]],Table4[[#This Row],[month2]],Table4[[#This Row],[day]])</f>
        <v>45893</v>
      </c>
    </row>
    <row r="1619" spans="1:14" ht="16" x14ac:dyDescent="0.35">
      <c r="A1619" t="str">
        <f t="shared" si="50"/>
        <v>24</v>
      </c>
      <c r="B1619">
        <f>_xlfn.SWITCH(Table4[[#This Row],[month]],"jan",1,"feb",2,"mar",3,"apr",4,"may",5,"jun",6,"jul",7,"aug",8,"sep",9,"oct",10,"nov",11,"dec",12,"no month")</f>
        <v>8</v>
      </c>
      <c r="C1619" s="12" t="str">
        <f>LEFT('All Transactions'!$E1619,3)</f>
        <v>Aug</v>
      </c>
      <c r="D1619" s="12" t="str">
        <f t="shared" si="51"/>
        <v>2025</v>
      </c>
      <c r="E1619" s="22" t="s">
        <v>5105</v>
      </c>
      <c r="F1619" s="23" t="s">
        <v>1838</v>
      </c>
      <c r="G1619" s="18" t="s">
        <v>28</v>
      </c>
      <c r="H1619" s="24">
        <v>20</v>
      </c>
      <c r="I1619" s="25" t="s">
        <v>4973</v>
      </c>
      <c r="J1619" s="25" t="s">
        <v>5114</v>
      </c>
      <c r="K1619" s="26" t="s">
        <v>5115</v>
      </c>
      <c r="L1619" s="25" t="s">
        <v>1808</v>
      </c>
      <c r="M1619" t="str">
        <f>TEXT(A1619,"dddd")</f>
        <v>Tuesday</v>
      </c>
      <c r="N1619" s="35">
        <f>DATE(Table4[[#This Row],[year]],Table4[[#This Row],[month2]],Table4[[#This Row],[day]])</f>
        <v>45893</v>
      </c>
    </row>
    <row r="1620" spans="1:14" ht="16" x14ac:dyDescent="0.35">
      <c r="A1620" t="str">
        <f t="shared" si="50"/>
        <v>24</v>
      </c>
      <c r="B1620">
        <f>_xlfn.SWITCH(Table4[[#This Row],[month]],"jan",1,"feb",2,"mar",3,"apr",4,"may",5,"jun",6,"jul",7,"aug",8,"sep",9,"oct",10,"nov",11,"dec",12,"no month")</f>
        <v>8</v>
      </c>
      <c r="C1620" s="12" t="str">
        <f>LEFT('All Transactions'!$E1620,3)</f>
        <v>Aug</v>
      </c>
      <c r="D1620" s="12" t="str">
        <f t="shared" si="51"/>
        <v>2025</v>
      </c>
      <c r="E1620" s="16" t="s">
        <v>5105</v>
      </c>
      <c r="F1620" s="17" t="s">
        <v>305</v>
      </c>
      <c r="G1620" s="18" t="s">
        <v>28</v>
      </c>
      <c r="H1620" s="19">
        <v>2000</v>
      </c>
      <c r="I1620" s="20" t="s">
        <v>12</v>
      </c>
      <c r="J1620" s="20" t="s">
        <v>5116</v>
      </c>
      <c r="K1620" s="21" t="s">
        <v>5117</v>
      </c>
      <c r="L1620" s="20" t="s">
        <v>1808</v>
      </c>
      <c r="M1620" t="str">
        <f>TEXT(A1620,"dddd")</f>
        <v>Tuesday</v>
      </c>
      <c r="N1620" s="35">
        <f>DATE(Table4[[#This Row],[year]],Table4[[#This Row],[month2]],Table4[[#This Row],[day]])</f>
        <v>45893</v>
      </c>
    </row>
    <row r="1621" spans="1:14" ht="16" x14ac:dyDescent="0.35">
      <c r="A1621" t="str">
        <f t="shared" si="50"/>
        <v>24</v>
      </c>
      <c r="B1621">
        <f>_xlfn.SWITCH(Table4[[#This Row],[month]],"jan",1,"feb",2,"mar",3,"apr",4,"may",5,"jun",6,"jul",7,"aug",8,"sep",9,"oct",10,"nov",11,"dec",12,"no month")</f>
        <v>8</v>
      </c>
      <c r="C1621" s="12" t="str">
        <f>LEFT('All Transactions'!$E1621,3)</f>
        <v>Aug</v>
      </c>
      <c r="D1621" s="12" t="str">
        <f t="shared" si="51"/>
        <v>2025</v>
      </c>
      <c r="E1621" s="22" t="s">
        <v>5105</v>
      </c>
      <c r="F1621" s="23" t="s">
        <v>2576</v>
      </c>
      <c r="G1621" s="18" t="s">
        <v>28</v>
      </c>
      <c r="H1621" s="24">
        <v>10000</v>
      </c>
      <c r="I1621" s="25" t="s">
        <v>13</v>
      </c>
      <c r="J1621" s="25" t="s">
        <v>5118</v>
      </c>
      <c r="K1621" s="26" t="s">
        <v>5119</v>
      </c>
      <c r="L1621" s="25" t="s">
        <v>32</v>
      </c>
      <c r="M1621" t="str">
        <f>TEXT(A1621,"dddd")</f>
        <v>Tuesday</v>
      </c>
      <c r="N1621" s="35">
        <f>DATE(Table4[[#This Row],[year]],Table4[[#This Row],[month2]],Table4[[#This Row],[day]])</f>
        <v>45893</v>
      </c>
    </row>
    <row r="1622" spans="1:14" ht="16" x14ac:dyDescent="0.35">
      <c r="A1622" t="str">
        <f t="shared" si="50"/>
        <v>24</v>
      </c>
      <c r="B1622">
        <f>_xlfn.SWITCH(Table4[[#This Row],[month]],"jan",1,"feb",2,"mar",3,"apr",4,"may",5,"jun",6,"jul",7,"aug",8,"sep",9,"oct",10,"nov",11,"dec",12,"no month")</f>
        <v>8</v>
      </c>
      <c r="C1622" s="12" t="str">
        <f>LEFT('All Transactions'!$E1622,3)</f>
        <v>Aug</v>
      </c>
      <c r="D1622" s="12" t="str">
        <f t="shared" si="51"/>
        <v>2025</v>
      </c>
      <c r="E1622" s="16" t="s">
        <v>5105</v>
      </c>
      <c r="F1622" s="17" t="s">
        <v>5120</v>
      </c>
      <c r="G1622" s="27" t="s">
        <v>54</v>
      </c>
      <c r="H1622" s="19">
        <v>8000</v>
      </c>
      <c r="I1622" s="20" t="s">
        <v>156</v>
      </c>
      <c r="J1622" s="20" t="s">
        <v>5121</v>
      </c>
      <c r="K1622" s="21" t="s">
        <v>5122</v>
      </c>
      <c r="L1622" s="20" t="s">
        <v>2330</v>
      </c>
      <c r="M1622" t="str">
        <f>TEXT(A1622,"dddd")</f>
        <v>Tuesday</v>
      </c>
      <c r="N1622" s="35">
        <f>DATE(Table4[[#This Row],[year]],Table4[[#This Row],[month2]],Table4[[#This Row],[day]])</f>
        <v>45893</v>
      </c>
    </row>
    <row r="1623" spans="1:14" ht="16" x14ac:dyDescent="0.35">
      <c r="A1623" t="str">
        <f t="shared" si="50"/>
        <v>24</v>
      </c>
      <c r="B1623">
        <f>_xlfn.SWITCH(Table4[[#This Row],[month]],"jan",1,"feb",2,"mar",3,"apr",4,"may",5,"jun",6,"jul",7,"aug",8,"sep",9,"oct",10,"nov",11,"dec",12,"no month")</f>
        <v>8</v>
      </c>
      <c r="C1623" s="12" t="str">
        <f>LEFT('All Transactions'!$E1623,3)</f>
        <v>Aug</v>
      </c>
      <c r="D1623" s="12" t="str">
        <f t="shared" si="51"/>
        <v>2025</v>
      </c>
      <c r="E1623" s="22" t="s">
        <v>5105</v>
      </c>
      <c r="F1623" s="23" t="s">
        <v>5123</v>
      </c>
      <c r="G1623" s="18" t="s">
        <v>28</v>
      </c>
      <c r="H1623" s="24">
        <v>180</v>
      </c>
      <c r="I1623" s="25" t="s">
        <v>5124</v>
      </c>
      <c r="J1623" s="25" t="s">
        <v>5125</v>
      </c>
      <c r="K1623" s="26" t="s">
        <v>5126</v>
      </c>
      <c r="L1623" s="25" t="s">
        <v>1808</v>
      </c>
      <c r="M1623" t="str">
        <f>TEXT(A1623,"dddd")</f>
        <v>Tuesday</v>
      </c>
      <c r="N1623" s="35">
        <f>DATE(Table4[[#This Row],[year]],Table4[[#This Row],[month2]],Table4[[#This Row],[day]])</f>
        <v>45893</v>
      </c>
    </row>
    <row r="1624" spans="1:14" ht="16" x14ac:dyDescent="0.35">
      <c r="A1624" t="str">
        <f t="shared" si="50"/>
        <v>24</v>
      </c>
      <c r="B1624">
        <f>_xlfn.SWITCH(Table4[[#This Row],[month]],"jan",1,"feb",2,"mar",3,"apr",4,"may",5,"jun",6,"jul",7,"aug",8,"sep",9,"oct",10,"nov",11,"dec",12,"no month")</f>
        <v>8</v>
      </c>
      <c r="C1624" s="12" t="str">
        <f>LEFT('All Transactions'!$E1624,3)</f>
        <v>Aug</v>
      </c>
      <c r="D1624" s="12" t="str">
        <f t="shared" si="51"/>
        <v>2025</v>
      </c>
      <c r="E1624" s="16" t="s">
        <v>5105</v>
      </c>
      <c r="F1624" s="17" t="s">
        <v>1066</v>
      </c>
      <c r="G1624" s="18" t="s">
        <v>28</v>
      </c>
      <c r="H1624" s="19">
        <v>20</v>
      </c>
      <c r="I1624" s="20" t="s">
        <v>5127</v>
      </c>
      <c r="J1624" s="20" t="s">
        <v>5128</v>
      </c>
      <c r="K1624" s="21" t="s">
        <v>5129</v>
      </c>
      <c r="L1624" s="20" t="s">
        <v>1808</v>
      </c>
      <c r="M1624" t="str">
        <f>TEXT(A1624,"dddd")</f>
        <v>Tuesday</v>
      </c>
      <c r="N1624" s="35">
        <f>DATE(Table4[[#This Row],[year]],Table4[[#This Row],[month2]],Table4[[#This Row],[day]])</f>
        <v>45893</v>
      </c>
    </row>
    <row r="1625" spans="1:14" ht="16" x14ac:dyDescent="0.35">
      <c r="A1625" t="str">
        <f t="shared" si="50"/>
        <v>23</v>
      </c>
      <c r="B1625">
        <f>_xlfn.SWITCH(Table4[[#This Row],[month]],"jan",1,"feb",2,"mar",3,"apr",4,"may",5,"jun",6,"jul",7,"aug",8,"sep",9,"oct",10,"nov",11,"dec",12,"no month")</f>
        <v>8</v>
      </c>
      <c r="C1625" s="12" t="str">
        <f>LEFT('All Transactions'!$E1625,3)</f>
        <v>Aug</v>
      </c>
      <c r="D1625" s="12" t="str">
        <f t="shared" si="51"/>
        <v>2025</v>
      </c>
      <c r="E1625" s="22" t="s">
        <v>5130</v>
      </c>
      <c r="F1625" s="23" t="s">
        <v>293</v>
      </c>
      <c r="G1625" s="18" t="s">
        <v>28</v>
      </c>
      <c r="H1625" s="24">
        <v>1000</v>
      </c>
      <c r="I1625" s="25" t="s">
        <v>12</v>
      </c>
      <c r="J1625" s="25" t="s">
        <v>5131</v>
      </c>
      <c r="K1625" s="26" t="s">
        <v>5132</v>
      </c>
      <c r="L1625" s="25" t="s">
        <v>1808</v>
      </c>
      <c r="M1625" t="str">
        <f>TEXT(A1625,"dddd")</f>
        <v>Monday</v>
      </c>
      <c r="N1625" s="35">
        <f>DATE(Table4[[#This Row],[year]],Table4[[#This Row],[month2]],Table4[[#This Row],[day]])</f>
        <v>45892</v>
      </c>
    </row>
    <row r="1626" spans="1:14" ht="16" x14ac:dyDescent="0.35">
      <c r="A1626" t="str">
        <f t="shared" si="50"/>
        <v>23</v>
      </c>
      <c r="B1626">
        <f>_xlfn.SWITCH(Table4[[#This Row],[month]],"jan",1,"feb",2,"mar",3,"apr",4,"may",5,"jun",6,"jul",7,"aug",8,"sep",9,"oct",10,"nov",11,"dec",12,"no month")</f>
        <v>8</v>
      </c>
      <c r="C1626" s="12" t="str">
        <f>LEFT('All Transactions'!$E1626,3)</f>
        <v>Aug</v>
      </c>
      <c r="D1626" s="12" t="str">
        <f t="shared" si="51"/>
        <v>2025</v>
      </c>
      <c r="E1626" s="16" t="s">
        <v>5130</v>
      </c>
      <c r="F1626" s="17" t="s">
        <v>569</v>
      </c>
      <c r="G1626" s="18" t="s">
        <v>28</v>
      </c>
      <c r="H1626" s="19">
        <v>10000</v>
      </c>
      <c r="I1626" s="20" t="s">
        <v>20</v>
      </c>
      <c r="J1626" s="20" t="s">
        <v>5133</v>
      </c>
      <c r="K1626" s="21" t="s">
        <v>5134</v>
      </c>
      <c r="L1626" s="20" t="s">
        <v>1808</v>
      </c>
      <c r="M1626" t="str">
        <f>TEXT(A1626,"dddd")</f>
        <v>Monday</v>
      </c>
      <c r="N1626" s="35">
        <f>DATE(Table4[[#This Row],[year]],Table4[[#This Row],[month2]],Table4[[#This Row],[day]])</f>
        <v>45892</v>
      </c>
    </row>
    <row r="1627" spans="1:14" ht="16" x14ac:dyDescent="0.35">
      <c r="A1627" t="str">
        <f t="shared" si="50"/>
        <v>23</v>
      </c>
      <c r="B1627">
        <f>_xlfn.SWITCH(Table4[[#This Row],[month]],"jan",1,"feb",2,"mar",3,"apr",4,"may",5,"jun",6,"jul",7,"aug",8,"sep",9,"oct",10,"nov",11,"dec",12,"no month")</f>
        <v>8</v>
      </c>
      <c r="C1627" s="12" t="str">
        <f>LEFT('All Transactions'!$E1627,3)</f>
        <v>Aug</v>
      </c>
      <c r="D1627" s="12" t="str">
        <f t="shared" si="51"/>
        <v>2025</v>
      </c>
      <c r="E1627" s="22" t="s">
        <v>5130</v>
      </c>
      <c r="F1627" s="23" t="s">
        <v>4151</v>
      </c>
      <c r="G1627" s="18" t="s">
        <v>28</v>
      </c>
      <c r="H1627" s="24">
        <v>2500</v>
      </c>
      <c r="I1627" s="25" t="s">
        <v>12</v>
      </c>
      <c r="J1627" s="25" t="s">
        <v>5135</v>
      </c>
      <c r="K1627" s="26" t="s">
        <v>5136</v>
      </c>
      <c r="L1627" s="25" t="s">
        <v>1808</v>
      </c>
      <c r="M1627" t="str">
        <f>TEXT(A1627,"dddd")</f>
        <v>Monday</v>
      </c>
      <c r="N1627" s="35">
        <f>DATE(Table4[[#This Row],[year]],Table4[[#This Row],[month2]],Table4[[#This Row],[day]])</f>
        <v>45892</v>
      </c>
    </row>
    <row r="1628" spans="1:14" ht="16" x14ac:dyDescent="0.35">
      <c r="A1628" t="str">
        <f t="shared" si="50"/>
        <v>23</v>
      </c>
      <c r="B1628">
        <f>_xlfn.SWITCH(Table4[[#This Row],[month]],"jan",1,"feb",2,"mar",3,"apr",4,"may",5,"jun",6,"jul",7,"aug",8,"sep",9,"oct",10,"nov",11,"dec",12,"no month")</f>
        <v>8</v>
      </c>
      <c r="C1628" s="12" t="str">
        <f>LEFT('All Transactions'!$E1628,3)</f>
        <v>Aug</v>
      </c>
      <c r="D1628" s="12" t="str">
        <f t="shared" si="51"/>
        <v>2025</v>
      </c>
      <c r="E1628" s="16" t="s">
        <v>5130</v>
      </c>
      <c r="F1628" s="17" t="s">
        <v>5137</v>
      </c>
      <c r="G1628" s="18" t="s">
        <v>28</v>
      </c>
      <c r="H1628" s="19">
        <v>8000</v>
      </c>
      <c r="I1628" s="20" t="s">
        <v>12</v>
      </c>
      <c r="J1628" s="20" t="s">
        <v>5138</v>
      </c>
      <c r="K1628" s="21" t="s">
        <v>5139</v>
      </c>
      <c r="L1628" s="20" t="s">
        <v>1808</v>
      </c>
      <c r="M1628" t="str">
        <f>TEXT(A1628,"dddd")</f>
        <v>Monday</v>
      </c>
      <c r="N1628" s="35">
        <f>DATE(Table4[[#This Row],[year]],Table4[[#This Row],[month2]],Table4[[#This Row],[day]])</f>
        <v>45892</v>
      </c>
    </row>
    <row r="1629" spans="1:14" ht="16" x14ac:dyDescent="0.35">
      <c r="A1629" t="str">
        <f t="shared" si="50"/>
        <v>23</v>
      </c>
      <c r="B1629">
        <f>_xlfn.SWITCH(Table4[[#This Row],[month]],"jan",1,"feb",2,"mar",3,"apr",4,"may",5,"jun",6,"jul",7,"aug",8,"sep",9,"oct",10,"nov",11,"dec",12,"no month")</f>
        <v>8</v>
      </c>
      <c r="C1629" s="12" t="str">
        <f>LEFT('All Transactions'!$E1629,3)</f>
        <v>Aug</v>
      </c>
      <c r="D1629" s="12" t="str">
        <f t="shared" si="51"/>
        <v>2025</v>
      </c>
      <c r="E1629" s="22" t="s">
        <v>5130</v>
      </c>
      <c r="F1629" s="23" t="s">
        <v>2685</v>
      </c>
      <c r="G1629" s="18" t="s">
        <v>28</v>
      </c>
      <c r="H1629" s="24">
        <v>7500</v>
      </c>
      <c r="I1629" s="25" t="s">
        <v>13</v>
      </c>
      <c r="J1629" s="25" t="s">
        <v>5140</v>
      </c>
      <c r="K1629" s="26" t="s">
        <v>5141</v>
      </c>
      <c r="L1629" s="25" t="s">
        <v>32</v>
      </c>
      <c r="M1629" t="str">
        <f>TEXT(A1629,"dddd")</f>
        <v>Monday</v>
      </c>
      <c r="N1629" s="35">
        <f>DATE(Table4[[#This Row],[year]],Table4[[#This Row],[month2]],Table4[[#This Row],[day]])</f>
        <v>45892</v>
      </c>
    </row>
    <row r="1630" spans="1:14" ht="16" x14ac:dyDescent="0.35">
      <c r="A1630" t="str">
        <f t="shared" si="50"/>
        <v>23</v>
      </c>
      <c r="B1630">
        <f>_xlfn.SWITCH(Table4[[#This Row],[month]],"jan",1,"feb",2,"mar",3,"apr",4,"may",5,"jun",6,"jul",7,"aug",8,"sep",9,"oct",10,"nov",11,"dec",12,"no month")</f>
        <v>8</v>
      </c>
      <c r="C1630" s="12" t="str">
        <f>LEFT('All Transactions'!$E1630,3)</f>
        <v>Aug</v>
      </c>
      <c r="D1630" s="12" t="str">
        <f t="shared" si="51"/>
        <v>2025</v>
      </c>
      <c r="E1630" s="16" t="s">
        <v>5130</v>
      </c>
      <c r="F1630" s="17" t="s">
        <v>430</v>
      </c>
      <c r="G1630" s="18" t="s">
        <v>28</v>
      </c>
      <c r="H1630" s="19">
        <v>69</v>
      </c>
      <c r="I1630" s="20" t="s">
        <v>4342</v>
      </c>
      <c r="J1630" s="20" t="s">
        <v>5142</v>
      </c>
      <c r="K1630" s="21" t="s">
        <v>5143</v>
      </c>
      <c r="L1630" s="20" t="s">
        <v>1808</v>
      </c>
      <c r="M1630" t="str">
        <f>TEXT(A1630,"dddd")</f>
        <v>Monday</v>
      </c>
      <c r="N1630" s="35">
        <f>DATE(Table4[[#This Row],[year]],Table4[[#This Row],[month2]],Table4[[#This Row],[day]])</f>
        <v>45892</v>
      </c>
    </row>
    <row r="1631" spans="1:14" ht="16" x14ac:dyDescent="0.35">
      <c r="A1631" t="str">
        <f t="shared" si="50"/>
        <v>23</v>
      </c>
      <c r="B1631">
        <f>_xlfn.SWITCH(Table4[[#This Row],[month]],"jan",1,"feb",2,"mar",3,"apr",4,"may",5,"jun",6,"jul",7,"aug",8,"sep",9,"oct",10,"nov",11,"dec",12,"no month")</f>
        <v>8</v>
      </c>
      <c r="C1631" s="12" t="str">
        <f>LEFT('All Transactions'!$E1631,3)</f>
        <v>Aug</v>
      </c>
      <c r="D1631" s="12" t="str">
        <f t="shared" si="51"/>
        <v>2025</v>
      </c>
      <c r="E1631" s="22" t="s">
        <v>5130</v>
      </c>
      <c r="F1631" s="23" t="s">
        <v>5144</v>
      </c>
      <c r="G1631" s="18" t="s">
        <v>28</v>
      </c>
      <c r="H1631" s="24">
        <v>324</v>
      </c>
      <c r="I1631" s="25" t="s">
        <v>4547</v>
      </c>
      <c r="J1631" s="25" t="s">
        <v>5145</v>
      </c>
      <c r="K1631" s="26" t="s">
        <v>5146</v>
      </c>
      <c r="L1631" s="25" t="s">
        <v>32</v>
      </c>
      <c r="M1631" t="str">
        <f>TEXT(A1631,"dddd")</f>
        <v>Monday</v>
      </c>
      <c r="N1631" s="35">
        <f>DATE(Table4[[#This Row],[year]],Table4[[#This Row],[month2]],Table4[[#This Row],[day]])</f>
        <v>45892</v>
      </c>
    </row>
    <row r="1632" spans="1:14" ht="16" x14ac:dyDescent="0.35">
      <c r="A1632" t="str">
        <f t="shared" si="50"/>
        <v>22</v>
      </c>
      <c r="B1632">
        <f>_xlfn.SWITCH(Table4[[#This Row],[month]],"jan",1,"feb",2,"mar",3,"apr",4,"may",5,"jun",6,"jul",7,"aug",8,"sep",9,"oct",10,"nov",11,"dec",12,"no month")</f>
        <v>8</v>
      </c>
      <c r="C1632" s="12" t="str">
        <f>LEFT('All Transactions'!$E1632,3)</f>
        <v>Aug</v>
      </c>
      <c r="D1632" s="12" t="str">
        <f t="shared" si="51"/>
        <v>2025</v>
      </c>
      <c r="E1632" s="16" t="s">
        <v>5147</v>
      </c>
      <c r="F1632" s="17" t="s">
        <v>3806</v>
      </c>
      <c r="G1632" s="18" t="s">
        <v>28</v>
      </c>
      <c r="H1632" s="19">
        <v>10</v>
      </c>
      <c r="I1632" s="20" t="s">
        <v>3672</v>
      </c>
      <c r="J1632" s="20" t="s">
        <v>5148</v>
      </c>
      <c r="K1632" s="21" t="s">
        <v>5149</v>
      </c>
      <c r="L1632" s="20" t="s">
        <v>47</v>
      </c>
      <c r="M1632" t="str">
        <f>TEXT(A1632,"dddd")</f>
        <v>Sunday</v>
      </c>
      <c r="N1632" s="35">
        <f>DATE(Table4[[#This Row],[year]],Table4[[#This Row],[month2]],Table4[[#This Row],[day]])</f>
        <v>45891</v>
      </c>
    </row>
    <row r="1633" spans="1:14" ht="16" x14ac:dyDescent="0.35">
      <c r="A1633" t="str">
        <f t="shared" si="50"/>
        <v>22</v>
      </c>
      <c r="B1633">
        <f>_xlfn.SWITCH(Table4[[#This Row],[month]],"jan",1,"feb",2,"mar",3,"apr",4,"may",5,"jun",6,"jul",7,"aug",8,"sep",9,"oct",10,"nov",11,"dec",12,"no month")</f>
        <v>8</v>
      </c>
      <c r="C1633" s="12" t="str">
        <f>LEFT('All Transactions'!$E1633,3)</f>
        <v>Aug</v>
      </c>
      <c r="D1633" s="12" t="str">
        <f t="shared" si="51"/>
        <v>2025</v>
      </c>
      <c r="E1633" s="22" t="s">
        <v>5147</v>
      </c>
      <c r="F1633" s="23" t="s">
        <v>134</v>
      </c>
      <c r="G1633" s="18" t="s">
        <v>28</v>
      </c>
      <c r="H1633" s="24">
        <v>20</v>
      </c>
      <c r="I1633" s="25" t="s">
        <v>3951</v>
      </c>
      <c r="J1633" s="25" t="s">
        <v>5150</v>
      </c>
      <c r="K1633" s="26" t="s">
        <v>5151</v>
      </c>
      <c r="L1633" s="25" t="s">
        <v>47</v>
      </c>
      <c r="M1633" t="str">
        <f>TEXT(A1633,"dddd")</f>
        <v>Sunday</v>
      </c>
      <c r="N1633" s="35">
        <f>DATE(Table4[[#This Row],[year]],Table4[[#This Row],[month2]],Table4[[#This Row],[day]])</f>
        <v>45891</v>
      </c>
    </row>
    <row r="1634" spans="1:14" ht="16" x14ac:dyDescent="0.35">
      <c r="A1634" t="str">
        <f t="shared" si="50"/>
        <v>22</v>
      </c>
      <c r="B1634">
        <f>_xlfn.SWITCH(Table4[[#This Row],[month]],"jan",1,"feb",2,"mar",3,"apr",4,"may",5,"jun",6,"jul",7,"aug",8,"sep",9,"oct",10,"nov",11,"dec",12,"no month")</f>
        <v>8</v>
      </c>
      <c r="C1634" s="12" t="str">
        <f>LEFT('All Transactions'!$E1634,3)</f>
        <v>Aug</v>
      </c>
      <c r="D1634" s="12" t="str">
        <f t="shared" si="51"/>
        <v>2025</v>
      </c>
      <c r="E1634" s="16" t="s">
        <v>5147</v>
      </c>
      <c r="F1634" s="17" t="s">
        <v>320</v>
      </c>
      <c r="G1634" s="18" t="s">
        <v>28</v>
      </c>
      <c r="H1634" s="19">
        <v>100</v>
      </c>
      <c r="I1634" s="20" t="s">
        <v>4965</v>
      </c>
      <c r="J1634" s="20" t="s">
        <v>5152</v>
      </c>
      <c r="K1634" s="21" t="s">
        <v>5153</v>
      </c>
      <c r="L1634" s="20" t="s">
        <v>47</v>
      </c>
      <c r="M1634" t="str">
        <f>TEXT(A1634,"dddd")</f>
        <v>Sunday</v>
      </c>
      <c r="N1634" s="35">
        <f>DATE(Table4[[#This Row],[year]],Table4[[#This Row],[month2]],Table4[[#This Row],[day]])</f>
        <v>45891</v>
      </c>
    </row>
    <row r="1635" spans="1:14" ht="16" x14ac:dyDescent="0.35">
      <c r="A1635" t="str">
        <f t="shared" si="50"/>
        <v>22</v>
      </c>
      <c r="B1635">
        <f>_xlfn.SWITCH(Table4[[#This Row],[month]],"jan",1,"feb",2,"mar",3,"apr",4,"may",5,"jun",6,"jul",7,"aug",8,"sep",9,"oct",10,"nov",11,"dec",12,"no month")</f>
        <v>8</v>
      </c>
      <c r="C1635" s="12" t="str">
        <f>LEFT('All Transactions'!$E1635,3)</f>
        <v>Aug</v>
      </c>
      <c r="D1635" s="12" t="str">
        <f t="shared" si="51"/>
        <v>2025</v>
      </c>
      <c r="E1635" s="22" t="s">
        <v>5147</v>
      </c>
      <c r="F1635" s="23" t="s">
        <v>1702</v>
      </c>
      <c r="G1635" s="18" t="s">
        <v>28</v>
      </c>
      <c r="H1635" s="24">
        <v>400</v>
      </c>
      <c r="I1635" s="25" t="s">
        <v>20</v>
      </c>
      <c r="J1635" s="25" t="s">
        <v>5154</v>
      </c>
      <c r="K1635" s="26" t="s">
        <v>5155</v>
      </c>
      <c r="L1635" s="25" t="s">
        <v>1808</v>
      </c>
      <c r="M1635" t="str">
        <f>TEXT(A1635,"dddd")</f>
        <v>Sunday</v>
      </c>
      <c r="N1635" s="35">
        <f>DATE(Table4[[#This Row],[year]],Table4[[#This Row],[month2]],Table4[[#This Row],[day]])</f>
        <v>45891</v>
      </c>
    </row>
    <row r="1636" spans="1:14" ht="16" x14ac:dyDescent="0.35">
      <c r="A1636" t="str">
        <f t="shared" si="50"/>
        <v>22</v>
      </c>
      <c r="B1636">
        <f>_xlfn.SWITCH(Table4[[#This Row],[month]],"jan",1,"feb",2,"mar",3,"apr",4,"may",5,"jun",6,"jul",7,"aug",8,"sep",9,"oct",10,"nov",11,"dec",12,"no month")</f>
        <v>8</v>
      </c>
      <c r="C1636" s="12" t="str">
        <f>LEFT('All Transactions'!$E1636,3)</f>
        <v>Aug</v>
      </c>
      <c r="D1636" s="12" t="str">
        <f t="shared" si="51"/>
        <v>2025</v>
      </c>
      <c r="E1636" s="16" t="s">
        <v>5147</v>
      </c>
      <c r="F1636" s="17" t="s">
        <v>1629</v>
      </c>
      <c r="G1636" s="18" t="s">
        <v>28</v>
      </c>
      <c r="H1636" s="19">
        <v>4500</v>
      </c>
      <c r="I1636" s="20" t="s">
        <v>13</v>
      </c>
      <c r="J1636" s="20" t="s">
        <v>5156</v>
      </c>
      <c r="K1636" s="21" t="s">
        <v>5157</v>
      </c>
      <c r="L1636" s="20" t="s">
        <v>32</v>
      </c>
      <c r="M1636" t="str">
        <f>TEXT(A1636,"dddd")</f>
        <v>Sunday</v>
      </c>
      <c r="N1636" s="35">
        <f>DATE(Table4[[#This Row],[year]],Table4[[#This Row],[month2]],Table4[[#This Row],[day]])</f>
        <v>45891</v>
      </c>
    </row>
    <row r="1637" spans="1:14" ht="16" x14ac:dyDescent="0.35">
      <c r="A1637" t="str">
        <f t="shared" si="50"/>
        <v>22</v>
      </c>
      <c r="B1637">
        <f>_xlfn.SWITCH(Table4[[#This Row],[month]],"jan",1,"feb",2,"mar",3,"apr",4,"may",5,"jun",6,"jul",7,"aug",8,"sep",9,"oct",10,"nov",11,"dec",12,"no month")</f>
        <v>8</v>
      </c>
      <c r="C1637" s="12" t="str">
        <f>LEFT('All Transactions'!$E1637,3)</f>
        <v>Aug</v>
      </c>
      <c r="D1637" s="12" t="str">
        <f t="shared" si="51"/>
        <v>2025</v>
      </c>
      <c r="E1637" s="22" t="s">
        <v>5147</v>
      </c>
      <c r="F1637" s="23" t="s">
        <v>44</v>
      </c>
      <c r="G1637" s="18" t="s">
        <v>28</v>
      </c>
      <c r="H1637" s="24">
        <v>30</v>
      </c>
      <c r="I1637" s="25" t="s">
        <v>5158</v>
      </c>
      <c r="J1637" s="25" t="s">
        <v>5159</v>
      </c>
      <c r="K1637" s="26" t="s">
        <v>5160</v>
      </c>
      <c r="L1637" s="25" t="s">
        <v>47</v>
      </c>
      <c r="M1637" t="str">
        <f>TEXT(A1637,"dddd")</f>
        <v>Sunday</v>
      </c>
      <c r="N1637" s="35">
        <f>DATE(Table4[[#This Row],[year]],Table4[[#This Row],[month2]],Table4[[#This Row],[day]])</f>
        <v>45891</v>
      </c>
    </row>
    <row r="1638" spans="1:14" ht="16" x14ac:dyDescent="0.35">
      <c r="A1638" t="str">
        <f t="shared" si="50"/>
        <v>21</v>
      </c>
      <c r="B1638">
        <f>_xlfn.SWITCH(Table4[[#This Row],[month]],"jan",1,"feb",2,"mar",3,"apr",4,"may",5,"jun",6,"jul",7,"aug",8,"sep",9,"oct",10,"nov",11,"dec",12,"no month")</f>
        <v>8</v>
      </c>
      <c r="C1638" s="12" t="str">
        <f>LEFT('All Transactions'!$E1638,3)</f>
        <v>Aug</v>
      </c>
      <c r="D1638" s="12" t="str">
        <f t="shared" si="51"/>
        <v>2025</v>
      </c>
      <c r="E1638" s="16" t="s">
        <v>5161</v>
      </c>
      <c r="F1638" s="17" t="s">
        <v>2064</v>
      </c>
      <c r="G1638" s="18" t="s">
        <v>28</v>
      </c>
      <c r="H1638" s="19">
        <v>289</v>
      </c>
      <c r="I1638" s="20" t="s">
        <v>4958</v>
      </c>
      <c r="J1638" s="20" t="s">
        <v>5162</v>
      </c>
      <c r="K1638" s="21" t="s">
        <v>5163</v>
      </c>
      <c r="L1638" s="20" t="s">
        <v>32</v>
      </c>
      <c r="M1638" t="str">
        <f>TEXT(A1638,"dddd")</f>
        <v>Saturday</v>
      </c>
      <c r="N1638" s="35">
        <f>DATE(Table4[[#This Row],[year]],Table4[[#This Row],[month2]],Table4[[#This Row],[day]])</f>
        <v>45890</v>
      </c>
    </row>
    <row r="1639" spans="1:14" ht="16" x14ac:dyDescent="0.35">
      <c r="A1639" t="str">
        <f t="shared" si="50"/>
        <v>21</v>
      </c>
      <c r="B1639">
        <f>_xlfn.SWITCH(Table4[[#This Row],[month]],"jan",1,"feb",2,"mar",3,"apr",4,"may",5,"jun",6,"jul",7,"aug",8,"sep",9,"oct",10,"nov",11,"dec",12,"no month")</f>
        <v>8</v>
      </c>
      <c r="C1639" s="12" t="str">
        <f>LEFT('All Transactions'!$E1639,3)</f>
        <v>Aug</v>
      </c>
      <c r="D1639" s="12" t="str">
        <f t="shared" si="51"/>
        <v>2025</v>
      </c>
      <c r="E1639" s="22" t="s">
        <v>5161</v>
      </c>
      <c r="F1639" s="23" t="s">
        <v>1009</v>
      </c>
      <c r="G1639" s="18" t="s">
        <v>28</v>
      </c>
      <c r="H1639" s="24">
        <v>29</v>
      </c>
      <c r="I1639" s="25" t="s">
        <v>5164</v>
      </c>
      <c r="J1639" s="25" t="s">
        <v>5165</v>
      </c>
      <c r="K1639" s="26" t="s">
        <v>5166</v>
      </c>
      <c r="L1639" s="25" t="s">
        <v>1808</v>
      </c>
      <c r="M1639" t="str">
        <f>TEXT(A1639,"dddd")</f>
        <v>Saturday</v>
      </c>
      <c r="N1639" s="35">
        <f>DATE(Table4[[#This Row],[year]],Table4[[#This Row],[month2]],Table4[[#This Row],[day]])</f>
        <v>45890</v>
      </c>
    </row>
    <row r="1640" spans="1:14" ht="16" x14ac:dyDescent="0.35">
      <c r="A1640" t="str">
        <f t="shared" si="50"/>
        <v>21</v>
      </c>
      <c r="B1640">
        <f>_xlfn.SWITCH(Table4[[#This Row],[month]],"jan",1,"feb",2,"mar",3,"apr",4,"may",5,"jun",6,"jul",7,"aug",8,"sep",9,"oct",10,"nov",11,"dec",12,"no month")</f>
        <v>8</v>
      </c>
      <c r="C1640" s="12" t="str">
        <f>LEFT('All Transactions'!$E1640,3)</f>
        <v>Aug</v>
      </c>
      <c r="D1640" s="12" t="str">
        <f t="shared" si="51"/>
        <v>2025</v>
      </c>
      <c r="E1640" s="16" t="s">
        <v>5161</v>
      </c>
      <c r="F1640" s="17" t="s">
        <v>843</v>
      </c>
      <c r="G1640" s="18" t="s">
        <v>28</v>
      </c>
      <c r="H1640" s="19">
        <v>19</v>
      </c>
      <c r="I1640" s="20" t="s">
        <v>5167</v>
      </c>
      <c r="J1640" s="20" t="s">
        <v>5168</v>
      </c>
      <c r="K1640" s="21" t="s">
        <v>5169</v>
      </c>
      <c r="L1640" s="20" t="s">
        <v>1808</v>
      </c>
      <c r="M1640" t="str">
        <f>TEXT(A1640,"dddd")</f>
        <v>Saturday</v>
      </c>
      <c r="N1640" s="35">
        <f>DATE(Table4[[#This Row],[year]],Table4[[#This Row],[month2]],Table4[[#This Row],[day]])</f>
        <v>45890</v>
      </c>
    </row>
    <row r="1641" spans="1:14" ht="16" x14ac:dyDescent="0.35">
      <c r="A1641" t="str">
        <f t="shared" si="50"/>
        <v>21</v>
      </c>
      <c r="B1641">
        <f>_xlfn.SWITCH(Table4[[#This Row],[month]],"jan",1,"feb",2,"mar",3,"apr",4,"may",5,"jun",6,"jul",7,"aug",8,"sep",9,"oct",10,"nov",11,"dec",12,"no month")</f>
        <v>8</v>
      </c>
      <c r="C1641" s="12" t="str">
        <f>LEFT('All Transactions'!$E1641,3)</f>
        <v>Aug</v>
      </c>
      <c r="D1641" s="12" t="str">
        <f t="shared" si="51"/>
        <v>2025</v>
      </c>
      <c r="E1641" s="22" t="s">
        <v>5161</v>
      </c>
      <c r="F1641" s="23" t="s">
        <v>373</v>
      </c>
      <c r="G1641" s="18" t="s">
        <v>28</v>
      </c>
      <c r="H1641" s="24">
        <v>108.9</v>
      </c>
      <c r="I1641" s="25" t="s">
        <v>5170</v>
      </c>
      <c r="J1641" s="25" t="s">
        <v>5171</v>
      </c>
      <c r="K1641" s="26" t="s">
        <v>5172</v>
      </c>
      <c r="L1641" s="25" t="s">
        <v>32</v>
      </c>
      <c r="M1641" t="str">
        <f>TEXT(A1641,"dddd")</f>
        <v>Saturday</v>
      </c>
      <c r="N1641" s="35">
        <f>DATE(Table4[[#This Row],[year]],Table4[[#This Row],[month2]],Table4[[#This Row],[day]])</f>
        <v>45890</v>
      </c>
    </row>
    <row r="1642" spans="1:14" ht="16" x14ac:dyDescent="0.35">
      <c r="A1642" t="str">
        <f t="shared" si="50"/>
        <v>21</v>
      </c>
      <c r="B1642">
        <f>_xlfn.SWITCH(Table4[[#This Row],[month]],"jan",1,"feb",2,"mar",3,"apr",4,"may",5,"jun",6,"jul",7,"aug",8,"sep",9,"oct",10,"nov",11,"dec",12,"no month")</f>
        <v>8</v>
      </c>
      <c r="C1642" s="12" t="str">
        <f>LEFT('All Transactions'!$E1642,3)</f>
        <v>Aug</v>
      </c>
      <c r="D1642" s="12" t="str">
        <f t="shared" si="51"/>
        <v>2025</v>
      </c>
      <c r="E1642" s="16" t="s">
        <v>5161</v>
      </c>
      <c r="F1642" s="17" t="s">
        <v>600</v>
      </c>
      <c r="G1642" s="18" t="s">
        <v>28</v>
      </c>
      <c r="H1642" s="19">
        <v>90</v>
      </c>
      <c r="I1642" s="20" t="s">
        <v>5173</v>
      </c>
      <c r="J1642" s="20" t="s">
        <v>5174</v>
      </c>
      <c r="K1642" s="21" t="s">
        <v>5175</v>
      </c>
      <c r="L1642" s="20" t="s">
        <v>47</v>
      </c>
      <c r="M1642" t="str">
        <f>TEXT(A1642,"dddd")</f>
        <v>Saturday</v>
      </c>
      <c r="N1642" s="35">
        <f>DATE(Table4[[#This Row],[year]],Table4[[#This Row],[month2]],Table4[[#This Row],[day]])</f>
        <v>45890</v>
      </c>
    </row>
    <row r="1643" spans="1:14" ht="16" x14ac:dyDescent="0.35">
      <c r="A1643" t="str">
        <f t="shared" si="50"/>
        <v>21</v>
      </c>
      <c r="B1643">
        <f>_xlfn.SWITCH(Table4[[#This Row],[month]],"jan",1,"feb",2,"mar",3,"apr",4,"may",5,"jun",6,"jul",7,"aug",8,"sep",9,"oct",10,"nov",11,"dec",12,"no month")</f>
        <v>8</v>
      </c>
      <c r="C1643" s="12" t="str">
        <f>LEFT('All Transactions'!$E1643,3)</f>
        <v>Aug</v>
      </c>
      <c r="D1643" s="12" t="str">
        <f t="shared" si="51"/>
        <v>2025</v>
      </c>
      <c r="E1643" s="22" t="s">
        <v>5161</v>
      </c>
      <c r="F1643" s="23" t="s">
        <v>2963</v>
      </c>
      <c r="G1643" s="18" t="s">
        <v>28</v>
      </c>
      <c r="H1643" s="24">
        <v>35</v>
      </c>
      <c r="I1643" s="25" t="s">
        <v>5176</v>
      </c>
      <c r="J1643" s="25" t="s">
        <v>5177</v>
      </c>
      <c r="K1643" s="26" t="s">
        <v>5178</v>
      </c>
      <c r="L1643" s="25" t="s">
        <v>47</v>
      </c>
      <c r="M1643" t="str">
        <f>TEXT(A1643,"dddd")</f>
        <v>Saturday</v>
      </c>
      <c r="N1643" s="35">
        <f>DATE(Table4[[#This Row],[year]],Table4[[#This Row],[month2]],Table4[[#This Row],[day]])</f>
        <v>45890</v>
      </c>
    </row>
    <row r="1644" spans="1:14" ht="16" x14ac:dyDescent="0.35">
      <c r="A1644" t="str">
        <f t="shared" si="50"/>
        <v>21</v>
      </c>
      <c r="B1644">
        <f>_xlfn.SWITCH(Table4[[#This Row],[month]],"jan",1,"feb",2,"mar",3,"apr",4,"may",5,"jun",6,"jul",7,"aug",8,"sep",9,"oct",10,"nov",11,"dec",12,"no month")</f>
        <v>8</v>
      </c>
      <c r="C1644" s="12" t="str">
        <f>LEFT('All Transactions'!$E1644,3)</f>
        <v>Aug</v>
      </c>
      <c r="D1644" s="12" t="str">
        <f t="shared" si="51"/>
        <v>2025</v>
      </c>
      <c r="E1644" s="16" t="s">
        <v>5161</v>
      </c>
      <c r="F1644" s="17" t="s">
        <v>5179</v>
      </c>
      <c r="G1644" s="18" t="s">
        <v>28</v>
      </c>
      <c r="H1644" s="19">
        <v>2800</v>
      </c>
      <c r="I1644" s="20" t="s">
        <v>20</v>
      </c>
      <c r="J1644" s="20" t="s">
        <v>5180</v>
      </c>
      <c r="K1644" s="21" t="s">
        <v>5181</v>
      </c>
      <c r="L1644" s="20" t="s">
        <v>47</v>
      </c>
      <c r="M1644" t="str">
        <f>TEXT(A1644,"dddd")</f>
        <v>Saturday</v>
      </c>
      <c r="N1644" s="35">
        <f>DATE(Table4[[#This Row],[year]],Table4[[#This Row],[month2]],Table4[[#This Row],[day]])</f>
        <v>45890</v>
      </c>
    </row>
    <row r="1645" spans="1:14" ht="16" x14ac:dyDescent="0.35">
      <c r="A1645" t="str">
        <f t="shared" si="50"/>
        <v>21</v>
      </c>
      <c r="B1645">
        <f>_xlfn.SWITCH(Table4[[#This Row],[month]],"jan",1,"feb",2,"mar",3,"apr",4,"may",5,"jun",6,"jul",7,"aug",8,"sep",9,"oct",10,"nov",11,"dec",12,"no month")</f>
        <v>8</v>
      </c>
      <c r="C1645" s="12" t="str">
        <f>LEFT('All Transactions'!$E1645,3)</f>
        <v>Aug</v>
      </c>
      <c r="D1645" s="12" t="str">
        <f t="shared" si="51"/>
        <v>2025</v>
      </c>
      <c r="E1645" s="22" t="s">
        <v>5161</v>
      </c>
      <c r="F1645" s="23" t="s">
        <v>5182</v>
      </c>
      <c r="G1645" s="18" t="s">
        <v>28</v>
      </c>
      <c r="H1645" s="24">
        <v>41</v>
      </c>
      <c r="I1645" s="25" t="s">
        <v>5183</v>
      </c>
      <c r="J1645" s="25" t="s">
        <v>5184</v>
      </c>
      <c r="K1645" s="26" t="s">
        <v>5185</v>
      </c>
      <c r="L1645" s="25" t="s">
        <v>47</v>
      </c>
      <c r="M1645" t="str">
        <f>TEXT(A1645,"dddd")</f>
        <v>Saturday</v>
      </c>
      <c r="N1645" s="35">
        <f>DATE(Table4[[#This Row],[year]],Table4[[#This Row],[month2]],Table4[[#This Row],[day]])</f>
        <v>45890</v>
      </c>
    </row>
    <row r="1646" spans="1:14" ht="16" x14ac:dyDescent="0.35">
      <c r="A1646" t="str">
        <f t="shared" si="50"/>
        <v>21</v>
      </c>
      <c r="B1646">
        <f>_xlfn.SWITCH(Table4[[#This Row],[month]],"jan",1,"feb",2,"mar",3,"apr",4,"may",5,"jun",6,"jul",7,"aug",8,"sep",9,"oct",10,"nov",11,"dec",12,"no month")</f>
        <v>8</v>
      </c>
      <c r="C1646" s="12" t="str">
        <f>LEFT('All Transactions'!$E1646,3)</f>
        <v>Aug</v>
      </c>
      <c r="D1646" s="12" t="str">
        <f t="shared" si="51"/>
        <v>2025</v>
      </c>
      <c r="E1646" s="16" t="s">
        <v>5161</v>
      </c>
      <c r="F1646" s="17" t="s">
        <v>5186</v>
      </c>
      <c r="G1646" s="18" t="s">
        <v>28</v>
      </c>
      <c r="H1646" s="19">
        <v>116.52</v>
      </c>
      <c r="I1646" s="20" t="s">
        <v>5187</v>
      </c>
      <c r="J1646" s="20" t="s">
        <v>5188</v>
      </c>
      <c r="K1646" s="21" t="s">
        <v>5189</v>
      </c>
      <c r="L1646" s="20" t="s">
        <v>32</v>
      </c>
      <c r="M1646" t="str">
        <f>TEXT(A1646,"dddd")</f>
        <v>Saturday</v>
      </c>
      <c r="N1646" s="35">
        <f>DATE(Table4[[#This Row],[year]],Table4[[#This Row],[month2]],Table4[[#This Row],[day]])</f>
        <v>45890</v>
      </c>
    </row>
    <row r="1647" spans="1:14" ht="16" x14ac:dyDescent="0.35">
      <c r="A1647" t="str">
        <f t="shared" si="50"/>
        <v>21</v>
      </c>
      <c r="B1647">
        <f>_xlfn.SWITCH(Table4[[#This Row],[month]],"jan",1,"feb",2,"mar",3,"apr",4,"may",5,"jun",6,"jul",7,"aug",8,"sep",9,"oct",10,"nov",11,"dec",12,"no month")</f>
        <v>8</v>
      </c>
      <c r="C1647" s="12" t="str">
        <f>LEFT('All Transactions'!$E1647,3)</f>
        <v>Aug</v>
      </c>
      <c r="D1647" s="12" t="str">
        <f t="shared" si="51"/>
        <v>2025</v>
      </c>
      <c r="E1647" s="22" t="s">
        <v>5161</v>
      </c>
      <c r="F1647" s="23" t="s">
        <v>5190</v>
      </c>
      <c r="G1647" s="18" t="s">
        <v>28</v>
      </c>
      <c r="H1647" s="24">
        <v>81</v>
      </c>
      <c r="I1647" s="25" t="s">
        <v>5191</v>
      </c>
      <c r="J1647" s="25" t="s">
        <v>5192</v>
      </c>
      <c r="K1647" s="26" t="s">
        <v>5193</v>
      </c>
      <c r="L1647" s="25" t="s">
        <v>32</v>
      </c>
      <c r="M1647" t="str">
        <f>TEXT(A1647,"dddd")</f>
        <v>Saturday</v>
      </c>
      <c r="N1647" s="35">
        <f>DATE(Table4[[#This Row],[year]],Table4[[#This Row],[month2]],Table4[[#This Row],[day]])</f>
        <v>45890</v>
      </c>
    </row>
    <row r="1648" spans="1:14" ht="16" x14ac:dyDescent="0.35">
      <c r="A1648" t="str">
        <f t="shared" si="50"/>
        <v>21</v>
      </c>
      <c r="B1648">
        <f>_xlfn.SWITCH(Table4[[#This Row],[month]],"jan",1,"feb",2,"mar",3,"apr",4,"may",5,"jun",6,"jul",7,"aug",8,"sep",9,"oct",10,"nov",11,"dec",12,"no month")</f>
        <v>8</v>
      </c>
      <c r="C1648" s="12" t="str">
        <f>LEFT('All Transactions'!$E1648,3)</f>
        <v>Aug</v>
      </c>
      <c r="D1648" s="12" t="str">
        <f t="shared" si="51"/>
        <v>2025</v>
      </c>
      <c r="E1648" s="16" t="s">
        <v>5161</v>
      </c>
      <c r="F1648" s="17" t="s">
        <v>5194</v>
      </c>
      <c r="G1648" s="18" t="s">
        <v>28</v>
      </c>
      <c r="H1648" s="19">
        <v>40</v>
      </c>
      <c r="I1648" s="20" t="s">
        <v>5195</v>
      </c>
      <c r="J1648" s="20" t="s">
        <v>5196</v>
      </c>
      <c r="K1648" s="21" t="s">
        <v>5197</v>
      </c>
      <c r="L1648" s="20" t="s">
        <v>47</v>
      </c>
      <c r="M1648" t="str">
        <f>TEXT(A1648,"dddd")</f>
        <v>Saturday</v>
      </c>
      <c r="N1648" s="35">
        <f>DATE(Table4[[#This Row],[year]],Table4[[#This Row],[month2]],Table4[[#This Row],[day]])</f>
        <v>45890</v>
      </c>
    </row>
    <row r="1649" spans="1:14" ht="16" x14ac:dyDescent="0.35">
      <c r="A1649" t="str">
        <f t="shared" si="50"/>
        <v>20</v>
      </c>
      <c r="B1649">
        <f>_xlfn.SWITCH(Table4[[#This Row],[month]],"jan",1,"feb",2,"mar",3,"apr",4,"may",5,"jun",6,"jul",7,"aug",8,"sep",9,"oct",10,"nov",11,"dec",12,"no month")</f>
        <v>8</v>
      </c>
      <c r="C1649" s="12" t="str">
        <f>LEFT('All Transactions'!$E1649,3)</f>
        <v>Aug</v>
      </c>
      <c r="D1649" s="12" t="str">
        <f t="shared" si="51"/>
        <v>2025</v>
      </c>
      <c r="E1649" s="22" t="s">
        <v>5198</v>
      </c>
      <c r="F1649" s="23" t="s">
        <v>5199</v>
      </c>
      <c r="G1649" s="18" t="s">
        <v>28</v>
      </c>
      <c r="H1649" s="24">
        <v>5</v>
      </c>
      <c r="I1649" s="25" t="s">
        <v>5200</v>
      </c>
      <c r="J1649" s="25" t="s">
        <v>5201</v>
      </c>
      <c r="K1649" s="26" t="s">
        <v>5202</v>
      </c>
      <c r="L1649" s="25" t="s">
        <v>47</v>
      </c>
      <c r="M1649" t="str">
        <f>TEXT(A1649,"dddd")</f>
        <v>Friday</v>
      </c>
      <c r="N1649" s="35">
        <f>DATE(Table4[[#This Row],[year]],Table4[[#This Row],[month2]],Table4[[#This Row],[day]])</f>
        <v>45889</v>
      </c>
    </row>
    <row r="1650" spans="1:14" ht="16" x14ac:dyDescent="0.35">
      <c r="A1650" t="str">
        <f t="shared" si="50"/>
        <v>20</v>
      </c>
      <c r="B1650">
        <f>_xlfn.SWITCH(Table4[[#This Row],[month]],"jan",1,"feb",2,"mar",3,"apr",4,"may",5,"jun",6,"jul",7,"aug",8,"sep",9,"oct",10,"nov",11,"dec",12,"no month")</f>
        <v>8</v>
      </c>
      <c r="C1650" s="12" t="str">
        <f>LEFT('All Transactions'!$E1650,3)</f>
        <v>Aug</v>
      </c>
      <c r="D1650" s="12" t="str">
        <f t="shared" si="51"/>
        <v>2025</v>
      </c>
      <c r="E1650" s="16" t="s">
        <v>5198</v>
      </c>
      <c r="F1650" s="17" t="s">
        <v>4913</v>
      </c>
      <c r="G1650" s="18" t="s">
        <v>28</v>
      </c>
      <c r="H1650" s="19">
        <v>40</v>
      </c>
      <c r="I1650" s="20" t="s">
        <v>5203</v>
      </c>
      <c r="J1650" s="20" t="s">
        <v>5204</v>
      </c>
      <c r="K1650" s="21" t="s">
        <v>5205</v>
      </c>
      <c r="L1650" s="20" t="s">
        <v>1808</v>
      </c>
      <c r="M1650" t="str">
        <f>TEXT(A1650,"dddd")</f>
        <v>Friday</v>
      </c>
      <c r="N1650" s="35">
        <f>DATE(Table4[[#This Row],[year]],Table4[[#This Row],[month2]],Table4[[#This Row],[day]])</f>
        <v>45889</v>
      </c>
    </row>
    <row r="1651" spans="1:14" ht="16" x14ac:dyDescent="0.35">
      <c r="A1651" t="str">
        <f t="shared" si="50"/>
        <v>20</v>
      </c>
      <c r="B1651">
        <f>_xlfn.SWITCH(Table4[[#This Row],[month]],"jan",1,"feb",2,"mar",3,"apr",4,"may",5,"jun",6,"jul",7,"aug",8,"sep",9,"oct",10,"nov",11,"dec",12,"no month")</f>
        <v>8</v>
      </c>
      <c r="C1651" s="12" t="str">
        <f>LEFT('All Transactions'!$E1651,3)</f>
        <v>Aug</v>
      </c>
      <c r="D1651" s="12" t="str">
        <f t="shared" si="51"/>
        <v>2025</v>
      </c>
      <c r="E1651" s="22" t="s">
        <v>5198</v>
      </c>
      <c r="F1651" s="23" t="s">
        <v>995</v>
      </c>
      <c r="G1651" s="18" t="s">
        <v>28</v>
      </c>
      <c r="H1651" s="24">
        <v>19</v>
      </c>
      <c r="I1651" s="25" t="s">
        <v>5206</v>
      </c>
      <c r="J1651" s="25" t="s">
        <v>5207</v>
      </c>
      <c r="K1651" s="26" t="s">
        <v>5208</v>
      </c>
      <c r="L1651" s="25" t="s">
        <v>1808</v>
      </c>
      <c r="M1651" t="str">
        <f>TEXT(A1651,"dddd")</f>
        <v>Friday</v>
      </c>
      <c r="N1651" s="35">
        <f>DATE(Table4[[#This Row],[year]],Table4[[#This Row],[month2]],Table4[[#This Row],[day]])</f>
        <v>45889</v>
      </c>
    </row>
    <row r="1652" spans="1:14" ht="16" x14ac:dyDescent="0.35">
      <c r="A1652" t="str">
        <f t="shared" si="50"/>
        <v>20</v>
      </c>
      <c r="B1652">
        <f>_xlfn.SWITCH(Table4[[#This Row],[month]],"jan",1,"feb",2,"mar",3,"apr",4,"may",5,"jun",6,"jul",7,"aug",8,"sep",9,"oct",10,"nov",11,"dec",12,"no month")</f>
        <v>8</v>
      </c>
      <c r="C1652" s="12" t="str">
        <f>LEFT('All Transactions'!$E1652,3)</f>
        <v>Aug</v>
      </c>
      <c r="D1652" s="12" t="str">
        <f t="shared" si="51"/>
        <v>2025</v>
      </c>
      <c r="E1652" s="16" t="s">
        <v>5198</v>
      </c>
      <c r="F1652" s="17" t="s">
        <v>104</v>
      </c>
      <c r="G1652" s="27" t="s">
        <v>54</v>
      </c>
      <c r="H1652" s="19">
        <v>3</v>
      </c>
      <c r="I1652" s="20" t="s">
        <v>2883</v>
      </c>
      <c r="J1652" s="20" t="s">
        <v>5209</v>
      </c>
      <c r="K1652" s="21"/>
      <c r="L1652" s="20" t="s">
        <v>2885</v>
      </c>
      <c r="M1652" t="str">
        <f>TEXT(A1652,"dddd")</f>
        <v>Friday</v>
      </c>
      <c r="N1652" s="35">
        <f>DATE(Table4[[#This Row],[year]],Table4[[#This Row],[month2]],Table4[[#This Row],[day]])</f>
        <v>45889</v>
      </c>
    </row>
    <row r="1653" spans="1:14" ht="16" x14ac:dyDescent="0.35">
      <c r="A1653" t="str">
        <f t="shared" si="50"/>
        <v>20</v>
      </c>
      <c r="B1653">
        <f>_xlfn.SWITCH(Table4[[#This Row],[month]],"jan",1,"feb",2,"mar",3,"apr",4,"may",5,"jun",6,"jul",7,"aug",8,"sep",9,"oct",10,"nov",11,"dec",12,"no month")</f>
        <v>8</v>
      </c>
      <c r="C1653" s="12" t="str">
        <f>LEFT('All Transactions'!$E1653,3)</f>
        <v>Aug</v>
      </c>
      <c r="D1653" s="12" t="str">
        <f t="shared" si="51"/>
        <v>2025</v>
      </c>
      <c r="E1653" s="22" t="s">
        <v>5198</v>
      </c>
      <c r="F1653" s="23" t="s">
        <v>104</v>
      </c>
      <c r="G1653" s="27" t="s">
        <v>54</v>
      </c>
      <c r="H1653" s="24">
        <v>3</v>
      </c>
      <c r="I1653" s="25" t="s">
        <v>2883</v>
      </c>
      <c r="J1653" s="25" t="s">
        <v>5210</v>
      </c>
      <c r="K1653" s="26"/>
      <c r="L1653" s="25" t="s">
        <v>2885</v>
      </c>
      <c r="M1653" t="str">
        <f>TEXT(A1653,"dddd")</f>
        <v>Friday</v>
      </c>
      <c r="N1653" s="35">
        <f>DATE(Table4[[#This Row],[year]],Table4[[#This Row],[month2]],Table4[[#This Row],[day]])</f>
        <v>45889</v>
      </c>
    </row>
    <row r="1654" spans="1:14" ht="16" x14ac:dyDescent="0.35">
      <c r="A1654" t="str">
        <f t="shared" si="50"/>
        <v>20</v>
      </c>
      <c r="B1654">
        <f>_xlfn.SWITCH(Table4[[#This Row],[month]],"jan",1,"feb",2,"mar",3,"apr",4,"may",5,"jun",6,"jul",7,"aug",8,"sep",9,"oct",10,"nov",11,"dec",12,"no month")</f>
        <v>8</v>
      </c>
      <c r="C1654" s="12" t="str">
        <f>LEFT('All Transactions'!$E1654,3)</f>
        <v>Aug</v>
      </c>
      <c r="D1654" s="12" t="str">
        <f t="shared" si="51"/>
        <v>2025</v>
      </c>
      <c r="E1654" s="16" t="s">
        <v>5198</v>
      </c>
      <c r="F1654" s="17" t="s">
        <v>104</v>
      </c>
      <c r="G1654" s="27" t="s">
        <v>54</v>
      </c>
      <c r="H1654" s="19">
        <v>5</v>
      </c>
      <c r="I1654" s="20" t="s">
        <v>2883</v>
      </c>
      <c r="J1654" s="20" t="s">
        <v>5211</v>
      </c>
      <c r="K1654" s="21"/>
      <c r="L1654" s="20" t="s">
        <v>2885</v>
      </c>
      <c r="M1654" t="str">
        <f>TEXT(A1654,"dddd")</f>
        <v>Friday</v>
      </c>
      <c r="N1654" s="35">
        <f>DATE(Table4[[#This Row],[year]],Table4[[#This Row],[month2]],Table4[[#This Row],[day]])</f>
        <v>45889</v>
      </c>
    </row>
    <row r="1655" spans="1:14" ht="16" x14ac:dyDescent="0.35">
      <c r="A1655" t="str">
        <f t="shared" si="50"/>
        <v>20</v>
      </c>
      <c r="B1655">
        <f>_xlfn.SWITCH(Table4[[#This Row],[month]],"jan",1,"feb",2,"mar",3,"apr",4,"may",5,"jun",6,"jul",7,"aug",8,"sep",9,"oct",10,"nov",11,"dec",12,"no month")</f>
        <v>8</v>
      </c>
      <c r="C1655" s="12" t="str">
        <f>LEFT('All Transactions'!$E1655,3)</f>
        <v>Aug</v>
      </c>
      <c r="D1655" s="12" t="str">
        <f t="shared" si="51"/>
        <v>2025</v>
      </c>
      <c r="E1655" s="22" t="s">
        <v>5198</v>
      </c>
      <c r="F1655" s="23" t="s">
        <v>104</v>
      </c>
      <c r="G1655" s="18" t="s">
        <v>28</v>
      </c>
      <c r="H1655" s="24">
        <v>2000</v>
      </c>
      <c r="I1655" s="25" t="s">
        <v>20</v>
      </c>
      <c r="J1655" s="25" t="s">
        <v>5212</v>
      </c>
      <c r="K1655" s="26" t="s">
        <v>5213</v>
      </c>
      <c r="L1655" s="25" t="s">
        <v>1808</v>
      </c>
      <c r="M1655" t="str">
        <f>TEXT(A1655,"dddd")</f>
        <v>Friday</v>
      </c>
      <c r="N1655" s="35">
        <f>DATE(Table4[[#This Row],[year]],Table4[[#This Row],[month2]],Table4[[#This Row],[day]])</f>
        <v>45889</v>
      </c>
    </row>
    <row r="1656" spans="1:14" ht="16" x14ac:dyDescent="0.35">
      <c r="A1656" t="str">
        <f t="shared" si="50"/>
        <v>20</v>
      </c>
      <c r="B1656">
        <f>_xlfn.SWITCH(Table4[[#This Row],[month]],"jan",1,"feb",2,"mar",3,"apr",4,"may",5,"jun",6,"jul",7,"aug",8,"sep",9,"oct",10,"nov",11,"dec",12,"no month")</f>
        <v>8</v>
      </c>
      <c r="C1656" s="12" t="str">
        <f>LEFT('All Transactions'!$E1656,3)</f>
        <v>Aug</v>
      </c>
      <c r="D1656" s="12" t="str">
        <f t="shared" si="51"/>
        <v>2025</v>
      </c>
      <c r="E1656" s="16" t="s">
        <v>5198</v>
      </c>
      <c r="F1656" s="17" t="s">
        <v>5214</v>
      </c>
      <c r="G1656" s="27" t="s">
        <v>54</v>
      </c>
      <c r="H1656" s="19">
        <v>2000</v>
      </c>
      <c r="I1656" s="20" t="s">
        <v>1642</v>
      </c>
      <c r="J1656" s="20" t="s">
        <v>5215</v>
      </c>
      <c r="K1656" s="21" t="s">
        <v>5216</v>
      </c>
      <c r="L1656" s="20" t="s">
        <v>2330</v>
      </c>
      <c r="M1656" t="str">
        <f>TEXT(A1656,"dddd")</f>
        <v>Friday</v>
      </c>
      <c r="N1656" s="35">
        <f>DATE(Table4[[#This Row],[year]],Table4[[#This Row],[month2]],Table4[[#This Row],[day]])</f>
        <v>45889</v>
      </c>
    </row>
    <row r="1657" spans="1:14" ht="16" x14ac:dyDescent="0.35">
      <c r="A1657" t="str">
        <f t="shared" si="50"/>
        <v>20</v>
      </c>
      <c r="B1657">
        <f>_xlfn.SWITCH(Table4[[#This Row],[month]],"jan",1,"feb",2,"mar",3,"apr",4,"may",5,"jun",6,"jul",7,"aug",8,"sep",9,"oct",10,"nov",11,"dec",12,"no month")</f>
        <v>8</v>
      </c>
      <c r="C1657" s="12" t="str">
        <f>LEFT('All Transactions'!$E1657,3)</f>
        <v>Aug</v>
      </c>
      <c r="D1657" s="12" t="str">
        <f t="shared" si="51"/>
        <v>2025</v>
      </c>
      <c r="E1657" s="22" t="s">
        <v>5198</v>
      </c>
      <c r="F1657" s="23" t="s">
        <v>5091</v>
      </c>
      <c r="G1657" s="18" t="s">
        <v>28</v>
      </c>
      <c r="H1657" s="24">
        <v>3181.15</v>
      </c>
      <c r="I1657" s="25" t="s">
        <v>3933</v>
      </c>
      <c r="J1657" s="25" t="s">
        <v>5217</v>
      </c>
      <c r="K1657" s="26" t="s">
        <v>5218</v>
      </c>
      <c r="L1657" s="25" t="s">
        <v>32</v>
      </c>
      <c r="M1657" t="str">
        <f>TEXT(A1657,"dddd")</f>
        <v>Friday</v>
      </c>
      <c r="N1657" s="35">
        <f>DATE(Table4[[#This Row],[year]],Table4[[#This Row],[month2]],Table4[[#This Row],[day]])</f>
        <v>45889</v>
      </c>
    </row>
    <row r="1658" spans="1:14" ht="16" x14ac:dyDescent="0.35">
      <c r="A1658" t="str">
        <f t="shared" si="50"/>
        <v>20</v>
      </c>
      <c r="B1658">
        <f>_xlfn.SWITCH(Table4[[#This Row],[month]],"jan",1,"feb",2,"mar",3,"apr",4,"may",5,"jun",6,"jul",7,"aug",8,"sep",9,"oct",10,"nov",11,"dec",12,"no month")</f>
        <v>8</v>
      </c>
      <c r="C1658" s="12" t="str">
        <f>LEFT('All Transactions'!$E1658,3)</f>
        <v>Aug</v>
      </c>
      <c r="D1658" s="12" t="str">
        <f t="shared" si="51"/>
        <v>2025</v>
      </c>
      <c r="E1658" s="16" t="s">
        <v>5198</v>
      </c>
      <c r="F1658" s="17" t="s">
        <v>1393</v>
      </c>
      <c r="G1658" s="18" t="s">
        <v>28</v>
      </c>
      <c r="H1658" s="19">
        <v>91</v>
      </c>
      <c r="I1658" s="20" t="s">
        <v>5219</v>
      </c>
      <c r="J1658" s="20" t="s">
        <v>5220</v>
      </c>
      <c r="K1658" s="21" t="s">
        <v>5221</v>
      </c>
      <c r="L1658" s="20" t="s">
        <v>47</v>
      </c>
      <c r="M1658" t="str">
        <f>TEXT(A1658,"dddd")</f>
        <v>Friday</v>
      </c>
      <c r="N1658" s="35">
        <f>DATE(Table4[[#This Row],[year]],Table4[[#This Row],[month2]],Table4[[#This Row],[day]])</f>
        <v>45889</v>
      </c>
    </row>
    <row r="1659" spans="1:14" ht="16" x14ac:dyDescent="0.35">
      <c r="A1659" t="str">
        <f t="shared" si="50"/>
        <v>20</v>
      </c>
      <c r="B1659">
        <f>_xlfn.SWITCH(Table4[[#This Row],[month]],"jan",1,"feb",2,"mar",3,"apr",4,"may",5,"jun",6,"jul",7,"aug",8,"sep",9,"oct",10,"nov",11,"dec",12,"no month")</f>
        <v>8</v>
      </c>
      <c r="C1659" s="12" t="str">
        <f>LEFT('All Transactions'!$E1659,3)</f>
        <v>Aug</v>
      </c>
      <c r="D1659" s="12" t="str">
        <f t="shared" si="51"/>
        <v>2025</v>
      </c>
      <c r="E1659" s="22" t="s">
        <v>5198</v>
      </c>
      <c r="F1659" s="23" t="s">
        <v>3988</v>
      </c>
      <c r="G1659" s="18" t="s">
        <v>28</v>
      </c>
      <c r="H1659" s="24">
        <v>300</v>
      </c>
      <c r="I1659" s="25" t="s">
        <v>5222</v>
      </c>
      <c r="J1659" s="25" t="s">
        <v>5223</v>
      </c>
      <c r="K1659" s="26" t="s">
        <v>5224</v>
      </c>
      <c r="L1659" s="25" t="s">
        <v>32</v>
      </c>
      <c r="M1659" t="str">
        <f>TEXT(A1659,"dddd")</f>
        <v>Friday</v>
      </c>
      <c r="N1659" s="35">
        <f>DATE(Table4[[#This Row],[year]],Table4[[#This Row],[month2]],Table4[[#This Row],[day]])</f>
        <v>45889</v>
      </c>
    </row>
    <row r="1660" spans="1:14" ht="16" x14ac:dyDescent="0.35">
      <c r="A1660" t="str">
        <f t="shared" si="50"/>
        <v>20</v>
      </c>
      <c r="B1660">
        <f>_xlfn.SWITCH(Table4[[#This Row],[month]],"jan",1,"feb",2,"mar",3,"apr",4,"may",5,"jun",6,"jul",7,"aug",8,"sep",9,"oct",10,"nov",11,"dec",12,"no month")</f>
        <v>8</v>
      </c>
      <c r="C1660" s="12" t="str">
        <f>LEFT('All Transactions'!$E1660,3)</f>
        <v>Aug</v>
      </c>
      <c r="D1660" s="12" t="str">
        <f t="shared" si="51"/>
        <v>2025</v>
      </c>
      <c r="E1660" s="16" t="s">
        <v>5198</v>
      </c>
      <c r="F1660" s="17" t="s">
        <v>2999</v>
      </c>
      <c r="G1660" s="18" t="s">
        <v>28</v>
      </c>
      <c r="H1660" s="19">
        <v>800</v>
      </c>
      <c r="I1660" s="20" t="s">
        <v>5225</v>
      </c>
      <c r="J1660" s="20" t="s">
        <v>5226</v>
      </c>
      <c r="K1660" s="21" t="s">
        <v>5227</v>
      </c>
      <c r="L1660" s="20" t="s">
        <v>32</v>
      </c>
      <c r="M1660" t="str">
        <f>TEXT(A1660,"dddd")</f>
        <v>Friday</v>
      </c>
      <c r="N1660" s="35">
        <f>DATE(Table4[[#This Row],[year]],Table4[[#This Row],[month2]],Table4[[#This Row],[day]])</f>
        <v>45889</v>
      </c>
    </row>
    <row r="1661" spans="1:14" ht="16" x14ac:dyDescent="0.35">
      <c r="A1661" t="str">
        <f t="shared" si="50"/>
        <v>20</v>
      </c>
      <c r="B1661">
        <f>_xlfn.SWITCH(Table4[[#This Row],[month]],"jan",1,"feb",2,"mar",3,"apr",4,"may",5,"jun",6,"jul",7,"aug",8,"sep",9,"oct",10,"nov",11,"dec",12,"no month")</f>
        <v>8</v>
      </c>
      <c r="C1661" s="12" t="str">
        <f>LEFT('All Transactions'!$E1661,3)</f>
        <v>Aug</v>
      </c>
      <c r="D1661" s="12" t="str">
        <f t="shared" si="51"/>
        <v>2025</v>
      </c>
      <c r="E1661" s="22" t="s">
        <v>5198</v>
      </c>
      <c r="F1661" s="23" t="s">
        <v>5228</v>
      </c>
      <c r="G1661" s="18" t="s">
        <v>28</v>
      </c>
      <c r="H1661" s="24">
        <v>209</v>
      </c>
      <c r="I1661" s="25" t="s">
        <v>2573</v>
      </c>
      <c r="J1661" s="25" t="s">
        <v>5229</v>
      </c>
      <c r="K1661" s="26" t="s">
        <v>5230</v>
      </c>
      <c r="L1661" s="25" t="s">
        <v>47</v>
      </c>
      <c r="M1661" t="str">
        <f>TEXT(A1661,"dddd")</f>
        <v>Friday</v>
      </c>
      <c r="N1661" s="35">
        <f>DATE(Table4[[#This Row],[year]],Table4[[#This Row],[month2]],Table4[[#This Row],[day]])</f>
        <v>45889</v>
      </c>
    </row>
    <row r="1662" spans="1:14" ht="16" x14ac:dyDescent="0.35">
      <c r="A1662" t="str">
        <f t="shared" si="50"/>
        <v>19</v>
      </c>
      <c r="B1662">
        <f>_xlfn.SWITCH(Table4[[#This Row],[month]],"jan",1,"feb",2,"mar",3,"apr",4,"may",5,"jun",6,"jul",7,"aug",8,"sep",9,"oct",10,"nov",11,"dec",12,"no month")</f>
        <v>8</v>
      </c>
      <c r="C1662" s="12" t="str">
        <f>LEFT('All Transactions'!$E1662,3)</f>
        <v>Aug</v>
      </c>
      <c r="D1662" s="12" t="str">
        <f t="shared" si="51"/>
        <v>2025</v>
      </c>
      <c r="E1662" s="16" t="s">
        <v>5231</v>
      </c>
      <c r="F1662" s="17" t="s">
        <v>275</v>
      </c>
      <c r="G1662" s="27" t="s">
        <v>54</v>
      </c>
      <c r="H1662" s="19">
        <v>4</v>
      </c>
      <c r="I1662" s="20" t="s">
        <v>2883</v>
      </c>
      <c r="J1662" s="20" t="s">
        <v>5232</v>
      </c>
      <c r="K1662" s="21"/>
      <c r="L1662" s="20" t="s">
        <v>2885</v>
      </c>
      <c r="M1662" t="str">
        <f>TEXT(A1662,"dddd")</f>
        <v>Thursday</v>
      </c>
      <c r="N1662" s="35">
        <f>DATE(Table4[[#This Row],[year]],Table4[[#This Row],[month2]],Table4[[#This Row],[day]])</f>
        <v>45888</v>
      </c>
    </row>
    <row r="1663" spans="1:14" ht="16" x14ac:dyDescent="0.35">
      <c r="A1663" t="str">
        <f t="shared" si="50"/>
        <v>19</v>
      </c>
      <c r="B1663">
        <f>_xlfn.SWITCH(Table4[[#This Row],[month]],"jan",1,"feb",2,"mar",3,"apr",4,"may",5,"jun",6,"jul",7,"aug",8,"sep",9,"oct",10,"nov",11,"dec",12,"no month")</f>
        <v>8</v>
      </c>
      <c r="C1663" s="12" t="str">
        <f>LEFT('All Transactions'!$E1663,3)</f>
        <v>Aug</v>
      </c>
      <c r="D1663" s="12" t="str">
        <f t="shared" si="51"/>
        <v>2025</v>
      </c>
      <c r="E1663" s="22" t="s">
        <v>5231</v>
      </c>
      <c r="F1663" s="23" t="s">
        <v>2483</v>
      </c>
      <c r="G1663" s="18" t="s">
        <v>28</v>
      </c>
      <c r="H1663" s="24">
        <v>80</v>
      </c>
      <c r="I1663" s="25" t="s">
        <v>20</v>
      </c>
      <c r="J1663" s="25" t="s">
        <v>5233</v>
      </c>
      <c r="K1663" s="26" t="s">
        <v>5234</v>
      </c>
      <c r="L1663" s="25" t="s">
        <v>47</v>
      </c>
      <c r="M1663" t="str">
        <f>TEXT(A1663,"dddd")</f>
        <v>Thursday</v>
      </c>
      <c r="N1663" s="35">
        <f>DATE(Table4[[#This Row],[year]],Table4[[#This Row],[month2]],Table4[[#This Row],[day]])</f>
        <v>45888</v>
      </c>
    </row>
    <row r="1664" spans="1:14" ht="16" x14ac:dyDescent="0.35">
      <c r="A1664" t="str">
        <f t="shared" si="50"/>
        <v>19</v>
      </c>
      <c r="B1664">
        <f>_xlfn.SWITCH(Table4[[#This Row],[month]],"jan",1,"feb",2,"mar",3,"apr",4,"may",5,"jun",6,"jul",7,"aug",8,"sep",9,"oct",10,"nov",11,"dec",12,"no month")</f>
        <v>8</v>
      </c>
      <c r="C1664" s="12" t="str">
        <f>LEFT('All Transactions'!$E1664,3)</f>
        <v>Aug</v>
      </c>
      <c r="D1664" s="12" t="str">
        <f t="shared" si="51"/>
        <v>2025</v>
      </c>
      <c r="E1664" s="16" t="s">
        <v>5231</v>
      </c>
      <c r="F1664" s="17" t="s">
        <v>2678</v>
      </c>
      <c r="G1664" s="18" t="s">
        <v>28</v>
      </c>
      <c r="H1664" s="19">
        <v>892.32</v>
      </c>
      <c r="I1664" s="20" t="s">
        <v>5235</v>
      </c>
      <c r="J1664" s="20" t="s">
        <v>5236</v>
      </c>
      <c r="K1664" s="21" t="s">
        <v>5237</v>
      </c>
      <c r="L1664" s="20" t="s">
        <v>32</v>
      </c>
      <c r="M1664" t="str">
        <f>TEXT(A1664,"dddd")</f>
        <v>Thursday</v>
      </c>
      <c r="N1664" s="35">
        <f>DATE(Table4[[#This Row],[year]],Table4[[#This Row],[month2]],Table4[[#This Row],[day]])</f>
        <v>45888</v>
      </c>
    </row>
    <row r="1665" spans="1:14" ht="16" x14ac:dyDescent="0.35">
      <c r="A1665" t="str">
        <f t="shared" si="50"/>
        <v>19</v>
      </c>
      <c r="B1665">
        <f>_xlfn.SWITCH(Table4[[#This Row],[month]],"jan",1,"feb",2,"mar",3,"apr",4,"may",5,"jun",6,"jul",7,"aug",8,"sep",9,"oct",10,"nov",11,"dec",12,"no month")</f>
        <v>8</v>
      </c>
      <c r="C1665" s="12" t="str">
        <f>LEFT('All Transactions'!$E1665,3)</f>
        <v>Aug</v>
      </c>
      <c r="D1665" s="12" t="str">
        <f t="shared" si="51"/>
        <v>2025</v>
      </c>
      <c r="E1665" s="22" t="s">
        <v>5231</v>
      </c>
      <c r="F1665" s="23" t="s">
        <v>5238</v>
      </c>
      <c r="G1665" s="27" t="s">
        <v>54</v>
      </c>
      <c r="H1665" s="24">
        <v>3</v>
      </c>
      <c r="I1665" s="25" t="s">
        <v>2883</v>
      </c>
      <c r="J1665" s="25" t="s">
        <v>5239</v>
      </c>
      <c r="K1665" s="26"/>
      <c r="L1665" s="25" t="s">
        <v>2885</v>
      </c>
      <c r="M1665" t="str">
        <f>TEXT(A1665,"dddd")</f>
        <v>Thursday</v>
      </c>
      <c r="N1665" s="35">
        <f>DATE(Table4[[#This Row],[year]],Table4[[#This Row],[month2]],Table4[[#This Row],[day]])</f>
        <v>45888</v>
      </c>
    </row>
    <row r="1666" spans="1:14" ht="16" x14ac:dyDescent="0.35">
      <c r="A1666" t="str">
        <f t="shared" si="50"/>
        <v>19</v>
      </c>
      <c r="B1666">
        <f>_xlfn.SWITCH(Table4[[#This Row],[month]],"jan",1,"feb",2,"mar",3,"apr",4,"may",5,"jun",6,"jul",7,"aug",8,"sep",9,"oct",10,"nov",11,"dec",12,"no month")</f>
        <v>8</v>
      </c>
      <c r="C1666" s="12" t="str">
        <f>LEFT('All Transactions'!$E1666,3)</f>
        <v>Aug</v>
      </c>
      <c r="D1666" s="12" t="str">
        <f t="shared" si="51"/>
        <v>2025</v>
      </c>
      <c r="E1666" s="16" t="s">
        <v>5231</v>
      </c>
      <c r="F1666" s="17" t="s">
        <v>5238</v>
      </c>
      <c r="G1666" s="27" t="s">
        <v>54</v>
      </c>
      <c r="H1666" s="19">
        <v>3</v>
      </c>
      <c r="I1666" s="20" t="s">
        <v>2883</v>
      </c>
      <c r="J1666" s="20" t="s">
        <v>5240</v>
      </c>
      <c r="K1666" s="21"/>
      <c r="L1666" s="20" t="s">
        <v>2885</v>
      </c>
      <c r="M1666" t="str">
        <f>TEXT(A1666,"dddd")</f>
        <v>Thursday</v>
      </c>
      <c r="N1666" s="35">
        <f>DATE(Table4[[#This Row],[year]],Table4[[#This Row],[month2]],Table4[[#This Row],[day]])</f>
        <v>45888</v>
      </c>
    </row>
    <row r="1667" spans="1:14" ht="16" x14ac:dyDescent="0.35">
      <c r="A1667" t="str">
        <f t="shared" ref="A1667:A1730" si="52">MID(E1667,5,2)</f>
        <v>19</v>
      </c>
      <c r="B1667">
        <f>_xlfn.SWITCH(Table4[[#This Row],[month]],"jan",1,"feb",2,"mar",3,"apr",4,"may",5,"jun",6,"jul",7,"aug",8,"sep",9,"oct",10,"nov",11,"dec",12,"no month")</f>
        <v>8</v>
      </c>
      <c r="C1667" s="12" t="str">
        <f>LEFT('All Transactions'!$E1667,3)</f>
        <v>Aug</v>
      </c>
      <c r="D1667" s="12" t="str">
        <f t="shared" ref="D1667:D1730" si="53">RIGHT(E1667,4)</f>
        <v>2025</v>
      </c>
      <c r="E1667" s="22" t="s">
        <v>5231</v>
      </c>
      <c r="F1667" s="23" t="s">
        <v>5238</v>
      </c>
      <c r="G1667" s="27" t="s">
        <v>54</v>
      </c>
      <c r="H1667" s="24">
        <v>4</v>
      </c>
      <c r="I1667" s="25" t="s">
        <v>2883</v>
      </c>
      <c r="J1667" s="25" t="s">
        <v>5241</v>
      </c>
      <c r="K1667" s="26"/>
      <c r="L1667" s="25" t="s">
        <v>2885</v>
      </c>
      <c r="M1667" t="str">
        <f>TEXT(A1667,"dddd")</f>
        <v>Thursday</v>
      </c>
      <c r="N1667" s="35">
        <f>DATE(Table4[[#This Row],[year]],Table4[[#This Row],[month2]],Table4[[#This Row],[day]])</f>
        <v>45888</v>
      </c>
    </row>
    <row r="1668" spans="1:14" ht="16" x14ac:dyDescent="0.35">
      <c r="A1668" t="str">
        <f t="shared" si="52"/>
        <v>19</v>
      </c>
      <c r="B1668">
        <f>_xlfn.SWITCH(Table4[[#This Row],[month]],"jan",1,"feb",2,"mar",3,"apr",4,"may",5,"jun",6,"jul",7,"aug",8,"sep",9,"oct",10,"nov",11,"dec",12,"no month")</f>
        <v>8</v>
      </c>
      <c r="C1668" s="12" t="str">
        <f>LEFT('All Transactions'!$E1668,3)</f>
        <v>Aug</v>
      </c>
      <c r="D1668" s="12" t="str">
        <f t="shared" si="53"/>
        <v>2025</v>
      </c>
      <c r="E1668" s="16" t="s">
        <v>5231</v>
      </c>
      <c r="F1668" s="17" t="s">
        <v>5238</v>
      </c>
      <c r="G1668" s="27" t="s">
        <v>54</v>
      </c>
      <c r="H1668" s="19">
        <v>4</v>
      </c>
      <c r="I1668" s="20" t="s">
        <v>2883</v>
      </c>
      <c r="J1668" s="20" t="s">
        <v>5242</v>
      </c>
      <c r="K1668" s="21"/>
      <c r="L1668" s="20" t="s">
        <v>2885</v>
      </c>
      <c r="M1668" t="str">
        <f>TEXT(A1668,"dddd")</f>
        <v>Thursday</v>
      </c>
      <c r="N1668" s="35">
        <f>DATE(Table4[[#This Row],[year]],Table4[[#This Row],[month2]],Table4[[#This Row],[day]])</f>
        <v>45888</v>
      </c>
    </row>
    <row r="1669" spans="1:14" ht="16" x14ac:dyDescent="0.35">
      <c r="A1669" t="str">
        <f t="shared" si="52"/>
        <v>19</v>
      </c>
      <c r="B1669">
        <f>_xlfn.SWITCH(Table4[[#This Row],[month]],"jan",1,"feb",2,"mar",3,"apr",4,"may",5,"jun",6,"jul",7,"aug",8,"sep",9,"oct",10,"nov",11,"dec",12,"no month")</f>
        <v>8</v>
      </c>
      <c r="C1669" s="12" t="str">
        <f>LEFT('All Transactions'!$E1669,3)</f>
        <v>Aug</v>
      </c>
      <c r="D1669" s="12" t="str">
        <f t="shared" si="53"/>
        <v>2025</v>
      </c>
      <c r="E1669" s="22" t="s">
        <v>5231</v>
      </c>
      <c r="F1669" s="23" t="s">
        <v>5238</v>
      </c>
      <c r="G1669" s="27" t="s">
        <v>54</v>
      </c>
      <c r="H1669" s="24">
        <v>10</v>
      </c>
      <c r="I1669" s="25" t="s">
        <v>2883</v>
      </c>
      <c r="J1669" s="25" t="s">
        <v>5243</v>
      </c>
      <c r="K1669" s="26"/>
      <c r="L1669" s="25" t="s">
        <v>2885</v>
      </c>
      <c r="M1669" t="str">
        <f>TEXT(A1669,"dddd")</f>
        <v>Thursday</v>
      </c>
      <c r="N1669" s="35">
        <f>DATE(Table4[[#This Row],[year]],Table4[[#This Row],[month2]],Table4[[#This Row],[day]])</f>
        <v>45888</v>
      </c>
    </row>
    <row r="1670" spans="1:14" ht="16" x14ac:dyDescent="0.35">
      <c r="A1670" t="str">
        <f t="shared" si="52"/>
        <v>19</v>
      </c>
      <c r="B1670">
        <f>_xlfn.SWITCH(Table4[[#This Row],[month]],"jan",1,"feb",2,"mar",3,"apr",4,"may",5,"jun",6,"jul",7,"aug",8,"sep",9,"oct",10,"nov",11,"dec",12,"no month")</f>
        <v>8</v>
      </c>
      <c r="C1670" s="12" t="str">
        <f>LEFT('All Transactions'!$E1670,3)</f>
        <v>Aug</v>
      </c>
      <c r="D1670" s="12" t="str">
        <f t="shared" si="53"/>
        <v>2025</v>
      </c>
      <c r="E1670" s="16" t="s">
        <v>5231</v>
      </c>
      <c r="F1670" s="17" t="s">
        <v>5238</v>
      </c>
      <c r="G1670" s="27" t="s">
        <v>54</v>
      </c>
      <c r="H1670" s="19">
        <v>5</v>
      </c>
      <c r="I1670" s="20" t="s">
        <v>2883</v>
      </c>
      <c r="J1670" s="20" t="s">
        <v>5244</v>
      </c>
      <c r="K1670" s="21"/>
      <c r="L1670" s="20" t="s">
        <v>2885</v>
      </c>
      <c r="M1670" t="str">
        <f>TEXT(A1670,"dddd")</f>
        <v>Thursday</v>
      </c>
      <c r="N1670" s="35">
        <f>DATE(Table4[[#This Row],[year]],Table4[[#This Row],[month2]],Table4[[#This Row],[day]])</f>
        <v>45888</v>
      </c>
    </row>
    <row r="1671" spans="1:14" ht="16" x14ac:dyDescent="0.35">
      <c r="A1671" t="str">
        <f t="shared" si="52"/>
        <v>19</v>
      </c>
      <c r="B1671">
        <f>_xlfn.SWITCH(Table4[[#This Row],[month]],"jan",1,"feb",2,"mar",3,"apr",4,"may",5,"jun",6,"jul",7,"aug",8,"sep",9,"oct",10,"nov",11,"dec",12,"no month")</f>
        <v>8</v>
      </c>
      <c r="C1671" s="12" t="str">
        <f>LEFT('All Transactions'!$E1671,3)</f>
        <v>Aug</v>
      </c>
      <c r="D1671" s="12" t="str">
        <f t="shared" si="53"/>
        <v>2025</v>
      </c>
      <c r="E1671" s="22" t="s">
        <v>5231</v>
      </c>
      <c r="F1671" s="23" t="s">
        <v>5238</v>
      </c>
      <c r="G1671" s="27" t="s">
        <v>54</v>
      </c>
      <c r="H1671" s="24">
        <v>2</v>
      </c>
      <c r="I1671" s="25" t="s">
        <v>2883</v>
      </c>
      <c r="J1671" s="25" t="s">
        <v>5245</v>
      </c>
      <c r="K1671" s="26"/>
      <c r="L1671" s="25" t="s">
        <v>2885</v>
      </c>
      <c r="M1671" t="str">
        <f>TEXT(A1671,"dddd")</f>
        <v>Thursday</v>
      </c>
      <c r="N1671" s="35">
        <f>DATE(Table4[[#This Row],[year]],Table4[[#This Row],[month2]],Table4[[#This Row],[day]])</f>
        <v>45888</v>
      </c>
    </row>
    <row r="1672" spans="1:14" ht="16" x14ac:dyDescent="0.35">
      <c r="A1672" t="str">
        <f t="shared" si="52"/>
        <v>19</v>
      </c>
      <c r="B1672">
        <f>_xlfn.SWITCH(Table4[[#This Row],[month]],"jan",1,"feb",2,"mar",3,"apr",4,"may",5,"jun",6,"jul",7,"aug",8,"sep",9,"oct",10,"nov",11,"dec",12,"no month")</f>
        <v>8</v>
      </c>
      <c r="C1672" s="12" t="str">
        <f>LEFT('All Transactions'!$E1672,3)</f>
        <v>Aug</v>
      </c>
      <c r="D1672" s="12" t="str">
        <f t="shared" si="53"/>
        <v>2025</v>
      </c>
      <c r="E1672" s="16" t="s">
        <v>5231</v>
      </c>
      <c r="F1672" s="17" t="s">
        <v>3660</v>
      </c>
      <c r="G1672" s="18" t="s">
        <v>28</v>
      </c>
      <c r="H1672" s="19">
        <v>80</v>
      </c>
      <c r="I1672" s="20" t="s">
        <v>5246</v>
      </c>
      <c r="J1672" s="20" t="s">
        <v>5247</v>
      </c>
      <c r="K1672" s="21" t="s">
        <v>5248</v>
      </c>
      <c r="L1672" s="20" t="s">
        <v>32</v>
      </c>
      <c r="M1672" t="str">
        <f>TEXT(A1672,"dddd")</f>
        <v>Thursday</v>
      </c>
      <c r="N1672" s="35">
        <f>DATE(Table4[[#This Row],[year]],Table4[[#This Row],[month2]],Table4[[#This Row],[day]])</f>
        <v>45888</v>
      </c>
    </row>
    <row r="1673" spans="1:14" ht="16" x14ac:dyDescent="0.35">
      <c r="A1673" t="str">
        <f t="shared" si="52"/>
        <v>19</v>
      </c>
      <c r="B1673">
        <f>_xlfn.SWITCH(Table4[[#This Row],[month]],"jan",1,"feb",2,"mar",3,"apr",4,"may",5,"jun",6,"jul",7,"aug",8,"sep",9,"oct",10,"nov",11,"dec",12,"no month")</f>
        <v>8</v>
      </c>
      <c r="C1673" s="12" t="str">
        <f>LEFT('All Transactions'!$E1673,3)</f>
        <v>Aug</v>
      </c>
      <c r="D1673" s="12" t="str">
        <f t="shared" si="53"/>
        <v>2025</v>
      </c>
      <c r="E1673" s="22" t="s">
        <v>5231</v>
      </c>
      <c r="F1673" s="23" t="s">
        <v>616</v>
      </c>
      <c r="G1673" s="18" t="s">
        <v>28</v>
      </c>
      <c r="H1673" s="24">
        <v>90</v>
      </c>
      <c r="I1673" s="25" t="s">
        <v>5249</v>
      </c>
      <c r="J1673" s="25" t="s">
        <v>5250</v>
      </c>
      <c r="K1673" s="26" t="s">
        <v>5251</v>
      </c>
      <c r="L1673" s="25" t="s">
        <v>32</v>
      </c>
      <c r="M1673" t="str">
        <f>TEXT(A1673,"dddd")</f>
        <v>Thursday</v>
      </c>
      <c r="N1673" s="35">
        <f>DATE(Table4[[#This Row],[year]],Table4[[#This Row],[month2]],Table4[[#This Row],[day]])</f>
        <v>45888</v>
      </c>
    </row>
    <row r="1674" spans="1:14" ht="16" x14ac:dyDescent="0.35">
      <c r="A1674" t="str">
        <f t="shared" si="52"/>
        <v>19</v>
      </c>
      <c r="B1674">
        <f>_xlfn.SWITCH(Table4[[#This Row],[month]],"jan",1,"feb",2,"mar",3,"apr",4,"may",5,"jun",6,"jul",7,"aug",8,"sep",9,"oct",10,"nov",11,"dec",12,"no month")</f>
        <v>8</v>
      </c>
      <c r="C1674" s="12" t="str">
        <f>LEFT('All Transactions'!$E1674,3)</f>
        <v>Aug</v>
      </c>
      <c r="D1674" s="12" t="str">
        <f t="shared" si="53"/>
        <v>2025</v>
      </c>
      <c r="E1674" s="16" t="s">
        <v>5231</v>
      </c>
      <c r="F1674" s="17" t="s">
        <v>3663</v>
      </c>
      <c r="G1674" s="18" t="s">
        <v>28</v>
      </c>
      <c r="H1674" s="19">
        <v>485</v>
      </c>
      <c r="I1674" s="20" t="s">
        <v>5252</v>
      </c>
      <c r="J1674" s="20" t="s">
        <v>5253</v>
      </c>
      <c r="K1674" s="21" t="s">
        <v>5254</v>
      </c>
      <c r="L1674" s="20" t="s">
        <v>32</v>
      </c>
      <c r="M1674" t="str">
        <f>TEXT(A1674,"dddd")</f>
        <v>Thursday</v>
      </c>
      <c r="N1674" s="35">
        <f>DATE(Table4[[#This Row],[year]],Table4[[#This Row],[month2]],Table4[[#This Row],[day]])</f>
        <v>45888</v>
      </c>
    </row>
    <row r="1675" spans="1:14" ht="16" x14ac:dyDescent="0.35">
      <c r="A1675" t="str">
        <f t="shared" si="52"/>
        <v>19</v>
      </c>
      <c r="B1675">
        <f>_xlfn.SWITCH(Table4[[#This Row],[month]],"jan",1,"feb",2,"mar",3,"apr",4,"may",5,"jun",6,"jul",7,"aug",8,"sep",9,"oct",10,"nov",11,"dec",12,"no month")</f>
        <v>8</v>
      </c>
      <c r="C1675" s="12" t="str">
        <f>LEFT('All Transactions'!$E1675,3)</f>
        <v>Aug</v>
      </c>
      <c r="D1675" s="12" t="str">
        <f t="shared" si="53"/>
        <v>2025</v>
      </c>
      <c r="E1675" s="22" t="s">
        <v>5231</v>
      </c>
      <c r="F1675" s="23" t="s">
        <v>573</v>
      </c>
      <c r="G1675" s="18" t="s">
        <v>28</v>
      </c>
      <c r="H1675" s="24">
        <v>214</v>
      </c>
      <c r="I1675" s="25" t="s">
        <v>5255</v>
      </c>
      <c r="J1675" s="25" t="s">
        <v>5256</v>
      </c>
      <c r="K1675" s="26" t="s">
        <v>5257</v>
      </c>
      <c r="L1675" s="25" t="s">
        <v>32</v>
      </c>
      <c r="M1675" t="str">
        <f>TEXT(A1675,"dddd")</f>
        <v>Thursday</v>
      </c>
      <c r="N1675" s="35">
        <f>DATE(Table4[[#This Row],[year]],Table4[[#This Row],[month2]],Table4[[#This Row],[day]])</f>
        <v>45888</v>
      </c>
    </row>
    <row r="1676" spans="1:14" ht="16" x14ac:dyDescent="0.35">
      <c r="A1676" t="str">
        <f t="shared" si="52"/>
        <v>19</v>
      </c>
      <c r="B1676">
        <f>_xlfn.SWITCH(Table4[[#This Row],[month]],"jan",1,"feb",2,"mar",3,"apr",4,"may",5,"jun",6,"jul",7,"aug",8,"sep",9,"oct",10,"nov",11,"dec",12,"no month")</f>
        <v>8</v>
      </c>
      <c r="C1676" s="12" t="str">
        <f>LEFT('All Transactions'!$E1676,3)</f>
        <v>Aug</v>
      </c>
      <c r="D1676" s="12" t="str">
        <f t="shared" si="53"/>
        <v>2025</v>
      </c>
      <c r="E1676" s="16" t="s">
        <v>5231</v>
      </c>
      <c r="F1676" s="17" t="s">
        <v>1868</v>
      </c>
      <c r="G1676" s="18" t="s">
        <v>28</v>
      </c>
      <c r="H1676" s="19">
        <v>10</v>
      </c>
      <c r="I1676" s="20" t="s">
        <v>5258</v>
      </c>
      <c r="J1676" s="20" t="s">
        <v>5259</v>
      </c>
      <c r="K1676" s="21" t="s">
        <v>5260</v>
      </c>
      <c r="L1676" s="20" t="s">
        <v>32</v>
      </c>
      <c r="M1676" t="str">
        <f>TEXT(A1676,"dddd")</f>
        <v>Thursday</v>
      </c>
      <c r="N1676" s="35">
        <f>DATE(Table4[[#This Row],[year]],Table4[[#This Row],[month2]],Table4[[#This Row],[day]])</f>
        <v>45888</v>
      </c>
    </row>
    <row r="1677" spans="1:14" ht="16" x14ac:dyDescent="0.35">
      <c r="A1677" t="str">
        <f t="shared" si="52"/>
        <v>19</v>
      </c>
      <c r="B1677">
        <f>_xlfn.SWITCH(Table4[[#This Row],[month]],"jan",1,"feb",2,"mar",3,"apr",4,"may",5,"jun",6,"jul",7,"aug",8,"sep",9,"oct",10,"nov",11,"dec",12,"no month")</f>
        <v>8</v>
      </c>
      <c r="C1677" s="12" t="str">
        <f>LEFT('All Transactions'!$E1677,3)</f>
        <v>Aug</v>
      </c>
      <c r="D1677" s="12" t="str">
        <f t="shared" si="53"/>
        <v>2025</v>
      </c>
      <c r="E1677" s="22" t="s">
        <v>5231</v>
      </c>
      <c r="F1677" s="23" t="s">
        <v>2681</v>
      </c>
      <c r="G1677" s="18" t="s">
        <v>28</v>
      </c>
      <c r="H1677" s="24">
        <v>80</v>
      </c>
      <c r="I1677" s="25" t="s">
        <v>5261</v>
      </c>
      <c r="J1677" s="25" t="s">
        <v>5262</v>
      </c>
      <c r="K1677" s="26" t="s">
        <v>5263</v>
      </c>
      <c r="L1677" s="25" t="s">
        <v>32</v>
      </c>
      <c r="M1677" t="str">
        <f>TEXT(A1677,"dddd")</f>
        <v>Thursday</v>
      </c>
      <c r="N1677" s="35">
        <f>DATE(Table4[[#This Row],[year]],Table4[[#This Row],[month2]],Table4[[#This Row],[day]])</f>
        <v>45888</v>
      </c>
    </row>
    <row r="1678" spans="1:14" ht="16" x14ac:dyDescent="0.35">
      <c r="A1678" t="str">
        <f t="shared" si="52"/>
        <v>19</v>
      </c>
      <c r="B1678">
        <f>_xlfn.SWITCH(Table4[[#This Row],[month]],"jan",1,"feb",2,"mar",3,"apr",4,"may",5,"jun",6,"jul",7,"aug",8,"sep",9,"oct",10,"nov",11,"dec",12,"no month")</f>
        <v>8</v>
      </c>
      <c r="C1678" s="12" t="str">
        <f>LEFT('All Transactions'!$E1678,3)</f>
        <v>Aug</v>
      </c>
      <c r="D1678" s="12" t="str">
        <f t="shared" si="53"/>
        <v>2025</v>
      </c>
      <c r="E1678" s="16" t="s">
        <v>5231</v>
      </c>
      <c r="F1678" s="17" t="s">
        <v>2224</v>
      </c>
      <c r="G1678" s="18" t="s">
        <v>28</v>
      </c>
      <c r="H1678" s="19">
        <v>65</v>
      </c>
      <c r="I1678" s="20" t="s">
        <v>5264</v>
      </c>
      <c r="J1678" s="20" t="s">
        <v>5265</v>
      </c>
      <c r="K1678" s="21" t="s">
        <v>5266</v>
      </c>
      <c r="L1678" s="20" t="s">
        <v>32</v>
      </c>
      <c r="M1678" t="str">
        <f>TEXT(A1678,"dddd")</f>
        <v>Thursday</v>
      </c>
      <c r="N1678" s="35">
        <f>DATE(Table4[[#This Row],[year]],Table4[[#This Row],[month2]],Table4[[#This Row],[day]])</f>
        <v>45888</v>
      </c>
    </row>
    <row r="1679" spans="1:14" ht="16" x14ac:dyDescent="0.35">
      <c r="A1679" t="str">
        <f t="shared" si="52"/>
        <v>19</v>
      </c>
      <c r="B1679">
        <f>_xlfn.SWITCH(Table4[[#This Row],[month]],"jan",1,"feb",2,"mar",3,"apr",4,"may",5,"jun",6,"jul",7,"aug",8,"sep",9,"oct",10,"nov",11,"dec",12,"no month")</f>
        <v>8</v>
      </c>
      <c r="C1679" s="12" t="str">
        <f>LEFT('All Transactions'!$E1679,3)</f>
        <v>Aug</v>
      </c>
      <c r="D1679" s="12" t="str">
        <f t="shared" si="53"/>
        <v>2025</v>
      </c>
      <c r="E1679" s="22" t="s">
        <v>5231</v>
      </c>
      <c r="F1679" s="23" t="s">
        <v>2016</v>
      </c>
      <c r="G1679" s="18" t="s">
        <v>28</v>
      </c>
      <c r="H1679" s="24">
        <v>50</v>
      </c>
      <c r="I1679" s="25" t="s">
        <v>5267</v>
      </c>
      <c r="J1679" s="25" t="s">
        <v>5268</v>
      </c>
      <c r="K1679" s="26" t="s">
        <v>5269</v>
      </c>
      <c r="L1679" s="25" t="s">
        <v>32</v>
      </c>
      <c r="M1679" t="str">
        <f>TEXT(A1679,"dddd")</f>
        <v>Thursday</v>
      </c>
      <c r="N1679" s="35">
        <f>DATE(Table4[[#This Row],[year]],Table4[[#This Row],[month2]],Table4[[#This Row],[day]])</f>
        <v>45888</v>
      </c>
    </row>
    <row r="1680" spans="1:14" ht="16" x14ac:dyDescent="0.35">
      <c r="A1680" t="str">
        <f t="shared" si="52"/>
        <v>19</v>
      </c>
      <c r="B1680">
        <f>_xlfn.SWITCH(Table4[[#This Row],[month]],"jan",1,"feb",2,"mar",3,"apr",4,"may",5,"jun",6,"jul",7,"aug",8,"sep",9,"oct",10,"nov",11,"dec",12,"no month")</f>
        <v>8</v>
      </c>
      <c r="C1680" s="12" t="str">
        <f>LEFT('All Transactions'!$E1680,3)</f>
        <v>Aug</v>
      </c>
      <c r="D1680" s="12" t="str">
        <f t="shared" si="53"/>
        <v>2025</v>
      </c>
      <c r="E1680" s="16" t="s">
        <v>5231</v>
      </c>
      <c r="F1680" s="17" t="s">
        <v>1585</v>
      </c>
      <c r="G1680" s="18" t="s">
        <v>28</v>
      </c>
      <c r="H1680" s="19">
        <v>16</v>
      </c>
      <c r="I1680" s="20" t="s">
        <v>5270</v>
      </c>
      <c r="J1680" s="20" t="s">
        <v>5271</v>
      </c>
      <c r="K1680" s="21"/>
      <c r="L1680" s="20" t="s">
        <v>2911</v>
      </c>
      <c r="M1680" t="str">
        <f>TEXT(A1680,"dddd")</f>
        <v>Thursday</v>
      </c>
      <c r="N1680" s="35">
        <f>DATE(Table4[[#This Row],[year]],Table4[[#This Row],[month2]],Table4[[#This Row],[day]])</f>
        <v>45888</v>
      </c>
    </row>
    <row r="1681" spans="1:14" ht="16" x14ac:dyDescent="0.35">
      <c r="A1681" t="str">
        <f t="shared" si="52"/>
        <v>19</v>
      </c>
      <c r="B1681">
        <f>_xlfn.SWITCH(Table4[[#This Row],[month]],"jan",1,"feb",2,"mar",3,"apr",4,"may",5,"jun",6,"jul",7,"aug",8,"sep",9,"oct",10,"nov",11,"dec",12,"no month")</f>
        <v>8</v>
      </c>
      <c r="C1681" s="12" t="str">
        <f>LEFT('All Transactions'!$E1681,3)</f>
        <v>Aug</v>
      </c>
      <c r="D1681" s="12" t="str">
        <f t="shared" si="53"/>
        <v>2025</v>
      </c>
      <c r="E1681" s="22" t="s">
        <v>5231</v>
      </c>
      <c r="F1681" s="23" t="s">
        <v>5272</v>
      </c>
      <c r="G1681" s="27" t="s">
        <v>54</v>
      </c>
      <c r="H1681" s="24">
        <v>726.27</v>
      </c>
      <c r="I1681" s="25" t="s">
        <v>5273</v>
      </c>
      <c r="J1681" s="25" t="s">
        <v>5274</v>
      </c>
      <c r="K1681" s="26" t="s">
        <v>5275</v>
      </c>
      <c r="L1681" s="25" t="s">
        <v>5276</v>
      </c>
      <c r="M1681" t="str">
        <f>TEXT(A1681,"dddd")</f>
        <v>Thursday</v>
      </c>
      <c r="N1681" s="35">
        <f>DATE(Table4[[#This Row],[year]],Table4[[#This Row],[month2]],Table4[[#This Row],[day]])</f>
        <v>45888</v>
      </c>
    </row>
    <row r="1682" spans="1:14" ht="16" x14ac:dyDescent="0.35">
      <c r="A1682" t="str">
        <f t="shared" si="52"/>
        <v>19</v>
      </c>
      <c r="B1682">
        <f>_xlfn.SWITCH(Table4[[#This Row],[month]],"jan",1,"feb",2,"mar",3,"apr",4,"may",5,"jun",6,"jul",7,"aug",8,"sep",9,"oct",10,"nov",11,"dec",12,"no month")</f>
        <v>8</v>
      </c>
      <c r="C1682" s="12" t="str">
        <f>LEFT('All Transactions'!$E1682,3)</f>
        <v>Aug</v>
      </c>
      <c r="D1682" s="12" t="str">
        <f t="shared" si="53"/>
        <v>2025</v>
      </c>
      <c r="E1682" s="16" t="s">
        <v>5231</v>
      </c>
      <c r="F1682" s="17" t="s">
        <v>5277</v>
      </c>
      <c r="G1682" s="18" t="s">
        <v>28</v>
      </c>
      <c r="H1682" s="19">
        <v>130</v>
      </c>
      <c r="I1682" s="20" t="s">
        <v>5278</v>
      </c>
      <c r="J1682" s="20" t="s">
        <v>5279</v>
      </c>
      <c r="K1682" s="21" t="s">
        <v>5280</v>
      </c>
      <c r="L1682" s="20" t="s">
        <v>32</v>
      </c>
      <c r="M1682" t="str">
        <f>TEXT(A1682,"dddd")</f>
        <v>Thursday</v>
      </c>
      <c r="N1682" s="35">
        <f>DATE(Table4[[#This Row],[year]],Table4[[#This Row],[month2]],Table4[[#This Row],[day]])</f>
        <v>45888</v>
      </c>
    </row>
    <row r="1683" spans="1:14" ht="16" x14ac:dyDescent="0.35">
      <c r="A1683" t="str">
        <f t="shared" si="52"/>
        <v>18</v>
      </c>
      <c r="B1683">
        <f>_xlfn.SWITCH(Table4[[#This Row],[month]],"jan",1,"feb",2,"mar",3,"apr",4,"may",5,"jun",6,"jul",7,"aug",8,"sep",9,"oct",10,"nov",11,"dec",12,"no month")</f>
        <v>8</v>
      </c>
      <c r="C1683" s="12" t="str">
        <f>LEFT('All Transactions'!$E1683,3)</f>
        <v>Aug</v>
      </c>
      <c r="D1683" s="12" t="str">
        <f t="shared" si="53"/>
        <v>2025</v>
      </c>
      <c r="E1683" s="22" t="s">
        <v>5281</v>
      </c>
      <c r="F1683" s="23" t="s">
        <v>365</v>
      </c>
      <c r="G1683" s="27" t="s">
        <v>54</v>
      </c>
      <c r="H1683" s="24">
        <v>2</v>
      </c>
      <c r="I1683" s="25" t="s">
        <v>2883</v>
      </c>
      <c r="J1683" s="25" t="s">
        <v>5282</v>
      </c>
      <c r="K1683" s="26"/>
      <c r="L1683" s="25" t="s">
        <v>2885</v>
      </c>
      <c r="M1683" t="str">
        <f>TEXT(A1683,"dddd")</f>
        <v>Wednesday</v>
      </c>
      <c r="N1683" s="35">
        <f>DATE(Table4[[#This Row],[year]],Table4[[#This Row],[month2]],Table4[[#This Row],[day]])</f>
        <v>45887</v>
      </c>
    </row>
    <row r="1684" spans="1:14" ht="16" x14ac:dyDescent="0.35">
      <c r="A1684" t="str">
        <f t="shared" si="52"/>
        <v>18</v>
      </c>
      <c r="B1684">
        <f>_xlfn.SWITCH(Table4[[#This Row],[month]],"jan",1,"feb",2,"mar",3,"apr",4,"may",5,"jun",6,"jul",7,"aug",8,"sep",9,"oct",10,"nov",11,"dec",12,"no month")</f>
        <v>8</v>
      </c>
      <c r="C1684" s="12" t="str">
        <f>LEFT('All Transactions'!$E1684,3)</f>
        <v>Aug</v>
      </c>
      <c r="D1684" s="12" t="str">
        <f t="shared" si="53"/>
        <v>2025</v>
      </c>
      <c r="E1684" s="16" t="s">
        <v>5281</v>
      </c>
      <c r="F1684" s="17" t="s">
        <v>365</v>
      </c>
      <c r="G1684" s="27" t="s">
        <v>54</v>
      </c>
      <c r="H1684" s="19">
        <v>3</v>
      </c>
      <c r="I1684" s="20" t="s">
        <v>2883</v>
      </c>
      <c r="J1684" s="20" t="s">
        <v>5283</v>
      </c>
      <c r="K1684" s="21"/>
      <c r="L1684" s="20" t="s">
        <v>2885</v>
      </c>
      <c r="M1684" t="str">
        <f>TEXT(A1684,"dddd")</f>
        <v>Wednesday</v>
      </c>
      <c r="N1684" s="35">
        <f>DATE(Table4[[#This Row],[year]],Table4[[#This Row],[month2]],Table4[[#This Row],[day]])</f>
        <v>45887</v>
      </c>
    </row>
    <row r="1685" spans="1:14" ht="16" x14ac:dyDescent="0.35">
      <c r="A1685" t="str">
        <f t="shared" si="52"/>
        <v>18</v>
      </c>
      <c r="B1685">
        <f>_xlfn.SWITCH(Table4[[#This Row],[month]],"jan",1,"feb",2,"mar",3,"apr",4,"may",5,"jun",6,"jul",7,"aug",8,"sep",9,"oct",10,"nov",11,"dec",12,"no month")</f>
        <v>8</v>
      </c>
      <c r="C1685" s="12" t="str">
        <f>LEFT('All Transactions'!$E1685,3)</f>
        <v>Aug</v>
      </c>
      <c r="D1685" s="12" t="str">
        <f t="shared" si="53"/>
        <v>2025</v>
      </c>
      <c r="E1685" s="22" t="s">
        <v>5281</v>
      </c>
      <c r="F1685" s="23" t="s">
        <v>365</v>
      </c>
      <c r="G1685" s="27" t="s">
        <v>54</v>
      </c>
      <c r="H1685" s="24">
        <v>3</v>
      </c>
      <c r="I1685" s="25" t="s">
        <v>2883</v>
      </c>
      <c r="J1685" s="25" t="s">
        <v>5284</v>
      </c>
      <c r="K1685" s="26"/>
      <c r="L1685" s="25" t="s">
        <v>2885</v>
      </c>
      <c r="M1685" t="str">
        <f>TEXT(A1685,"dddd")</f>
        <v>Wednesday</v>
      </c>
      <c r="N1685" s="35">
        <f>DATE(Table4[[#This Row],[year]],Table4[[#This Row],[month2]],Table4[[#This Row],[day]])</f>
        <v>45887</v>
      </c>
    </row>
    <row r="1686" spans="1:14" ht="16" x14ac:dyDescent="0.35">
      <c r="A1686" t="str">
        <f t="shared" si="52"/>
        <v>18</v>
      </c>
      <c r="B1686">
        <f>_xlfn.SWITCH(Table4[[#This Row],[month]],"jan",1,"feb",2,"mar",3,"apr",4,"may",5,"jun",6,"jul",7,"aug",8,"sep",9,"oct",10,"nov",11,"dec",12,"no month")</f>
        <v>8</v>
      </c>
      <c r="C1686" s="12" t="str">
        <f>LEFT('All Transactions'!$E1686,3)</f>
        <v>Aug</v>
      </c>
      <c r="D1686" s="12" t="str">
        <f t="shared" si="53"/>
        <v>2025</v>
      </c>
      <c r="E1686" s="16" t="s">
        <v>5281</v>
      </c>
      <c r="F1686" s="17" t="s">
        <v>365</v>
      </c>
      <c r="G1686" s="27" t="s">
        <v>54</v>
      </c>
      <c r="H1686" s="19">
        <v>4</v>
      </c>
      <c r="I1686" s="20" t="s">
        <v>2883</v>
      </c>
      <c r="J1686" s="20" t="s">
        <v>5285</v>
      </c>
      <c r="K1686" s="21"/>
      <c r="L1686" s="20" t="s">
        <v>2885</v>
      </c>
      <c r="M1686" t="str">
        <f>TEXT(A1686,"dddd")</f>
        <v>Wednesday</v>
      </c>
      <c r="N1686" s="35">
        <f>DATE(Table4[[#This Row],[year]],Table4[[#This Row],[month2]],Table4[[#This Row],[day]])</f>
        <v>45887</v>
      </c>
    </row>
    <row r="1687" spans="1:14" ht="16" x14ac:dyDescent="0.35">
      <c r="A1687" t="str">
        <f t="shared" si="52"/>
        <v>18</v>
      </c>
      <c r="B1687">
        <f>_xlfn.SWITCH(Table4[[#This Row],[month]],"jan",1,"feb",2,"mar",3,"apr",4,"may",5,"jun",6,"jul",7,"aug",8,"sep",9,"oct",10,"nov",11,"dec",12,"no month")</f>
        <v>8</v>
      </c>
      <c r="C1687" s="12" t="str">
        <f>LEFT('All Transactions'!$E1687,3)</f>
        <v>Aug</v>
      </c>
      <c r="D1687" s="12" t="str">
        <f t="shared" si="53"/>
        <v>2025</v>
      </c>
      <c r="E1687" s="22" t="s">
        <v>5281</v>
      </c>
      <c r="F1687" s="23" t="s">
        <v>365</v>
      </c>
      <c r="G1687" s="27" t="s">
        <v>54</v>
      </c>
      <c r="H1687" s="24">
        <v>4</v>
      </c>
      <c r="I1687" s="25" t="s">
        <v>2883</v>
      </c>
      <c r="J1687" s="25" t="s">
        <v>5286</v>
      </c>
      <c r="K1687" s="26"/>
      <c r="L1687" s="25" t="s">
        <v>2885</v>
      </c>
      <c r="M1687" t="str">
        <f>TEXT(A1687,"dddd")</f>
        <v>Wednesday</v>
      </c>
      <c r="N1687" s="35">
        <f>DATE(Table4[[#This Row],[year]],Table4[[#This Row],[month2]],Table4[[#This Row],[day]])</f>
        <v>45887</v>
      </c>
    </row>
    <row r="1688" spans="1:14" ht="16" x14ac:dyDescent="0.35">
      <c r="A1688" t="str">
        <f t="shared" si="52"/>
        <v>18</v>
      </c>
      <c r="B1688">
        <f>_xlfn.SWITCH(Table4[[#This Row],[month]],"jan",1,"feb",2,"mar",3,"apr",4,"may",5,"jun",6,"jul",7,"aug",8,"sep",9,"oct",10,"nov",11,"dec",12,"no month")</f>
        <v>8</v>
      </c>
      <c r="C1688" s="12" t="str">
        <f>LEFT('All Transactions'!$E1688,3)</f>
        <v>Aug</v>
      </c>
      <c r="D1688" s="12" t="str">
        <f t="shared" si="53"/>
        <v>2025</v>
      </c>
      <c r="E1688" s="16" t="s">
        <v>5281</v>
      </c>
      <c r="F1688" s="17" t="s">
        <v>365</v>
      </c>
      <c r="G1688" s="27" t="s">
        <v>54</v>
      </c>
      <c r="H1688" s="19">
        <v>3</v>
      </c>
      <c r="I1688" s="20" t="s">
        <v>2883</v>
      </c>
      <c r="J1688" s="20" t="s">
        <v>5287</v>
      </c>
      <c r="K1688" s="21"/>
      <c r="L1688" s="20" t="s">
        <v>2885</v>
      </c>
      <c r="M1688" t="str">
        <f>TEXT(A1688,"dddd")</f>
        <v>Wednesday</v>
      </c>
      <c r="N1688" s="35">
        <f>DATE(Table4[[#This Row],[year]],Table4[[#This Row],[month2]],Table4[[#This Row],[day]])</f>
        <v>45887</v>
      </c>
    </row>
    <row r="1689" spans="1:14" ht="16" x14ac:dyDescent="0.35">
      <c r="A1689" t="str">
        <f t="shared" si="52"/>
        <v>18</v>
      </c>
      <c r="B1689">
        <f>_xlfn.SWITCH(Table4[[#This Row],[month]],"jan",1,"feb",2,"mar",3,"apr",4,"may",5,"jun",6,"jul",7,"aug",8,"sep",9,"oct",10,"nov",11,"dec",12,"no month")</f>
        <v>8</v>
      </c>
      <c r="C1689" s="12" t="str">
        <f>LEFT('All Transactions'!$E1689,3)</f>
        <v>Aug</v>
      </c>
      <c r="D1689" s="12" t="str">
        <f t="shared" si="53"/>
        <v>2025</v>
      </c>
      <c r="E1689" s="22" t="s">
        <v>5281</v>
      </c>
      <c r="F1689" s="23" t="s">
        <v>365</v>
      </c>
      <c r="G1689" s="27" t="s">
        <v>54</v>
      </c>
      <c r="H1689" s="24">
        <v>3</v>
      </c>
      <c r="I1689" s="25" t="s">
        <v>2883</v>
      </c>
      <c r="J1689" s="25" t="s">
        <v>5288</v>
      </c>
      <c r="K1689" s="26"/>
      <c r="L1689" s="25" t="s">
        <v>2885</v>
      </c>
      <c r="M1689" t="str">
        <f>TEXT(A1689,"dddd")</f>
        <v>Wednesday</v>
      </c>
      <c r="N1689" s="35">
        <f>DATE(Table4[[#This Row],[year]],Table4[[#This Row],[month2]],Table4[[#This Row],[day]])</f>
        <v>45887</v>
      </c>
    </row>
    <row r="1690" spans="1:14" ht="16" x14ac:dyDescent="0.35">
      <c r="A1690" t="str">
        <f t="shared" si="52"/>
        <v>18</v>
      </c>
      <c r="B1690">
        <f>_xlfn.SWITCH(Table4[[#This Row],[month]],"jan",1,"feb",2,"mar",3,"apr",4,"may",5,"jun",6,"jul",7,"aug",8,"sep",9,"oct",10,"nov",11,"dec",12,"no month")</f>
        <v>8</v>
      </c>
      <c r="C1690" s="12" t="str">
        <f>LEFT('All Transactions'!$E1690,3)</f>
        <v>Aug</v>
      </c>
      <c r="D1690" s="12" t="str">
        <f t="shared" si="53"/>
        <v>2025</v>
      </c>
      <c r="E1690" s="16" t="s">
        <v>5281</v>
      </c>
      <c r="F1690" s="17" t="s">
        <v>365</v>
      </c>
      <c r="G1690" s="27" t="s">
        <v>54</v>
      </c>
      <c r="H1690" s="19">
        <v>2</v>
      </c>
      <c r="I1690" s="20" t="s">
        <v>2883</v>
      </c>
      <c r="J1690" s="20" t="s">
        <v>5289</v>
      </c>
      <c r="K1690" s="21"/>
      <c r="L1690" s="20" t="s">
        <v>2885</v>
      </c>
      <c r="M1690" t="str">
        <f>TEXT(A1690,"dddd")</f>
        <v>Wednesday</v>
      </c>
      <c r="N1690" s="35">
        <f>DATE(Table4[[#This Row],[year]],Table4[[#This Row],[month2]],Table4[[#This Row],[day]])</f>
        <v>45887</v>
      </c>
    </row>
    <row r="1691" spans="1:14" ht="16" x14ac:dyDescent="0.35">
      <c r="A1691" t="str">
        <f t="shared" si="52"/>
        <v>18</v>
      </c>
      <c r="B1691">
        <f>_xlfn.SWITCH(Table4[[#This Row],[month]],"jan",1,"feb",2,"mar",3,"apr",4,"may",5,"jun",6,"jul",7,"aug",8,"sep",9,"oct",10,"nov",11,"dec",12,"no month")</f>
        <v>8</v>
      </c>
      <c r="C1691" s="12" t="str">
        <f>LEFT('All Transactions'!$E1691,3)</f>
        <v>Aug</v>
      </c>
      <c r="D1691" s="12" t="str">
        <f t="shared" si="53"/>
        <v>2025</v>
      </c>
      <c r="E1691" s="22" t="s">
        <v>5281</v>
      </c>
      <c r="F1691" s="23" t="s">
        <v>365</v>
      </c>
      <c r="G1691" s="27" t="s">
        <v>54</v>
      </c>
      <c r="H1691" s="24">
        <v>5</v>
      </c>
      <c r="I1691" s="25" t="s">
        <v>2883</v>
      </c>
      <c r="J1691" s="25" t="s">
        <v>5290</v>
      </c>
      <c r="K1691" s="26"/>
      <c r="L1691" s="25" t="s">
        <v>2885</v>
      </c>
      <c r="M1691" t="str">
        <f>TEXT(A1691,"dddd")</f>
        <v>Wednesday</v>
      </c>
      <c r="N1691" s="35">
        <f>DATE(Table4[[#This Row],[year]],Table4[[#This Row],[month2]],Table4[[#This Row],[day]])</f>
        <v>45887</v>
      </c>
    </row>
    <row r="1692" spans="1:14" ht="16" x14ac:dyDescent="0.35">
      <c r="A1692" t="str">
        <f t="shared" si="52"/>
        <v>18</v>
      </c>
      <c r="B1692">
        <f>_xlfn.SWITCH(Table4[[#This Row],[month]],"jan",1,"feb",2,"mar",3,"apr",4,"may",5,"jun",6,"jul",7,"aug",8,"sep",9,"oct",10,"nov",11,"dec",12,"no month")</f>
        <v>8</v>
      </c>
      <c r="C1692" s="12" t="str">
        <f>LEFT('All Transactions'!$E1692,3)</f>
        <v>Aug</v>
      </c>
      <c r="D1692" s="12" t="str">
        <f t="shared" si="53"/>
        <v>2025</v>
      </c>
      <c r="E1692" s="16" t="s">
        <v>5281</v>
      </c>
      <c r="F1692" s="17" t="s">
        <v>365</v>
      </c>
      <c r="G1692" s="27" t="s">
        <v>54</v>
      </c>
      <c r="H1692" s="19">
        <v>3</v>
      </c>
      <c r="I1692" s="20" t="s">
        <v>2883</v>
      </c>
      <c r="J1692" s="20" t="s">
        <v>5291</v>
      </c>
      <c r="K1692" s="21"/>
      <c r="L1692" s="20" t="s">
        <v>2885</v>
      </c>
      <c r="M1692" t="str">
        <f>TEXT(A1692,"dddd")</f>
        <v>Wednesday</v>
      </c>
      <c r="N1692" s="35">
        <f>DATE(Table4[[#This Row],[year]],Table4[[#This Row],[month2]],Table4[[#This Row],[day]])</f>
        <v>45887</v>
      </c>
    </row>
    <row r="1693" spans="1:14" ht="16" x14ac:dyDescent="0.35">
      <c r="A1693" t="str">
        <f t="shared" si="52"/>
        <v>18</v>
      </c>
      <c r="B1693">
        <f>_xlfn.SWITCH(Table4[[#This Row],[month]],"jan",1,"feb",2,"mar",3,"apr",4,"may",5,"jun",6,"jul",7,"aug",8,"sep",9,"oct",10,"nov",11,"dec",12,"no month")</f>
        <v>8</v>
      </c>
      <c r="C1693" s="12" t="str">
        <f>LEFT('All Transactions'!$E1693,3)</f>
        <v>Aug</v>
      </c>
      <c r="D1693" s="12" t="str">
        <f t="shared" si="53"/>
        <v>2025</v>
      </c>
      <c r="E1693" s="22" t="s">
        <v>5281</v>
      </c>
      <c r="F1693" s="23" t="s">
        <v>365</v>
      </c>
      <c r="G1693" s="27" t="s">
        <v>54</v>
      </c>
      <c r="H1693" s="24">
        <v>3</v>
      </c>
      <c r="I1693" s="25" t="s">
        <v>2883</v>
      </c>
      <c r="J1693" s="25" t="s">
        <v>5292</v>
      </c>
      <c r="K1693" s="26"/>
      <c r="L1693" s="25" t="s">
        <v>2885</v>
      </c>
      <c r="M1693" t="str">
        <f>TEXT(A1693,"dddd")</f>
        <v>Wednesday</v>
      </c>
      <c r="N1693" s="35">
        <f>DATE(Table4[[#This Row],[year]],Table4[[#This Row],[month2]],Table4[[#This Row],[day]])</f>
        <v>45887</v>
      </c>
    </row>
    <row r="1694" spans="1:14" ht="16" x14ac:dyDescent="0.35">
      <c r="A1694" t="str">
        <f t="shared" si="52"/>
        <v>18</v>
      </c>
      <c r="B1694">
        <f>_xlfn.SWITCH(Table4[[#This Row],[month]],"jan",1,"feb",2,"mar",3,"apr",4,"may",5,"jun",6,"jul",7,"aug",8,"sep",9,"oct",10,"nov",11,"dec",12,"no month")</f>
        <v>8</v>
      </c>
      <c r="C1694" s="12" t="str">
        <f>LEFT('All Transactions'!$E1694,3)</f>
        <v>Aug</v>
      </c>
      <c r="D1694" s="12" t="str">
        <f t="shared" si="53"/>
        <v>2025</v>
      </c>
      <c r="E1694" s="16" t="s">
        <v>5281</v>
      </c>
      <c r="F1694" s="17" t="s">
        <v>1302</v>
      </c>
      <c r="G1694" s="18" t="s">
        <v>28</v>
      </c>
      <c r="H1694" s="19">
        <v>836.41</v>
      </c>
      <c r="I1694" s="20" t="s">
        <v>5293</v>
      </c>
      <c r="J1694" s="20" t="s">
        <v>5294</v>
      </c>
      <c r="K1694" s="21" t="s">
        <v>5295</v>
      </c>
      <c r="L1694" s="20" t="s">
        <v>47</v>
      </c>
      <c r="M1694" t="str">
        <f>TEXT(A1694,"dddd")</f>
        <v>Wednesday</v>
      </c>
      <c r="N1694" s="35">
        <f>DATE(Table4[[#This Row],[year]],Table4[[#This Row],[month2]],Table4[[#This Row],[day]])</f>
        <v>45887</v>
      </c>
    </row>
    <row r="1695" spans="1:14" ht="16" x14ac:dyDescent="0.35">
      <c r="A1695" t="str">
        <f t="shared" si="52"/>
        <v>18</v>
      </c>
      <c r="B1695">
        <f>_xlfn.SWITCH(Table4[[#This Row],[month]],"jan",1,"feb",2,"mar",3,"apr",4,"may",5,"jun",6,"jul",7,"aug",8,"sep",9,"oct",10,"nov",11,"dec",12,"no month")</f>
        <v>8</v>
      </c>
      <c r="C1695" s="12" t="str">
        <f>LEFT('All Transactions'!$E1695,3)</f>
        <v>Aug</v>
      </c>
      <c r="D1695" s="12" t="str">
        <f t="shared" si="53"/>
        <v>2025</v>
      </c>
      <c r="E1695" s="22" t="s">
        <v>5281</v>
      </c>
      <c r="F1695" s="23" t="s">
        <v>1449</v>
      </c>
      <c r="G1695" s="18" t="s">
        <v>28</v>
      </c>
      <c r="H1695" s="24">
        <v>380.93</v>
      </c>
      <c r="I1695" s="25" t="s">
        <v>5296</v>
      </c>
      <c r="J1695" s="25" t="s">
        <v>5297</v>
      </c>
      <c r="K1695" s="26" t="s">
        <v>5298</v>
      </c>
      <c r="L1695" s="25" t="s">
        <v>32</v>
      </c>
      <c r="M1695" t="str">
        <f>TEXT(A1695,"dddd")</f>
        <v>Wednesday</v>
      </c>
      <c r="N1695" s="35">
        <f>DATE(Table4[[#This Row],[year]],Table4[[#This Row],[month2]],Table4[[#This Row],[day]])</f>
        <v>45887</v>
      </c>
    </row>
    <row r="1696" spans="1:14" ht="16" x14ac:dyDescent="0.35">
      <c r="A1696" t="str">
        <f t="shared" si="52"/>
        <v>18</v>
      </c>
      <c r="B1696">
        <f>_xlfn.SWITCH(Table4[[#This Row],[month]],"jan",1,"feb",2,"mar",3,"apr",4,"may",5,"jun",6,"jul",7,"aug",8,"sep",9,"oct",10,"nov",11,"dec",12,"no month")</f>
        <v>8</v>
      </c>
      <c r="C1696" s="12" t="str">
        <f>LEFT('All Transactions'!$E1696,3)</f>
        <v>Aug</v>
      </c>
      <c r="D1696" s="12" t="str">
        <f t="shared" si="53"/>
        <v>2025</v>
      </c>
      <c r="E1696" s="16" t="s">
        <v>5281</v>
      </c>
      <c r="F1696" s="17" t="s">
        <v>2251</v>
      </c>
      <c r="G1696" s="18" t="s">
        <v>28</v>
      </c>
      <c r="H1696" s="19">
        <v>3500</v>
      </c>
      <c r="I1696" s="20" t="s">
        <v>5225</v>
      </c>
      <c r="J1696" s="20" t="s">
        <v>5299</v>
      </c>
      <c r="K1696" s="21" t="s">
        <v>5300</v>
      </c>
      <c r="L1696" s="20" t="s">
        <v>32</v>
      </c>
      <c r="M1696" t="str">
        <f>TEXT(A1696,"dddd")</f>
        <v>Wednesday</v>
      </c>
      <c r="N1696" s="35">
        <f>DATE(Table4[[#This Row],[year]],Table4[[#This Row],[month2]],Table4[[#This Row],[day]])</f>
        <v>45887</v>
      </c>
    </row>
    <row r="1697" spans="1:14" ht="16" x14ac:dyDescent="0.35">
      <c r="A1697" t="str">
        <f t="shared" si="52"/>
        <v>18</v>
      </c>
      <c r="B1697">
        <f>_xlfn.SWITCH(Table4[[#This Row],[month]],"jan",1,"feb",2,"mar",3,"apr",4,"may",5,"jun",6,"jul",7,"aug",8,"sep",9,"oct",10,"nov",11,"dec",12,"no month")</f>
        <v>8</v>
      </c>
      <c r="C1697" s="12" t="str">
        <f>LEFT('All Transactions'!$E1697,3)</f>
        <v>Aug</v>
      </c>
      <c r="D1697" s="12" t="str">
        <f t="shared" si="53"/>
        <v>2025</v>
      </c>
      <c r="E1697" s="22" t="s">
        <v>5281</v>
      </c>
      <c r="F1697" s="23" t="s">
        <v>3902</v>
      </c>
      <c r="G1697" s="18" t="s">
        <v>28</v>
      </c>
      <c r="H1697" s="24">
        <v>241</v>
      </c>
      <c r="I1697" s="25" t="s">
        <v>536</v>
      </c>
      <c r="J1697" s="25" t="s">
        <v>5301</v>
      </c>
      <c r="K1697" s="26" t="s">
        <v>5302</v>
      </c>
      <c r="L1697" s="25" t="s">
        <v>32</v>
      </c>
      <c r="M1697" t="str">
        <f>TEXT(A1697,"dddd")</f>
        <v>Wednesday</v>
      </c>
      <c r="N1697" s="35">
        <f>DATE(Table4[[#This Row],[year]],Table4[[#This Row],[month2]],Table4[[#This Row],[day]])</f>
        <v>45887</v>
      </c>
    </row>
    <row r="1698" spans="1:14" ht="16" x14ac:dyDescent="0.35">
      <c r="A1698" t="str">
        <f t="shared" si="52"/>
        <v>17</v>
      </c>
      <c r="B1698">
        <f>_xlfn.SWITCH(Table4[[#This Row],[month]],"jan",1,"feb",2,"mar",3,"apr",4,"may",5,"jun",6,"jul",7,"aug",8,"sep",9,"oct",10,"nov",11,"dec",12,"no month")</f>
        <v>8</v>
      </c>
      <c r="C1698" s="12" t="str">
        <f>LEFT('All Transactions'!$E1698,3)</f>
        <v>Aug</v>
      </c>
      <c r="D1698" s="12" t="str">
        <f t="shared" si="53"/>
        <v>2025</v>
      </c>
      <c r="E1698" s="16" t="s">
        <v>5303</v>
      </c>
      <c r="F1698" s="17" t="s">
        <v>932</v>
      </c>
      <c r="G1698" s="18" t="s">
        <v>28</v>
      </c>
      <c r="H1698" s="19">
        <v>153</v>
      </c>
      <c r="I1698" s="20" t="s">
        <v>5249</v>
      </c>
      <c r="J1698" s="20" t="s">
        <v>5304</v>
      </c>
      <c r="K1698" s="21" t="s">
        <v>5305</v>
      </c>
      <c r="L1698" s="20" t="s">
        <v>32</v>
      </c>
      <c r="M1698" t="str">
        <f>TEXT(A1698,"dddd")</f>
        <v>Tuesday</v>
      </c>
      <c r="N1698" s="35">
        <f>DATE(Table4[[#This Row],[year]],Table4[[#This Row],[month2]],Table4[[#This Row],[day]])</f>
        <v>45886</v>
      </c>
    </row>
    <row r="1699" spans="1:14" ht="16" x14ac:dyDescent="0.35">
      <c r="A1699" t="str">
        <f t="shared" si="52"/>
        <v>17</v>
      </c>
      <c r="B1699">
        <f>_xlfn.SWITCH(Table4[[#This Row],[month]],"jan",1,"feb",2,"mar",3,"apr",4,"may",5,"jun",6,"jul",7,"aug",8,"sep",9,"oct",10,"nov",11,"dec",12,"no month")</f>
        <v>8</v>
      </c>
      <c r="C1699" s="12" t="str">
        <f>LEFT('All Transactions'!$E1699,3)</f>
        <v>Aug</v>
      </c>
      <c r="D1699" s="12" t="str">
        <f t="shared" si="53"/>
        <v>2025</v>
      </c>
      <c r="E1699" s="22" t="s">
        <v>5303</v>
      </c>
      <c r="F1699" s="23" t="s">
        <v>4541</v>
      </c>
      <c r="G1699" s="18" t="s">
        <v>28</v>
      </c>
      <c r="H1699" s="24">
        <v>350</v>
      </c>
      <c r="I1699" s="25" t="s">
        <v>5306</v>
      </c>
      <c r="J1699" s="25" t="s">
        <v>5307</v>
      </c>
      <c r="K1699" s="26" t="s">
        <v>5308</v>
      </c>
      <c r="L1699" s="25" t="s">
        <v>32</v>
      </c>
      <c r="M1699" t="str">
        <f>TEXT(A1699,"dddd")</f>
        <v>Tuesday</v>
      </c>
      <c r="N1699" s="35">
        <f>DATE(Table4[[#This Row],[year]],Table4[[#This Row],[month2]],Table4[[#This Row],[day]])</f>
        <v>45886</v>
      </c>
    </row>
    <row r="1700" spans="1:14" ht="16" x14ac:dyDescent="0.35">
      <c r="A1700" t="str">
        <f t="shared" si="52"/>
        <v>16</v>
      </c>
      <c r="B1700">
        <f>_xlfn.SWITCH(Table4[[#This Row],[month]],"jan",1,"feb",2,"mar",3,"apr",4,"may",5,"jun",6,"jul",7,"aug",8,"sep",9,"oct",10,"nov",11,"dec",12,"no month")</f>
        <v>8</v>
      </c>
      <c r="C1700" s="12" t="str">
        <f>LEFT('All Transactions'!$E1700,3)</f>
        <v>Aug</v>
      </c>
      <c r="D1700" s="12" t="str">
        <f t="shared" si="53"/>
        <v>2025</v>
      </c>
      <c r="E1700" s="16" t="s">
        <v>5309</v>
      </c>
      <c r="F1700" s="17" t="s">
        <v>752</v>
      </c>
      <c r="G1700" s="18" t="s">
        <v>28</v>
      </c>
      <c r="H1700" s="19">
        <v>190</v>
      </c>
      <c r="I1700" s="20" t="s">
        <v>5310</v>
      </c>
      <c r="J1700" s="20" t="s">
        <v>5311</v>
      </c>
      <c r="K1700" s="21" t="s">
        <v>5312</v>
      </c>
      <c r="L1700" s="20" t="s">
        <v>32</v>
      </c>
      <c r="M1700" t="str">
        <f>TEXT(A1700,"dddd")</f>
        <v>Monday</v>
      </c>
      <c r="N1700" s="35">
        <f>DATE(Table4[[#This Row],[year]],Table4[[#This Row],[month2]],Table4[[#This Row],[day]])</f>
        <v>45885</v>
      </c>
    </row>
    <row r="1701" spans="1:14" ht="16" x14ac:dyDescent="0.35">
      <c r="A1701" t="str">
        <f t="shared" si="52"/>
        <v>16</v>
      </c>
      <c r="B1701">
        <f>_xlfn.SWITCH(Table4[[#This Row],[month]],"jan",1,"feb",2,"mar",3,"apr",4,"may",5,"jun",6,"jul",7,"aug",8,"sep",9,"oct",10,"nov",11,"dec",12,"no month")</f>
        <v>8</v>
      </c>
      <c r="C1701" s="12" t="str">
        <f>LEFT('All Transactions'!$E1701,3)</f>
        <v>Aug</v>
      </c>
      <c r="D1701" s="12" t="str">
        <f t="shared" si="53"/>
        <v>2025</v>
      </c>
      <c r="E1701" s="22" t="s">
        <v>5309</v>
      </c>
      <c r="F1701" s="23" t="s">
        <v>388</v>
      </c>
      <c r="G1701" s="18" t="s">
        <v>28</v>
      </c>
      <c r="H1701" s="24">
        <v>930</v>
      </c>
      <c r="I1701" s="25" t="s">
        <v>5252</v>
      </c>
      <c r="J1701" s="25" t="s">
        <v>5313</v>
      </c>
      <c r="K1701" s="26" t="s">
        <v>5314</v>
      </c>
      <c r="L1701" s="25" t="s">
        <v>1808</v>
      </c>
      <c r="M1701" t="str">
        <f>TEXT(A1701,"dddd")</f>
        <v>Monday</v>
      </c>
      <c r="N1701" s="35">
        <f>DATE(Table4[[#This Row],[year]],Table4[[#This Row],[month2]],Table4[[#This Row],[day]])</f>
        <v>45885</v>
      </c>
    </row>
    <row r="1702" spans="1:14" ht="16" x14ac:dyDescent="0.35">
      <c r="A1702" t="str">
        <f t="shared" si="52"/>
        <v>16</v>
      </c>
      <c r="B1702">
        <f>_xlfn.SWITCH(Table4[[#This Row],[month]],"jan",1,"feb",2,"mar",3,"apr",4,"may",5,"jun",6,"jul",7,"aug",8,"sep",9,"oct",10,"nov",11,"dec",12,"no month")</f>
        <v>8</v>
      </c>
      <c r="C1702" s="12" t="str">
        <f>LEFT('All Transactions'!$E1702,3)</f>
        <v>Aug</v>
      </c>
      <c r="D1702" s="12" t="str">
        <f t="shared" si="53"/>
        <v>2025</v>
      </c>
      <c r="E1702" s="16" t="s">
        <v>5309</v>
      </c>
      <c r="F1702" s="17" t="s">
        <v>1424</v>
      </c>
      <c r="G1702" s="27" t="s">
        <v>54</v>
      </c>
      <c r="H1702" s="19">
        <v>1000</v>
      </c>
      <c r="I1702" s="20" t="s">
        <v>156</v>
      </c>
      <c r="J1702" s="20" t="s">
        <v>5315</v>
      </c>
      <c r="K1702" s="21" t="s">
        <v>5316</v>
      </c>
      <c r="L1702" s="20" t="s">
        <v>2330</v>
      </c>
      <c r="M1702" t="str">
        <f>TEXT(A1702,"dddd")</f>
        <v>Monday</v>
      </c>
      <c r="N1702" s="35">
        <f>DATE(Table4[[#This Row],[year]],Table4[[#This Row],[month2]],Table4[[#This Row],[day]])</f>
        <v>45885</v>
      </c>
    </row>
    <row r="1703" spans="1:14" ht="16" x14ac:dyDescent="0.35">
      <c r="A1703" t="str">
        <f t="shared" si="52"/>
        <v>16</v>
      </c>
      <c r="B1703">
        <f>_xlfn.SWITCH(Table4[[#This Row],[month]],"jan",1,"feb",2,"mar",3,"apr",4,"may",5,"jun",6,"jul",7,"aug",8,"sep",9,"oct",10,"nov",11,"dec",12,"no month")</f>
        <v>8</v>
      </c>
      <c r="C1703" s="12" t="str">
        <f>LEFT('All Transactions'!$E1703,3)</f>
        <v>Aug</v>
      </c>
      <c r="D1703" s="12" t="str">
        <f t="shared" si="53"/>
        <v>2025</v>
      </c>
      <c r="E1703" s="22" t="s">
        <v>5309</v>
      </c>
      <c r="F1703" s="23" t="s">
        <v>3050</v>
      </c>
      <c r="G1703" s="18" t="s">
        <v>28</v>
      </c>
      <c r="H1703" s="24">
        <v>351</v>
      </c>
      <c r="I1703" s="25" t="s">
        <v>5249</v>
      </c>
      <c r="J1703" s="25" t="s">
        <v>5317</v>
      </c>
      <c r="K1703" s="26" t="s">
        <v>5318</v>
      </c>
      <c r="L1703" s="25" t="s">
        <v>32</v>
      </c>
      <c r="M1703" t="str">
        <f>TEXT(A1703,"dddd")</f>
        <v>Monday</v>
      </c>
      <c r="N1703" s="35">
        <f>DATE(Table4[[#This Row],[year]],Table4[[#This Row],[month2]],Table4[[#This Row],[day]])</f>
        <v>45885</v>
      </c>
    </row>
    <row r="1704" spans="1:14" ht="16" x14ac:dyDescent="0.35">
      <c r="A1704" t="str">
        <f t="shared" si="52"/>
        <v>16</v>
      </c>
      <c r="B1704">
        <f>_xlfn.SWITCH(Table4[[#This Row],[month]],"jan",1,"feb",2,"mar",3,"apr",4,"may",5,"jun",6,"jul",7,"aug",8,"sep",9,"oct",10,"nov",11,"dec",12,"no month")</f>
        <v>8</v>
      </c>
      <c r="C1704" s="12" t="str">
        <f>LEFT('All Transactions'!$E1704,3)</f>
        <v>Aug</v>
      </c>
      <c r="D1704" s="12" t="str">
        <f t="shared" si="53"/>
        <v>2025</v>
      </c>
      <c r="E1704" s="16" t="s">
        <v>5309</v>
      </c>
      <c r="F1704" s="17" t="s">
        <v>5319</v>
      </c>
      <c r="G1704" s="18" t="s">
        <v>28</v>
      </c>
      <c r="H1704" s="19">
        <v>80</v>
      </c>
      <c r="I1704" s="20" t="s">
        <v>5320</v>
      </c>
      <c r="J1704" s="20" t="s">
        <v>5321</v>
      </c>
      <c r="K1704" s="21" t="s">
        <v>5322</v>
      </c>
      <c r="L1704" s="20" t="s">
        <v>32</v>
      </c>
      <c r="M1704" t="str">
        <f>TEXT(A1704,"dddd")</f>
        <v>Monday</v>
      </c>
      <c r="N1704" s="35">
        <f>DATE(Table4[[#This Row],[year]],Table4[[#This Row],[month2]],Table4[[#This Row],[day]])</f>
        <v>45885</v>
      </c>
    </row>
    <row r="1705" spans="1:14" ht="16" x14ac:dyDescent="0.35">
      <c r="A1705" t="str">
        <f t="shared" si="52"/>
        <v>16</v>
      </c>
      <c r="B1705">
        <f>_xlfn.SWITCH(Table4[[#This Row],[month]],"jan",1,"feb",2,"mar",3,"apr",4,"may",5,"jun",6,"jul",7,"aug",8,"sep",9,"oct",10,"nov",11,"dec",12,"no month")</f>
        <v>8</v>
      </c>
      <c r="C1705" s="12" t="str">
        <f>LEFT('All Transactions'!$E1705,3)</f>
        <v>Aug</v>
      </c>
      <c r="D1705" s="12" t="str">
        <f t="shared" si="53"/>
        <v>2025</v>
      </c>
      <c r="E1705" s="22" t="s">
        <v>5309</v>
      </c>
      <c r="F1705" s="23" t="s">
        <v>2009</v>
      </c>
      <c r="G1705" s="18" t="s">
        <v>28</v>
      </c>
      <c r="H1705" s="24">
        <v>50</v>
      </c>
      <c r="I1705" s="25" t="s">
        <v>5323</v>
      </c>
      <c r="J1705" s="25" t="s">
        <v>5324</v>
      </c>
      <c r="K1705" s="26" t="s">
        <v>5325</v>
      </c>
      <c r="L1705" s="25" t="s">
        <v>32</v>
      </c>
      <c r="M1705" t="str">
        <f>TEXT(A1705,"dddd")</f>
        <v>Monday</v>
      </c>
      <c r="N1705" s="35">
        <f>DATE(Table4[[#This Row],[year]],Table4[[#This Row],[month2]],Table4[[#This Row],[day]])</f>
        <v>45885</v>
      </c>
    </row>
    <row r="1706" spans="1:14" ht="16" x14ac:dyDescent="0.35">
      <c r="A1706" t="str">
        <f t="shared" si="52"/>
        <v>16</v>
      </c>
      <c r="B1706">
        <f>_xlfn.SWITCH(Table4[[#This Row],[month]],"jan",1,"feb",2,"mar",3,"apr",4,"may",5,"jun",6,"jul",7,"aug",8,"sep",9,"oct",10,"nov",11,"dec",12,"no month")</f>
        <v>8</v>
      </c>
      <c r="C1706" s="12" t="str">
        <f>LEFT('All Transactions'!$E1706,3)</f>
        <v>Aug</v>
      </c>
      <c r="D1706" s="12" t="str">
        <f t="shared" si="53"/>
        <v>2025</v>
      </c>
      <c r="E1706" s="16" t="s">
        <v>5309</v>
      </c>
      <c r="F1706" s="17" t="s">
        <v>430</v>
      </c>
      <c r="G1706" s="18" t="s">
        <v>28</v>
      </c>
      <c r="H1706" s="19">
        <v>73</v>
      </c>
      <c r="I1706" s="20" t="s">
        <v>5326</v>
      </c>
      <c r="J1706" s="20" t="s">
        <v>5327</v>
      </c>
      <c r="K1706" s="21" t="s">
        <v>5328</v>
      </c>
      <c r="L1706" s="20" t="s">
        <v>32</v>
      </c>
      <c r="M1706" t="str">
        <f>TEXT(A1706,"dddd")</f>
        <v>Monday</v>
      </c>
      <c r="N1706" s="35">
        <f>DATE(Table4[[#This Row],[year]],Table4[[#This Row],[month2]],Table4[[#This Row],[day]])</f>
        <v>45885</v>
      </c>
    </row>
    <row r="1707" spans="1:14" ht="16" x14ac:dyDescent="0.35">
      <c r="A1707" t="str">
        <f t="shared" si="52"/>
        <v>15</v>
      </c>
      <c r="B1707">
        <f>_xlfn.SWITCH(Table4[[#This Row],[month]],"jan",1,"feb",2,"mar",3,"apr",4,"may",5,"jun",6,"jul",7,"aug",8,"sep",9,"oct",10,"nov",11,"dec",12,"no month")</f>
        <v>8</v>
      </c>
      <c r="C1707" s="12" t="str">
        <f>LEFT('All Transactions'!$E1707,3)</f>
        <v>Aug</v>
      </c>
      <c r="D1707" s="12" t="str">
        <f t="shared" si="53"/>
        <v>2025</v>
      </c>
      <c r="E1707" s="22" t="s">
        <v>5329</v>
      </c>
      <c r="F1707" s="23" t="s">
        <v>449</v>
      </c>
      <c r="G1707" s="27" t="s">
        <v>54</v>
      </c>
      <c r="H1707" s="24">
        <v>3</v>
      </c>
      <c r="I1707" s="25" t="s">
        <v>2883</v>
      </c>
      <c r="J1707" s="25" t="s">
        <v>5330</v>
      </c>
      <c r="K1707" s="26"/>
      <c r="L1707" s="25" t="s">
        <v>2885</v>
      </c>
      <c r="M1707" t="str">
        <f>TEXT(A1707,"dddd")</f>
        <v>Sunday</v>
      </c>
      <c r="N1707" s="35">
        <f>DATE(Table4[[#This Row],[year]],Table4[[#This Row],[month2]],Table4[[#This Row],[day]])</f>
        <v>45884</v>
      </c>
    </row>
    <row r="1708" spans="1:14" ht="16" x14ac:dyDescent="0.35">
      <c r="A1708" t="str">
        <f t="shared" si="52"/>
        <v>15</v>
      </c>
      <c r="B1708">
        <f>_xlfn.SWITCH(Table4[[#This Row],[month]],"jan",1,"feb",2,"mar",3,"apr",4,"may",5,"jun",6,"jul",7,"aug",8,"sep",9,"oct",10,"nov",11,"dec",12,"no month")</f>
        <v>8</v>
      </c>
      <c r="C1708" s="12" t="str">
        <f>LEFT('All Transactions'!$E1708,3)</f>
        <v>Aug</v>
      </c>
      <c r="D1708" s="12" t="str">
        <f t="shared" si="53"/>
        <v>2025</v>
      </c>
      <c r="E1708" s="16" t="s">
        <v>5329</v>
      </c>
      <c r="F1708" s="17" t="s">
        <v>449</v>
      </c>
      <c r="G1708" s="27" t="s">
        <v>54</v>
      </c>
      <c r="H1708" s="19">
        <v>3</v>
      </c>
      <c r="I1708" s="20" t="s">
        <v>2883</v>
      </c>
      <c r="J1708" s="20" t="s">
        <v>5331</v>
      </c>
      <c r="K1708" s="21"/>
      <c r="L1708" s="20" t="s">
        <v>2885</v>
      </c>
      <c r="M1708" t="str">
        <f>TEXT(A1708,"dddd")</f>
        <v>Sunday</v>
      </c>
      <c r="N1708" s="35">
        <f>DATE(Table4[[#This Row],[year]],Table4[[#This Row],[month2]],Table4[[#This Row],[day]])</f>
        <v>45884</v>
      </c>
    </row>
    <row r="1709" spans="1:14" ht="16" x14ac:dyDescent="0.35">
      <c r="A1709" t="str">
        <f t="shared" si="52"/>
        <v>15</v>
      </c>
      <c r="B1709">
        <f>_xlfn.SWITCH(Table4[[#This Row],[month]],"jan",1,"feb",2,"mar",3,"apr",4,"may",5,"jun",6,"jul",7,"aug",8,"sep",9,"oct",10,"nov",11,"dec",12,"no month")</f>
        <v>8</v>
      </c>
      <c r="C1709" s="12" t="str">
        <f>LEFT('All Transactions'!$E1709,3)</f>
        <v>Aug</v>
      </c>
      <c r="D1709" s="12" t="str">
        <f t="shared" si="53"/>
        <v>2025</v>
      </c>
      <c r="E1709" s="22" t="s">
        <v>5329</v>
      </c>
      <c r="F1709" s="23" t="s">
        <v>449</v>
      </c>
      <c r="G1709" s="27" t="s">
        <v>54</v>
      </c>
      <c r="H1709" s="24">
        <v>3</v>
      </c>
      <c r="I1709" s="25" t="s">
        <v>2883</v>
      </c>
      <c r="J1709" s="25" t="s">
        <v>5332</v>
      </c>
      <c r="K1709" s="26"/>
      <c r="L1709" s="25" t="s">
        <v>2885</v>
      </c>
      <c r="M1709" t="str">
        <f>TEXT(A1709,"dddd")</f>
        <v>Sunday</v>
      </c>
      <c r="N1709" s="35">
        <f>DATE(Table4[[#This Row],[year]],Table4[[#This Row],[month2]],Table4[[#This Row],[day]])</f>
        <v>45884</v>
      </c>
    </row>
    <row r="1710" spans="1:14" ht="16" x14ac:dyDescent="0.35">
      <c r="A1710" t="str">
        <f t="shared" si="52"/>
        <v>15</v>
      </c>
      <c r="B1710">
        <f>_xlfn.SWITCH(Table4[[#This Row],[month]],"jan",1,"feb",2,"mar",3,"apr",4,"may",5,"jun",6,"jul",7,"aug",8,"sep",9,"oct",10,"nov",11,"dec",12,"no month")</f>
        <v>8</v>
      </c>
      <c r="C1710" s="12" t="str">
        <f>LEFT('All Transactions'!$E1710,3)</f>
        <v>Aug</v>
      </c>
      <c r="D1710" s="12" t="str">
        <f t="shared" si="53"/>
        <v>2025</v>
      </c>
      <c r="E1710" s="16" t="s">
        <v>5329</v>
      </c>
      <c r="F1710" s="17" t="s">
        <v>449</v>
      </c>
      <c r="G1710" s="27" t="s">
        <v>54</v>
      </c>
      <c r="H1710" s="19">
        <v>2</v>
      </c>
      <c r="I1710" s="20" t="s">
        <v>2883</v>
      </c>
      <c r="J1710" s="20" t="s">
        <v>5333</v>
      </c>
      <c r="K1710" s="21"/>
      <c r="L1710" s="20" t="s">
        <v>2885</v>
      </c>
      <c r="M1710" t="str">
        <f>TEXT(A1710,"dddd")</f>
        <v>Sunday</v>
      </c>
      <c r="N1710" s="35">
        <f>DATE(Table4[[#This Row],[year]],Table4[[#This Row],[month2]],Table4[[#This Row],[day]])</f>
        <v>45884</v>
      </c>
    </row>
    <row r="1711" spans="1:14" ht="16" x14ac:dyDescent="0.35">
      <c r="A1711" t="str">
        <f t="shared" si="52"/>
        <v>15</v>
      </c>
      <c r="B1711">
        <f>_xlfn.SWITCH(Table4[[#This Row],[month]],"jan",1,"feb",2,"mar",3,"apr",4,"may",5,"jun",6,"jul",7,"aug",8,"sep",9,"oct",10,"nov",11,"dec",12,"no month")</f>
        <v>8</v>
      </c>
      <c r="C1711" s="12" t="str">
        <f>LEFT('All Transactions'!$E1711,3)</f>
        <v>Aug</v>
      </c>
      <c r="D1711" s="12" t="str">
        <f t="shared" si="53"/>
        <v>2025</v>
      </c>
      <c r="E1711" s="22" t="s">
        <v>5329</v>
      </c>
      <c r="F1711" s="23" t="s">
        <v>449</v>
      </c>
      <c r="G1711" s="27" t="s">
        <v>54</v>
      </c>
      <c r="H1711" s="24">
        <v>5</v>
      </c>
      <c r="I1711" s="25" t="s">
        <v>2883</v>
      </c>
      <c r="J1711" s="25" t="s">
        <v>5334</v>
      </c>
      <c r="K1711" s="26"/>
      <c r="L1711" s="25" t="s">
        <v>2885</v>
      </c>
      <c r="M1711" t="str">
        <f>TEXT(A1711,"dddd")</f>
        <v>Sunday</v>
      </c>
      <c r="N1711" s="35">
        <f>DATE(Table4[[#This Row],[year]],Table4[[#This Row],[month2]],Table4[[#This Row],[day]])</f>
        <v>45884</v>
      </c>
    </row>
    <row r="1712" spans="1:14" ht="16" x14ac:dyDescent="0.35">
      <c r="A1712" t="str">
        <f t="shared" si="52"/>
        <v>15</v>
      </c>
      <c r="B1712">
        <f>_xlfn.SWITCH(Table4[[#This Row],[month]],"jan",1,"feb",2,"mar",3,"apr",4,"may",5,"jun",6,"jul",7,"aug",8,"sep",9,"oct",10,"nov",11,"dec",12,"no month")</f>
        <v>8</v>
      </c>
      <c r="C1712" s="12" t="str">
        <f>LEFT('All Transactions'!$E1712,3)</f>
        <v>Aug</v>
      </c>
      <c r="D1712" s="12" t="str">
        <f t="shared" si="53"/>
        <v>2025</v>
      </c>
      <c r="E1712" s="16" t="s">
        <v>5329</v>
      </c>
      <c r="F1712" s="17" t="s">
        <v>449</v>
      </c>
      <c r="G1712" s="27" t="s">
        <v>54</v>
      </c>
      <c r="H1712" s="19">
        <v>10</v>
      </c>
      <c r="I1712" s="20" t="s">
        <v>2883</v>
      </c>
      <c r="J1712" s="20" t="s">
        <v>5335</v>
      </c>
      <c r="K1712" s="21"/>
      <c r="L1712" s="20" t="s">
        <v>2885</v>
      </c>
      <c r="M1712" t="str">
        <f>TEXT(A1712,"dddd")</f>
        <v>Sunday</v>
      </c>
      <c r="N1712" s="35">
        <f>DATE(Table4[[#This Row],[year]],Table4[[#This Row],[month2]],Table4[[#This Row],[day]])</f>
        <v>45884</v>
      </c>
    </row>
    <row r="1713" spans="1:14" ht="16" x14ac:dyDescent="0.35">
      <c r="A1713" t="str">
        <f t="shared" si="52"/>
        <v>15</v>
      </c>
      <c r="B1713">
        <f>_xlfn.SWITCH(Table4[[#This Row],[month]],"jan",1,"feb",2,"mar",3,"apr",4,"may",5,"jun",6,"jul",7,"aug",8,"sep",9,"oct",10,"nov",11,"dec",12,"no month")</f>
        <v>8</v>
      </c>
      <c r="C1713" s="12" t="str">
        <f>LEFT('All Transactions'!$E1713,3)</f>
        <v>Aug</v>
      </c>
      <c r="D1713" s="12" t="str">
        <f t="shared" si="53"/>
        <v>2025</v>
      </c>
      <c r="E1713" s="22" t="s">
        <v>5329</v>
      </c>
      <c r="F1713" s="23" t="s">
        <v>2595</v>
      </c>
      <c r="G1713" s="18" t="s">
        <v>28</v>
      </c>
      <c r="H1713" s="24">
        <v>1735</v>
      </c>
      <c r="I1713" s="25" t="s">
        <v>5336</v>
      </c>
      <c r="J1713" s="25" t="s">
        <v>5337</v>
      </c>
      <c r="K1713" s="26" t="s">
        <v>5338</v>
      </c>
      <c r="L1713" s="25" t="s">
        <v>1808</v>
      </c>
      <c r="M1713" t="str">
        <f>TEXT(A1713,"dddd")</f>
        <v>Sunday</v>
      </c>
      <c r="N1713" s="35">
        <f>DATE(Table4[[#This Row],[year]],Table4[[#This Row],[month2]],Table4[[#This Row],[day]])</f>
        <v>45884</v>
      </c>
    </row>
    <row r="1714" spans="1:14" ht="16" x14ac:dyDescent="0.35">
      <c r="A1714" t="str">
        <f t="shared" si="52"/>
        <v>15</v>
      </c>
      <c r="B1714">
        <f>_xlfn.SWITCH(Table4[[#This Row],[month]],"jan",1,"feb",2,"mar",3,"apr",4,"may",5,"jun",6,"jul",7,"aug",8,"sep",9,"oct",10,"nov",11,"dec",12,"no month")</f>
        <v>8</v>
      </c>
      <c r="C1714" s="12" t="str">
        <f>LEFT('All Transactions'!$E1714,3)</f>
        <v>Aug</v>
      </c>
      <c r="D1714" s="12" t="str">
        <f t="shared" si="53"/>
        <v>2025</v>
      </c>
      <c r="E1714" s="16" t="s">
        <v>5329</v>
      </c>
      <c r="F1714" s="17" t="s">
        <v>1744</v>
      </c>
      <c r="G1714" s="27" t="s">
        <v>54</v>
      </c>
      <c r="H1714" s="19">
        <v>1750</v>
      </c>
      <c r="I1714" s="20" t="s">
        <v>1090</v>
      </c>
      <c r="J1714" s="20" t="s">
        <v>5339</v>
      </c>
      <c r="K1714" s="21" t="s">
        <v>5340</v>
      </c>
      <c r="L1714" s="20" t="s">
        <v>2330</v>
      </c>
      <c r="M1714" t="str">
        <f>TEXT(A1714,"dddd")</f>
        <v>Sunday</v>
      </c>
      <c r="N1714" s="35">
        <f>DATE(Table4[[#This Row],[year]],Table4[[#This Row],[month2]],Table4[[#This Row],[day]])</f>
        <v>45884</v>
      </c>
    </row>
    <row r="1715" spans="1:14" ht="16" x14ac:dyDescent="0.35">
      <c r="A1715" t="str">
        <f t="shared" si="52"/>
        <v>14</v>
      </c>
      <c r="B1715">
        <f>_xlfn.SWITCH(Table4[[#This Row],[month]],"jan",1,"feb",2,"mar",3,"apr",4,"may",5,"jun",6,"jul",7,"aug",8,"sep",9,"oct",10,"nov",11,"dec",12,"no month")</f>
        <v>8</v>
      </c>
      <c r="C1715" s="12" t="str">
        <f>LEFT('All Transactions'!$E1715,3)</f>
        <v>Aug</v>
      </c>
      <c r="D1715" s="12" t="str">
        <f t="shared" si="53"/>
        <v>2025</v>
      </c>
      <c r="E1715" s="22" t="s">
        <v>5341</v>
      </c>
      <c r="F1715" s="23" t="s">
        <v>2992</v>
      </c>
      <c r="G1715" s="18" t="s">
        <v>28</v>
      </c>
      <c r="H1715" s="24">
        <v>40</v>
      </c>
      <c r="I1715" s="25" t="s">
        <v>5342</v>
      </c>
      <c r="J1715" s="25" t="s">
        <v>5343</v>
      </c>
      <c r="K1715" s="26" t="s">
        <v>5344</v>
      </c>
      <c r="L1715" s="25" t="s">
        <v>47</v>
      </c>
      <c r="M1715" t="str">
        <f>TEXT(A1715,"dddd")</f>
        <v>Saturday</v>
      </c>
      <c r="N1715" s="35">
        <f>DATE(Table4[[#This Row],[year]],Table4[[#This Row],[month2]],Table4[[#This Row],[day]])</f>
        <v>45883</v>
      </c>
    </row>
    <row r="1716" spans="1:14" ht="16" x14ac:dyDescent="0.35">
      <c r="A1716" t="str">
        <f t="shared" si="52"/>
        <v>14</v>
      </c>
      <c r="B1716">
        <f>_xlfn.SWITCH(Table4[[#This Row],[month]],"jan",1,"feb",2,"mar",3,"apr",4,"may",5,"jun",6,"jul",7,"aug",8,"sep",9,"oct",10,"nov",11,"dec",12,"no month")</f>
        <v>8</v>
      </c>
      <c r="C1716" s="12" t="str">
        <f>LEFT('All Transactions'!$E1716,3)</f>
        <v>Aug</v>
      </c>
      <c r="D1716" s="12" t="str">
        <f t="shared" si="53"/>
        <v>2025</v>
      </c>
      <c r="E1716" s="16" t="s">
        <v>5341</v>
      </c>
      <c r="F1716" s="17" t="s">
        <v>1575</v>
      </c>
      <c r="G1716" s="18" t="s">
        <v>28</v>
      </c>
      <c r="H1716" s="19">
        <v>1979</v>
      </c>
      <c r="I1716" s="20" t="s">
        <v>5293</v>
      </c>
      <c r="J1716" s="20" t="s">
        <v>5345</v>
      </c>
      <c r="K1716" s="21" t="s">
        <v>5346</v>
      </c>
      <c r="L1716" s="20" t="s">
        <v>1808</v>
      </c>
      <c r="M1716" t="str">
        <f>TEXT(A1716,"dddd")</f>
        <v>Saturday</v>
      </c>
      <c r="N1716" s="35">
        <f>DATE(Table4[[#This Row],[year]],Table4[[#This Row],[month2]],Table4[[#This Row],[day]])</f>
        <v>45883</v>
      </c>
    </row>
    <row r="1717" spans="1:14" ht="16" x14ac:dyDescent="0.35">
      <c r="A1717" t="str">
        <f t="shared" si="52"/>
        <v>14</v>
      </c>
      <c r="B1717">
        <f>_xlfn.SWITCH(Table4[[#This Row],[month]],"jan",1,"feb",2,"mar",3,"apr",4,"may",5,"jun",6,"jul",7,"aug",8,"sep",9,"oct",10,"nov",11,"dec",12,"no month")</f>
        <v>8</v>
      </c>
      <c r="C1717" s="12" t="str">
        <f>LEFT('All Transactions'!$E1717,3)</f>
        <v>Aug</v>
      </c>
      <c r="D1717" s="12" t="str">
        <f t="shared" si="53"/>
        <v>2025</v>
      </c>
      <c r="E1717" s="22" t="s">
        <v>5341</v>
      </c>
      <c r="F1717" s="23" t="s">
        <v>1054</v>
      </c>
      <c r="G1717" s="18" t="s">
        <v>28</v>
      </c>
      <c r="H1717" s="24">
        <v>1000</v>
      </c>
      <c r="I1717" s="25" t="s">
        <v>10</v>
      </c>
      <c r="J1717" s="25" t="s">
        <v>5347</v>
      </c>
      <c r="K1717" s="26" t="s">
        <v>5348</v>
      </c>
      <c r="L1717" s="25" t="s">
        <v>32</v>
      </c>
      <c r="M1717" t="str">
        <f>TEXT(A1717,"dddd")</f>
        <v>Saturday</v>
      </c>
      <c r="N1717" s="35">
        <f>DATE(Table4[[#This Row],[year]],Table4[[#This Row],[month2]],Table4[[#This Row],[day]])</f>
        <v>45883</v>
      </c>
    </row>
    <row r="1718" spans="1:14" ht="16" x14ac:dyDescent="0.35">
      <c r="A1718" t="str">
        <f t="shared" si="52"/>
        <v>14</v>
      </c>
      <c r="B1718">
        <f>_xlfn.SWITCH(Table4[[#This Row],[month]],"jan",1,"feb",2,"mar",3,"apr",4,"may",5,"jun",6,"jul",7,"aug",8,"sep",9,"oct",10,"nov",11,"dec",12,"no month")</f>
        <v>8</v>
      </c>
      <c r="C1718" s="12" t="str">
        <f>LEFT('All Transactions'!$E1718,3)</f>
        <v>Aug</v>
      </c>
      <c r="D1718" s="12" t="str">
        <f t="shared" si="53"/>
        <v>2025</v>
      </c>
      <c r="E1718" s="16" t="s">
        <v>5341</v>
      </c>
      <c r="F1718" s="17" t="s">
        <v>1054</v>
      </c>
      <c r="G1718" s="18" t="s">
        <v>28</v>
      </c>
      <c r="H1718" s="19">
        <v>2000</v>
      </c>
      <c r="I1718" s="20" t="s">
        <v>13</v>
      </c>
      <c r="J1718" s="20" t="s">
        <v>5349</v>
      </c>
      <c r="K1718" s="21" t="s">
        <v>5350</v>
      </c>
      <c r="L1718" s="20" t="s">
        <v>32</v>
      </c>
      <c r="M1718" t="str">
        <f>TEXT(A1718,"dddd")</f>
        <v>Saturday</v>
      </c>
      <c r="N1718" s="35">
        <f>DATE(Table4[[#This Row],[year]],Table4[[#This Row],[month2]],Table4[[#This Row],[day]])</f>
        <v>45883</v>
      </c>
    </row>
    <row r="1719" spans="1:14" ht="16" x14ac:dyDescent="0.35">
      <c r="A1719" t="str">
        <f t="shared" si="52"/>
        <v>13</v>
      </c>
      <c r="B1719">
        <f>_xlfn.SWITCH(Table4[[#This Row],[month]],"jan",1,"feb",2,"mar",3,"apr",4,"may",5,"jun",6,"jul",7,"aug",8,"sep",9,"oct",10,"nov",11,"dec",12,"no month")</f>
        <v>8</v>
      </c>
      <c r="C1719" s="12" t="str">
        <f>LEFT('All Transactions'!$E1719,3)</f>
        <v>Aug</v>
      </c>
      <c r="D1719" s="12" t="str">
        <f t="shared" si="53"/>
        <v>2025</v>
      </c>
      <c r="E1719" s="22" t="s">
        <v>5351</v>
      </c>
      <c r="F1719" s="23" t="s">
        <v>5352</v>
      </c>
      <c r="G1719" s="18" t="s">
        <v>28</v>
      </c>
      <c r="H1719" s="24">
        <v>2</v>
      </c>
      <c r="I1719" s="25" t="s">
        <v>5353</v>
      </c>
      <c r="J1719" s="25" t="s">
        <v>5354</v>
      </c>
      <c r="K1719" s="26" t="s">
        <v>5355</v>
      </c>
      <c r="L1719" s="25" t="s">
        <v>32</v>
      </c>
      <c r="M1719" t="str">
        <f>TEXT(A1719,"dddd")</f>
        <v>Friday</v>
      </c>
      <c r="N1719" s="35">
        <f>DATE(Table4[[#This Row],[year]],Table4[[#This Row],[month2]],Table4[[#This Row],[day]])</f>
        <v>45882</v>
      </c>
    </row>
    <row r="1720" spans="1:14" ht="16" x14ac:dyDescent="0.35">
      <c r="A1720" t="str">
        <f t="shared" si="52"/>
        <v>13</v>
      </c>
      <c r="B1720">
        <f>_xlfn.SWITCH(Table4[[#This Row],[month]],"jan",1,"feb",2,"mar",3,"apr",4,"may",5,"jun",6,"jul",7,"aug",8,"sep",9,"oct",10,"nov",11,"dec",12,"no month")</f>
        <v>8</v>
      </c>
      <c r="C1720" s="12" t="str">
        <f>LEFT('All Transactions'!$E1720,3)</f>
        <v>Aug</v>
      </c>
      <c r="D1720" s="12" t="str">
        <f t="shared" si="53"/>
        <v>2025</v>
      </c>
      <c r="E1720" s="16" t="s">
        <v>5351</v>
      </c>
      <c r="F1720" s="17" t="s">
        <v>4173</v>
      </c>
      <c r="G1720" s="18" t="s">
        <v>28</v>
      </c>
      <c r="H1720" s="19">
        <v>909</v>
      </c>
      <c r="I1720" s="20" t="s">
        <v>5356</v>
      </c>
      <c r="J1720" s="20" t="s">
        <v>5357</v>
      </c>
      <c r="K1720" s="21" t="s">
        <v>5358</v>
      </c>
      <c r="L1720" s="20" t="s">
        <v>32</v>
      </c>
      <c r="M1720" t="str">
        <f>TEXT(A1720,"dddd")</f>
        <v>Friday</v>
      </c>
      <c r="N1720" s="35">
        <f>DATE(Table4[[#This Row],[year]],Table4[[#This Row],[month2]],Table4[[#This Row],[day]])</f>
        <v>45882</v>
      </c>
    </row>
    <row r="1721" spans="1:14" ht="16" x14ac:dyDescent="0.35">
      <c r="A1721" t="str">
        <f t="shared" si="52"/>
        <v>13</v>
      </c>
      <c r="B1721">
        <f>_xlfn.SWITCH(Table4[[#This Row],[month]],"jan",1,"feb",2,"mar",3,"apr",4,"may",5,"jun",6,"jul",7,"aug",8,"sep",9,"oct",10,"nov",11,"dec",12,"no month")</f>
        <v>8</v>
      </c>
      <c r="C1721" s="12" t="str">
        <f>LEFT('All Transactions'!$E1721,3)</f>
        <v>Aug</v>
      </c>
      <c r="D1721" s="12" t="str">
        <f t="shared" si="53"/>
        <v>2025</v>
      </c>
      <c r="E1721" s="22" t="s">
        <v>5351</v>
      </c>
      <c r="F1721" s="23" t="s">
        <v>2854</v>
      </c>
      <c r="G1721" s="18" t="s">
        <v>28</v>
      </c>
      <c r="H1721" s="24">
        <v>60</v>
      </c>
      <c r="I1721" s="25" t="s">
        <v>5359</v>
      </c>
      <c r="J1721" s="25" t="s">
        <v>5360</v>
      </c>
      <c r="K1721" s="26" t="s">
        <v>5361</v>
      </c>
      <c r="L1721" s="25" t="s">
        <v>32</v>
      </c>
      <c r="M1721" t="str">
        <f>TEXT(A1721,"dddd")</f>
        <v>Friday</v>
      </c>
      <c r="N1721" s="35">
        <f>DATE(Table4[[#This Row],[year]],Table4[[#This Row],[month2]],Table4[[#This Row],[day]])</f>
        <v>45882</v>
      </c>
    </row>
    <row r="1722" spans="1:14" ht="16" x14ac:dyDescent="0.35">
      <c r="A1722" t="str">
        <f t="shared" si="52"/>
        <v>13</v>
      </c>
      <c r="B1722">
        <f>_xlfn.SWITCH(Table4[[#This Row],[month]],"jan",1,"feb",2,"mar",3,"apr",4,"may",5,"jun",6,"jul",7,"aug",8,"sep",9,"oct",10,"nov",11,"dec",12,"no month")</f>
        <v>8</v>
      </c>
      <c r="C1722" s="12" t="str">
        <f>LEFT('All Transactions'!$E1722,3)</f>
        <v>Aug</v>
      </c>
      <c r="D1722" s="12" t="str">
        <f t="shared" si="53"/>
        <v>2025</v>
      </c>
      <c r="E1722" s="16" t="s">
        <v>5351</v>
      </c>
      <c r="F1722" s="17" t="s">
        <v>925</v>
      </c>
      <c r="G1722" s="18" t="s">
        <v>28</v>
      </c>
      <c r="H1722" s="19">
        <v>30</v>
      </c>
      <c r="I1722" s="20" t="s">
        <v>5362</v>
      </c>
      <c r="J1722" s="20" t="s">
        <v>5363</v>
      </c>
      <c r="K1722" s="21" t="s">
        <v>5364</v>
      </c>
      <c r="L1722" s="20" t="s">
        <v>32</v>
      </c>
      <c r="M1722" t="str">
        <f>TEXT(A1722,"dddd")</f>
        <v>Friday</v>
      </c>
      <c r="N1722" s="35">
        <f>DATE(Table4[[#This Row],[year]],Table4[[#This Row],[month2]],Table4[[#This Row],[day]])</f>
        <v>45882</v>
      </c>
    </row>
    <row r="1723" spans="1:14" ht="16" x14ac:dyDescent="0.35">
      <c r="A1723" t="str">
        <f t="shared" si="52"/>
        <v>13</v>
      </c>
      <c r="B1723">
        <f>_xlfn.SWITCH(Table4[[#This Row],[month]],"jan",1,"feb",2,"mar",3,"apr",4,"may",5,"jun",6,"jul",7,"aug",8,"sep",9,"oct",10,"nov",11,"dec",12,"no month")</f>
        <v>8</v>
      </c>
      <c r="C1723" s="12" t="str">
        <f>LEFT('All Transactions'!$E1723,3)</f>
        <v>Aug</v>
      </c>
      <c r="D1723" s="12" t="str">
        <f t="shared" si="53"/>
        <v>2025</v>
      </c>
      <c r="E1723" s="22" t="s">
        <v>5351</v>
      </c>
      <c r="F1723" s="23" t="s">
        <v>5365</v>
      </c>
      <c r="G1723" s="18" t="s">
        <v>28</v>
      </c>
      <c r="H1723" s="24">
        <v>40</v>
      </c>
      <c r="I1723" s="25" t="s">
        <v>5366</v>
      </c>
      <c r="J1723" s="25" t="s">
        <v>5367</v>
      </c>
      <c r="K1723" s="26" t="s">
        <v>5368</v>
      </c>
      <c r="L1723" s="25" t="s">
        <v>32</v>
      </c>
      <c r="M1723" t="str">
        <f>TEXT(A1723,"dddd")</f>
        <v>Friday</v>
      </c>
      <c r="N1723" s="35">
        <f>DATE(Table4[[#This Row],[year]],Table4[[#This Row],[month2]],Table4[[#This Row],[day]])</f>
        <v>45882</v>
      </c>
    </row>
    <row r="1724" spans="1:14" ht="16" x14ac:dyDescent="0.35">
      <c r="A1724" t="str">
        <f t="shared" si="52"/>
        <v>12</v>
      </c>
      <c r="B1724">
        <f>_xlfn.SWITCH(Table4[[#This Row],[month]],"jan",1,"feb",2,"mar",3,"apr",4,"may",5,"jun",6,"jul",7,"aug",8,"sep",9,"oct",10,"nov",11,"dec",12,"no month")</f>
        <v>8</v>
      </c>
      <c r="C1724" s="12" t="str">
        <f>LEFT('All Transactions'!$E1724,3)</f>
        <v>Aug</v>
      </c>
      <c r="D1724" s="12" t="str">
        <f t="shared" si="53"/>
        <v>2025</v>
      </c>
      <c r="E1724" s="16" t="s">
        <v>5369</v>
      </c>
      <c r="F1724" s="17" t="s">
        <v>1536</v>
      </c>
      <c r="G1724" s="18" t="s">
        <v>28</v>
      </c>
      <c r="H1724" s="19">
        <v>10</v>
      </c>
      <c r="I1724" s="20" t="s">
        <v>5370</v>
      </c>
      <c r="J1724" s="20" t="s">
        <v>5371</v>
      </c>
      <c r="K1724" s="21" t="s">
        <v>5372</v>
      </c>
      <c r="L1724" s="20" t="s">
        <v>32</v>
      </c>
      <c r="M1724" t="str">
        <f>TEXT(A1724,"dddd")</f>
        <v>Thursday</v>
      </c>
      <c r="N1724" s="35">
        <f>DATE(Table4[[#This Row],[year]],Table4[[#This Row],[month2]],Table4[[#This Row],[day]])</f>
        <v>45881</v>
      </c>
    </row>
    <row r="1725" spans="1:14" ht="16" x14ac:dyDescent="0.35">
      <c r="A1725" t="str">
        <f t="shared" si="52"/>
        <v>12</v>
      </c>
      <c r="B1725">
        <f>_xlfn.SWITCH(Table4[[#This Row],[month]],"jan",1,"feb",2,"mar",3,"apr",4,"may",5,"jun",6,"jul",7,"aug",8,"sep",9,"oct",10,"nov",11,"dec",12,"no month")</f>
        <v>8</v>
      </c>
      <c r="C1725" s="12" t="str">
        <f>LEFT('All Transactions'!$E1725,3)</f>
        <v>Aug</v>
      </c>
      <c r="D1725" s="12" t="str">
        <f t="shared" si="53"/>
        <v>2025</v>
      </c>
      <c r="E1725" s="22" t="s">
        <v>5369</v>
      </c>
      <c r="F1725" s="23" t="s">
        <v>959</v>
      </c>
      <c r="G1725" s="27" t="s">
        <v>54</v>
      </c>
      <c r="H1725" s="24">
        <v>4</v>
      </c>
      <c r="I1725" s="25" t="s">
        <v>2883</v>
      </c>
      <c r="J1725" s="25" t="s">
        <v>5373</v>
      </c>
      <c r="K1725" s="26"/>
      <c r="L1725" s="25" t="s">
        <v>2885</v>
      </c>
      <c r="M1725" t="str">
        <f>TEXT(A1725,"dddd")</f>
        <v>Thursday</v>
      </c>
      <c r="N1725" s="35">
        <f>DATE(Table4[[#This Row],[year]],Table4[[#This Row],[month2]],Table4[[#This Row],[day]])</f>
        <v>45881</v>
      </c>
    </row>
    <row r="1726" spans="1:14" ht="16" x14ac:dyDescent="0.35">
      <c r="A1726" t="str">
        <f t="shared" si="52"/>
        <v>11</v>
      </c>
      <c r="B1726">
        <f>_xlfn.SWITCH(Table4[[#This Row],[month]],"jan",1,"feb",2,"mar",3,"apr",4,"may",5,"jun",6,"jul",7,"aug",8,"sep",9,"oct",10,"nov",11,"dec",12,"no month")</f>
        <v>8</v>
      </c>
      <c r="C1726" s="12" t="str">
        <f>LEFT('All Transactions'!$E1726,3)</f>
        <v>Aug</v>
      </c>
      <c r="D1726" s="12" t="str">
        <f t="shared" si="53"/>
        <v>2025</v>
      </c>
      <c r="E1726" s="16" t="s">
        <v>5374</v>
      </c>
      <c r="F1726" s="17" t="s">
        <v>1668</v>
      </c>
      <c r="G1726" s="18" t="s">
        <v>28</v>
      </c>
      <c r="H1726" s="19">
        <v>90</v>
      </c>
      <c r="I1726" s="20" t="s">
        <v>5375</v>
      </c>
      <c r="J1726" s="20" t="s">
        <v>5376</v>
      </c>
      <c r="K1726" s="21" t="s">
        <v>5377</v>
      </c>
      <c r="L1726" s="20" t="s">
        <v>32</v>
      </c>
      <c r="M1726" t="str">
        <f>TEXT(A1726,"dddd")</f>
        <v>Wednesday</v>
      </c>
      <c r="N1726" s="35">
        <f>DATE(Table4[[#This Row],[year]],Table4[[#This Row],[month2]],Table4[[#This Row],[day]])</f>
        <v>45880</v>
      </c>
    </row>
    <row r="1727" spans="1:14" ht="16" x14ac:dyDescent="0.35">
      <c r="A1727" t="str">
        <f t="shared" si="52"/>
        <v>11</v>
      </c>
      <c r="B1727">
        <f>_xlfn.SWITCH(Table4[[#This Row],[month]],"jan",1,"feb",2,"mar",3,"apr",4,"may",5,"jun",6,"jul",7,"aug",8,"sep",9,"oct",10,"nov",11,"dec",12,"no month")</f>
        <v>8</v>
      </c>
      <c r="C1727" s="12" t="str">
        <f>LEFT('All Transactions'!$E1727,3)</f>
        <v>Aug</v>
      </c>
      <c r="D1727" s="12" t="str">
        <f t="shared" si="53"/>
        <v>2025</v>
      </c>
      <c r="E1727" s="22" t="s">
        <v>5374</v>
      </c>
      <c r="F1727" s="23" t="s">
        <v>5378</v>
      </c>
      <c r="G1727" s="18" t="s">
        <v>28</v>
      </c>
      <c r="H1727" s="24">
        <v>2</v>
      </c>
      <c r="I1727" s="25" t="s">
        <v>4142</v>
      </c>
      <c r="J1727" s="25" t="s">
        <v>5379</v>
      </c>
      <c r="K1727" s="26" t="s">
        <v>5380</v>
      </c>
      <c r="L1727" s="25" t="s">
        <v>1808</v>
      </c>
      <c r="M1727" t="str">
        <f>TEXT(A1727,"dddd")</f>
        <v>Wednesday</v>
      </c>
      <c r="N1727" s="35">
        <f>DATE(Table4[[#This Row],[year]],Table4[[#This Row],[month2]],Table4[[#This Row],[day]])</f>
        <v>45880</v>
      </c>
    </row>
    <row r="1728" spans="1:14" ht="16" x14ac:dyDescent="0.35">
      <c r="A1728" t="str">
        <f t="shared" si="52"/>
        <v>10</v>
      </c>
      <c r="B1728">
        <f>_xlfn.SWITCH(Table4[[#This Row],[month]],"jan",1,"feb",2,"mar",3,"apr",4,"may",5,"jun",6,"jul",7,"aug",8,"sep",9,"oct",10,"nov",11,"dec",12,"no month")</f>
        <v>8</v>
      </c>
      <c r="C1728" s="12" t="str">
        <f>LEFT('All Transactions'!$E1728,3)</f>
        <v>Aug</v>
      </c>
      <c r="D1728" s="12" t="str">
        <f t="shared" si="53"/>
        <v>2025</v>
      </c>
      <c r="E1728" s="16" t="s">
        <v>5381</v>
      </c>
      <c r="F1728" s="17" t="s">
        <v>312</v>
      </c>
      <c r="G1728" s="18" t="s">
        <v>28</v>
      </c>
      <c r="H1728" s="19">
        <v>75</v>
      </c>
      <c r="I1728" s="20" t="s">
        <v>3201</v>
      </c>
      <c r="J1728" s="20" t="s">
        <v>5382</v>
      </c>
      <c r="K1728" s="21" t="s">
        <v>5383</v>
      </c>
      <c r="L1728" s="20" t="s">
        <v>1808</v>
      </c>
      <c r="M1728" t="str">
        <f>TEXT(A1728,"dddd")</f>
        <v>Tuesday</v>
      </c>
      <c r="N1728" s="35">
        <f>DATE(Table4[[#This Row],[year]],Table4[[#This Row],[month2]],Table4[[#This Row],[day]])</f>
        <v>45879</v>
      </c>
    </row>
    <row r="1729" spans="1:14" ht="16" x14ac:dyDescent="0.35">
      <c r="A1729" t="str">
        <f t="shared" si="52"/>
        <v>08</v>
      </c>
      <c r="B1729">
        <f>_xlfn.SWITCH(Table4[[#This Row],[month]],"jan",1,"feb",2,"mar",3,"apr",4,"may",5,"jun",6,"jul",7,"aug",8,"sep",9,"oct",10,"nov",11,"dec",12,"no month")</f>
        <v>8</v>
      </c>
      <c r="C1729" s="12" t="str">
        <f>LEFT('All Transactions'!$E1729,3)</f>
        <v>Aug</v>
      </c>
      <c r="D1729" s="12" t="str">
        <f t="shared" si="53"/>
        <v>2025</v>
      </c>
      <c r="E1729" s="22" t="s">
        <v>5384</v>
      </c>
      <c r="F1729" s="23" t="s">
        <v>3584</v>
      </c>
      <c r="G1729" s="18" t="s">
        <v>28</v>
      </c>
      <c r="H1729" s="24">
        <v>1500</v>
      </c>
      <c r="I1729" s="25" t="s">
        <v>12</v>
      </c>
      <c r="J1729" s="25" t="s">
        <v>5385</v>
      </c>
      <c r="K1729" s="26" t="s">
        <v>5386</v>
      </c>
      <c r="L1729" s="25" t="s">
        <v>47</v>
      </c>
      <c r="M1729" t="str">
        <f>TEXT(A1729,"dddd")</f>
        <v>Sunday</v>
      </c>
      <c r="N1729" s="35">
        <f>DATE(Table4[[#This Row],[year]],Table4[[#This Row],[month2]],Table4[[#This Row],[day]])</f>
        <v>45877</v>
      </c>
    </row>
    <row r="1730" spans="1:14" ht="16" x14ac:dyDescent="0.35">
      <c r="A1730" t="str">
        <f t="shared" si="52"/>
        <v>08</v>
      </c>
      <c r="B1730">
        <f>_xlfn.SWITCH(Table4[[#This Row],[month]],"jan",1,"feb",2,"mar",3,"apr",4,"may",5,"jun",6,"jul",7,"aug",8,"sep",9,"oct",10,"nov",11,"dec",12,"no month")</f>
        <v>8</v>
      </c>
      <c r="C1730" s="12" t="str">
        <f>LEFT('All Transactions'!$E1730,3)</f>
        <v>Aug</v>
      </c>
      <c r="D1730" s="12" t="str">
        <f t="shared" si="53"/>
        <v>2025</v>
      </c>
      <c r="E1730" s="16" t="s">
        <v>5384</v>
      </c>
      <c r="F1730" s="17" t="s">
        <v>4264</v>
      </c>
      <c r="G1730" s="18" t="s">
        <v>28</v>
      </c>
      <c r="H1730" s="19">
        <v>60</v>
      </c>
      <c r="I1730" s="20" t="s">
        <v>5387</v>
      </c>
      <c r="J1730" s="20" t="s">
        <v>5388</v>
      </c>
      <c r="K1730" s="21" t="s">
        <v>5389</v>
      </c>
      <c r="L1730" s="20" t="s">
        <v>1808</v>
      </c>
      <c r="M1730" t="str">
        <f>TEXT(A1730,"dddd")</f>
        <v>Sunday</v>
      </c>
      <c r="N1730" s="35">
        <f>DATE(Table4[[#This Row],[year]],Table4[[#This Row],[month2]],Table4[[#This Row],[day]])</f>
        <v>45877</v>
      </c>
    </row>
    <row r="1731" spans="1:14" ht="16" x14ac:dyDescent="0.35">
      <c r="A1731" t="str">
        <f t="shared" ref="A1731:A1794" si="54">MID(E1731,5,2)</f>
        <v>08</v>
      </c>
      <c r="B1731">
        <f>_xlfn.SWITCH(Table4[[#This Row],[month]],"jan",1,"feb",2,"mar",3,"apr",4,"may",5,"jun",6,"jul",7,"aug",8,"sep",9,"oct",10,"nov",11,"dec",12,"no month")</f>
        <v>8</v>
      </c>
      <c r="C1731" s="12" t="str">
        <f>LEFT('All Transactions'!$E1731,3)</f>
        <v>Aug</v>
      </c>
      <c r="D1731" s="12" t="str">
        <f t="shared" ref="D1731:D1794" si="55">RIGHT(E1731,4)</f>
        <v>2025</v>
      </c>
      <c r="E1731" s="22" t="s">
        <v>5384</v>
      </c>
      <c r="F1731" s="23" t="s">
        <v>1797</v>
      </c>
      <c r="G1731" s="18" t="s">
        <v>28</v>
      </c>
      <c r="H1731" s="24">
        <v>10</v>
      </c>
      <c r="I1731" s="25" t="s">
        <v>5390</v>
      </c>
      <c r="J1731" s="25" t="s">
        <v>5391</v>
      </c>
      <c r="K1731" s="26" t="s">
        <v>5392</v>
      </c>
      <c r="L1731" s="25" t="s">
        <v>1808</v>
      </c>
      <c r="M1731" t="str">
        <f>TEXT(A1731,"dddd")</f>
        <v>Sunday</v>
      </c>
      <c r="N1731" s="35">
        <f>DATE(Table4[[#This Row],[year]],Table4[[#This Row],[month2]],Table4[[#This Row],[day]])</f>
        <v>45877</v>
      </c>
    </row>
    <row r="1732" spans="1:14" ht="16" x14ac:dyDescent="0.35">
      <c r="A1732" t="str">
        <f t="shared" si="54"/>
        <v>08</v>
      </c>
      <c r="B1732">
        <f>_xlfn.SWITCH(Table4[[#This Row],[month]],"jan",1,"feb",2,"mar",3,"apr",4,"may",5,"jun",6,"jul",7,"aug",8,"sep",9,"oct",10,"nov",11,"dec",12,"no month")</f>
        <v>8</v>
      </c>
      <c r="C1732" s="12" t="str">
        <f>LEFT('All Transactions'!$E1732,3)</f>
        <v>Aug</v>
      </c>
      <c r="D1732" s="12" t="str">
        <f t="shared" si="55"/>
        <v>2025</v>
      </c>
      <c r="E1732" s="16" t="s">
        <v>5384</v>
      </c>
      <c r="F1732" s="17" t="s">
        <v>1734</v>
      </c>
      <c r="G1732" s="18" t="s">
        <v>28</v>
      </c>
      <c r="H1732" s="19">
        <v>20</v>
      </c>
      <c r="I1732" s="20" t="s">
        <v>5393</v>
      </c>
      <c r="J1732" s="20" t="s">
        <v>5394</v>
      </c>
      <c r="K1732" s="21" t="s">
        <v>5395</v>
      </c>
      <c r="L1732" s="20" t="s">
        <v>1808</v>
      </c>
      <c r="M1732" t="str">
        <f>TEXT(A1732,"dddd")</f>
        <v>Sunday</v>
      </c>
      <c r="N1732" s="35">
        <f>DATE(Table4[[#This Row],[year]],Table4[[#This Row],[month2]],Table4[[#This Row],[day]])</f>
        <v>45877</v>
      </c>
    </row>
    <row r="1733" spans="1:14" ht="16" x14ac:dyDescent="0.35">
      <c r="A1733" t="str">
        <f t="shared" si="54"/>
        <v>08</v>
      </c>
      <c r="B1733">
        <f>_xlfn.SWITCH(Table4[[#This Row],[month]],"jan",1,"feb",2,"mar",3,"apr",4,"may",5,"jun",6,"jul",7,"aug",8,"sep",9,"oct",10,"nov",11,"dec",12,"no month")</f>
        <v>8</v>
      </c>
      <c r="C1733" s="12" t="str">
        <f>LEFT('All Transactions'!$E1733,3)</f>
        <v>Aug</v>
      </c>
      <c r="D1733" s="12" t="str">
        <f t="shared" si="55"/>
        <v>2025</v>
      </c>
      <c r="E1733" s="22" t="s">
        <v>5384</v>
      </c>
      <c r="F1733" s="23" t="s">
        <v>324</v>
      </c>
      <c r="G1733" s="18" t="s">
        <v>28</v>
      </c>
      <c r="H1733" s="24">
        <v>5</v>
      </c>
      <c r="I1733" s="25" t="s">
        <v>5393</v>
      </c>
      <c r="J1733" s="25" t="s">
        <v>5396</v>
      </c>
      <c r="K1733" s="26" t="s">
        <v>5397</v>
      </c>
      <c r="L1733" s="25" t="s">
        <v>1808</v>
      </c>
      <c r="M1733" t="str">
        <f>TEXT(A1733,"dddd")</f>
        <v>Sunday</v>
      </c>
      <c r="N1733" s="35">
        <f>DATE(Table4[[#This Row],[year]],Table4[[#This Row],[month2]],Table4[[#This Row],[day]])</f>
        <v>45877</v>
      </c>
    </row>
    <row r="1734" spans="1:14" ht="16" x14ac:dyDescent="0.35">
      <c r="A1734" t="str">
        <f t="shared" si="54"/>
        <v>05</v>
      </c>
      <c r="B1734">
        <f>_xlfn.SWITCH(Table4[[#This Row],[month]],"jan",1,"feb",2,"mar",3,"apr",4,"may",5,"jun",6,"jul",7,"aug",8,"sep",9,"oct",10,"nov",11,"dec",12,"no month")</f>
        <v>8</v>
      </c>
      <c r="C1734" s="12" t="str">
        <f>LEFT('All Transactions'!$E1734,3)</f>
        <v>Aug</v>
      </c>
      <c r="D1734" s="12" t="str">
        <f t="shared" si="55"/>
        <v>2025</v>
      </c>
      <c r="E1734" s="16" t="s">
        <v>5398</v>
      </c>
      <c r="F1734" s="17" t="s">
        <v>1744</v>
      </c>
      <c r="G1734" s="18" t="s">
        <v>28</v>
      </c>
      <c r="H1734" s="19">
        <v>173.6</v>
      </c>
      <c r="I1734" s="20" t="s">
        <v>5399</v>
      </c>
      <c r="J1734" s="20" t="s">
        <v>5400</v>
      </c>
      <c r="K1734" s="21" t="s">
        <v>5401</v>
      </c>
      <c r="L1734" s="20" t="s">
        <v>1808</v>
      </c>
      <c r="M1734" t="str">
        <f>TEXT(A1734,"dddd")</f>
        <v>Thursday</v>
      </c>
      <c r="N1734" s="35">
        <f>DATE(Table4[[#This Row],[year]],Table4[[#This Row],[month2]],Table4[[#This Row],[day]])</f>
        <v>45874</v>
      </c>
    </row>
    <row r="1735" spans="1:14" ht="16" x14ac:dyDescent="0.35">
      <c r="A1735" t="str">
        <f t="shared" si="54"/>
        <v>05</v>
      </c>
      <c r="B1735">
        <f>_xlfn.SWITCH(Table4[[#This Row],[month]],"jan",1,"feb",2,"mar",3,"apr",4,"may",5,"jun",6,"jul",7,"aug",8,"sep",9,"oct",10,"nov",11,"dec",12,"no month")</f>
        <v>8</v>
      </c>
      <c r="C1735" s="12" t="str">
        <f>LEFT('All Transactions'!$E1735,3)</f>
        <v>Aug</v>
      </c>
      <c r="D1735" s="12" t="str">
        <f t="shared" si="55"/>
        <v>2025</v>
      </c>
      <c r="E1735" s="22" t="s">
        <v>5398</v>
      </c>
      <c r="F1735" s="23" t="s">
        <v>2664</v>
      </c>
      <c r="G1735" s="27" t="s">
        <v>54</v>
      </c>
      <c r="H1735" s="24">
        <v>80</v>
      </c>
      <c r="I1735" s="25" t="s">
        <v>156</v>
      </c>
      <c r="J1735" s="25" t="s">
        <v>5402</v>
      </c>
      <c r="K1735" s="26" t="s">
        <v>5403</v>
      </c>
      <c r="L1735" s="25" t="s">
        <v>2330</v>
      </c>
      <c r="M1735" t="str">
        <f>TEXT(A1735,"dddd")</f>
        <v>Thursday</v>
      </c>
      <c r="N1735" s="35">
        <f>DATE(Table4[[#This Row],[year]],Table4[[#This Row],[month2]],Table4[[#This Row],[day]])</f>
        <v>45874</v>
      </c>
    </row>
    <row r="1736" spans="1:14" ht="16" x14ac:dyDescent="0.35">
      <c r="A1736" t="str">
        <f t="shared" si="54"/>
        <v>05</v>
      </c>
      <c r="B1736">
        <f>_xlfn.SWITCH(Table4[[#This Row],[month]],"jan",1,"feb",2,"mar",3,"apr",4,"may",5,"jun",6,"jul",7,"aug",8,"sep",9,"oct",10,"nov",11,"dec",12,"no month")</f>
        <v>8</v>
      </c>
      <c r="C1736" s="12" t="str">
        <f>LEFT('All Transactions'!$E1736,3)</f>
        <v>Aug</v>
      </c>
      <c r="D1736" s="12" t="str">
        <f t="shared" si="55"/>
        <v>2025</v>
      </c>
      <c r="E1736" s="16" t="s">
        <v>5398</v>
      </c>
      <c r="F1736" s="17" t="s">
        <v>1468</v>
      </c>
      <c r="G1736" s="18" t="s">
        <v>28</v>
      </c>
      <c r="H1736" s="19">
        <v>50</v>
      </c>
      <c r="I1736" s="20" t="s">
        <v>5404</v>
      </c>
      <c r="J1736" s="20"/>
      <c r="K1736" s="21" t="s">
        <v>5405</v>
      </c>
      <c r="L1736" s="20" t="s">
        <v>1808</v>
      </c>
      <c r="M1736" t="str">
        <f>TEXT(A1736,"dddd")</f>
        <v>Thursday</v>
      </c>
      <c r="N1736" s="35">
        <f>DATE(Table4[[#This Row],[year]],Table4[[#This Row],[month2]],Table4[[#This Row],[day]])</f>
        <v>45874</v>
      </c>
    </row>
    <row r="1737" spans="1:14" ht="16" x14ac:dyDescent="0.35">
      <c r="A1737" t="str">
        <f t="shared" si="54"/>
        <v>04</v>
      </c>
      <c r="B1737">
        <f>_xlfn.SWITCH(Table4[[#This Row],[month]],"jan",1,"feb",2,"mar",3,"apr",4,"may",5,"jun",6,"jul",7,"aug",8,"sep",9,"oct",10,"nov",11,"dec",12,"no month")</f>
        <v>8</v>
      </c>
      <c r="C1737" s="12" t="str">
        <f>LEFT('All Transactions'!$E1737,3)</f>
        <v>Aug</v>
      </c>
      <c r="D1737" s="12" t="str">
        <f t="shared" si="55"/>
        <v>2025</v>
      </c>
      <c r="E1737" s="22" t="s">
        <v>5406</v>
      </c>
      <c r="F1737" s="23" t="s">
        <v>4918</v>
      </c>
      <c r="G1737" s="18" t="s">
        <v>28</v>
      </c>
      <c r="H1737" s="24">
        <v>10</v>
      </c>
      <c r="I1737" s="25" t="s">
        <v>5393</v>
      </c>
      <c r="J1737" s="25" t="s">
        <v>5407</v>
      </c>
      <c r="K1737" s="26" t="s">
        <v>5408</v>
      </c>
      <c r="L1737" s="25" t="s">
        <v>1808</v>
      </c>
      <c r="M1737" t="str">
        <f>TEXT(A1737,"dddd")</f>
        <v>Wednesday</v>
      </c>
      <c r="N1737" s="35">
        <f>DATE(Table4[[#This Row],[year]],Table4[[#This Row],[month2]],Table4[[#This Row],[day]])</f>
        <v>45873</v>
      </c>
    </row>
    <row r="1738" spans="1:14" ht="16" x14ac:dyDescent="0.35">
      <c r="A1738" t="str">
        <f t="shared" si="54"/>
        <v>04</v>
      </c>
      <c r="B1738">
        <f>_xlfn.SWITCH(Table4[[#This Row],[month]],"jan",1,"feb",2,"mar",3,"apr",4,"may",5,"jun",6,"jul",7,"aug",8,"sep",9,"oct",10,"nov",11,"dec",12,"no month")</f>
        <v>8</v>
      </c>
      <c r="C1738" s="12" t="str">
        <f>LEFT('All Transactions'!$E1738,3)</f>
        <v>Aug</v>
      </c>
      <c r="D1738" s="12" t="str">
        <f t="shared" si="55"/>
        <v>2025</v>
      </c>
      <c r="E1738" s="16" t="s">
        <v>5406</v>
      </c>
      <c r="F1738" s="17" t="s">
        <v>2545</v>
      </c>
      <c r="G1738" s="18" t="s">
        <v>28</v>
      </c>
      <c r="H1738" s="19">
        <v>200</v>
      </c>
      <c r="I1738" s="20" t="s">
        <v>5393</v>
      </c>
      <c r="J1738" s="20" t="s">
        <v>5409</v>
      </c>
      <c r="K1738" s="21" t="s">
        <v>5410</v>
      </c>
      <c r="L1738" s="20" t="s">
        <v>1808</v>
      </c>
      <c r="M1738" t="str">
        <f>TEXT(A1738,"dddd")</f>
        <v>Wednesday</v>
      </c>
      <c r="N1738" s="35">
        <f>DATE(Table4[[#This Row],[year]],Table4[[#This Row],[month2]],Table4[[#This Row],[day]])</f>
        <v>45873</v>
      </c>
    </row>
    <row r="1739" spans="1:14" ht="16" x14ac:dyDescent="0.35">
      <c r="A1739" t="str">
        <f t="shared" si="54"/>
        <v>04</v>
      </c>
      <c r="B1739">
        <f>_xlfn.SWITCH(Table4[[#This Row],[month]],"jan",1,"feb",2,"mar",3,"apr",4,"may",5,"jun",6,"jul",7,"aug",8,"sep",9,"oct",10,"nov",11,"dec",12,"no month")</f>
        <v>8</v>
      </c>
      <c r="C1739" s="12" t="str">
        <f>LEFT('All Transactions'!$E1739,3)</f>
        <v>Aug</v>
      </c>
      <c r="D1739" s="12" t="str">
        <f t="shared" si="55"/>
        <v>2025</v>
      </c>
      <c r="E1739" s="22" t="s">
        <v>5406</v>
      </c>
      <c r="F1739" s="23" t="s">
        <v>5411</v>
      </c>
      <c r="G1739" s="18" t="s">
        <v>28</v>
      </c>
      <c r="H1739" s="24">
        <v>204</v>
      </c>
      <c r="I1739" s="25" t="s">
        <v>20</v>
      </c>
      <c r="J1739" s="25" t="s">
        <v>5412</v>
      </c>
      <c r="K1739" s="26" t="s">
        <v>5413</v>
      </c>
      <c r="L1739" s="25" t="s">
        <v>1808</v>
      </c>
      <c r="M1739" t="str">
        <f>TEXT(A1739,"dddd")</f>
        <v>Wednesday</v>
      </c>
      <c r="N1739" s="35">
        <f>DATE(Table4[[#This Row],[year]],Table4[[#This Row],[month2]],Table4[[#This Row],[day]])</f>
        <v>45873</v>
      </c>
    </row>
    <row r="1740" spans="1:14" ht="16" x14ac:dyDescent="0.35">
      <c r="A1740" t="str">
        <f t="shared" si="54"/>
        <v>03</v>
      </c>
      <c r="B1740">
        <f>_xlfn.SWITCH(Table4[[#This Row],[month]],"jan",1,"feb",2,"mar",3,"apr",4,"may",5,"jun",6,"jul",7,"aug",8,"sep",9,"oct",10,"nov",11,"dec",12,"no month")</f>
        <v>8</v>
      </c>
      <c r="C1740" s="12" t="str">
        <f>LEFT('All Transactions'!$E1740,3)</f>
        <v>Aug</v>
      </c>
      <c r="D1740" s="12" t="str">
        <f t="shared" si="55"/>
        <v>2025</v>
      </c>
      <c r="E1740" s="16" t="s">
        <v>5414</v>
      </c>
      <c r="F1740" s="17" t="s">
        <v>5415</v>
      </c>
      <c r="G1740" s="18" t="s">
        <v>28</v>
      </c>
      <c r="H1740" s="19">
        <v>700</v>
      </c>
      <c r="I1740" s="20" t="s">
        <v>5416</v>
      </c>
      <c r="J1740" s="20" t="s">
        <v>5417</v>
      </c>
      <c r="K1740" s="21" t="s">
        <v>5418</v>
      </c>
      <c r="L1740" s="20" t="s">
        <v>1808</v>
      </c>
      <c r="M1740" t="str">
        <f>TEXT(A1740,"dddd")</f>
        <v>Tuesday</v>
      </c>
      <c r="N1740" s="35">
        <f>DATE(Table4[[#This Row],[year]],Table4[[#This Row],[month2]],Table4[[#This Row],[day]])</f>
        <v>45872</v>
      </c>
    </row>
    <row r="1741" spans="1:14" ht="16" x14ac:dyDescent="0.35">
      <c r="A1741" t="str">
        <f t="shared" si="54"/>
        <v>03</v>
      </c>
      <c r="B1741">
        <f>_xlfn.SWITCH(Table4[[#This Row],[month]],"jan",1,"feb",2,"mar",3,"apr",4,"may",5,"jun",6,"jul",7,"aug",8,"sep",9,"oct",10,"nov",11,"dec",12,"no month")</f>
        <v>8</v>
      </c>
      <c r="C1741" s="12" t="str">
        <f>LEFT('All Transactions'!$E1741,3)</f>
        <v>Aug</v>
      </c>
      <c r="D1741" s="12" t="str">
        <f t="shared" si="55"/>
        <v>2025</v>
      </c>
      <c r="E1741" s="22" t="s">
        <v>5414</v>
      </c>
      <c r="F1741" s="23" t="s">
        <v>5419</v>
      </c>
      <c r="G1741" s="27" t="s">
        <v>54</v>
      </c>
      <c r="H1741" s="24">
        <v>2000</v>
      </c>
      <c r="I1741" s="25" t="s">
        <v>1729</v>
      </c>
      <c r="J1741" s="25" t="s">
        <v>5420</v>
      </c>
      <c r="K1741" s="26" t="s">
        <v>5421</v>
      </c>
      <c r="L1741" s="25" t="s">
        <v>2330</v>
      </c>
      <c r="M1741" t="str">
        <f>TEXT(A1741,"dddd")</f>
        <v>Tuesday</v>
      </c>
      <c r="N1741" s="35">
        <f>DATE(Table4[[#This Row],[year]],Table4[[#This Row],[month2]],Table4[[#This Row],[day]])</f>
        <v>45872</v>
      </c>
    </row>
    <row r="1742" spans="1:14" ht="16" x14ac:dyDescent="0.35">
      <c r="A1742" t="str">
        <f t="shared" si="54"/>
        <v>03</v>
      </c>
      <c r="B1742">
        <f>_xlfn.SWITCH(Table4[[#This Row],[month]],"jan",1,"feb",2,"mar",3,"apr",4,"may",5,"jun",6,"jul",7,"aug",8,"sep",9,"oct",10,"nov",11,"dec",12,"no month")</f>
        <v>8</v>
      </c>
      <c r="C1742" s="12" t="str">
        <f>LEFT('All Transactions'!$E1742,3)</f>
        <v>Aug</v>
      </c>
      <c r="D1742" s="12" t="str">
        <f t="shared" si="55"/>
        <v>2025</v>
      </c>
      <c r="E1742" s="16" t="s">
        <v>5414</v>
      </c>
      <c r="F1742" s="17" t="s">
        <v>3613</v>
      </c>
      <c r="G1742" s="18" t="s">
        <v>28</v>
      </c>
      <c r="H1742" s="19">
        <v>100</v>
      </c>
      <c r="I1742" s="20" t="s">
        <v>5393</v>
      </c>
      <c r="J1742" s="20" t="s">
        <v>5422</v>
      </c>
      <c r="K1742" s="21" t="s">
        <v>5423</v>
      </c>
      <c r="L1742" s="20" t="s">
        <v>1808</v>
      </c>
      <c r="M1742" t="str">
        <f>TEXT(A1742,"dddd")</f>
        <v>Tuesday</v>
      </c>
      <c r="N1742" s="35">
        <f>DATE(Table4[[#This Row],[year]],Table4[[#This Row],[month2]],Table4[[#This Row],[day]])</f>
        <v>45872</v>
      </c>
    </row>
    <row r="1743" spans="1:14" ht="16" x14ac:dyDescent="0.35">
      <c r="A1743" t="str">
        <f t="shared" si="54"/>
        <v>03</v>
      </c>
      <c r="B1743">
        <f>_xlfn.SWITCH(Table4[[#This Row],[month]],"jan",1,"feb",2,"mar",3,"apr",4,"may",5,"jun",6,"jul",7,"aug",8,"sep",9,"oct",10,"nov",11,"dec",12,"no month")</f>
        <v>8</v>
      </c>
      <c r="C1743" s="12" t="str">
        <f>LEFT('All Transactions'!$E1743,3)</f>
        <v>Aug</v>
      </c>
      <c r="D1743" s="12" t="str">
        <f t="shared" si="55"/>
        <v>2025</v>
      </c>
      <c r="E1743" s="22" t="s">
        <v>5414</v>
      </c>
      <c r="F1743" s="23" t="s">
        <v>2077</v>
      </c>
      <c r="G1743" s="18" t="s">
        <v>28</v>
      </c>
      <c r="H1743" s="24">
        <v>10</v>
      </c>
      <c r="I1743" s="25" t="s">
        <v>5393</v>
      </c>
      <c r="J1743" s="25" t="s">
        <v>5424</v>
      </c>
      <c r="K1743" s="26" t="s">
        <v>5425</v>
      </c>
      <c r="L1743" s="25" t="s">
        <v>1808</v>
      </c>
      <c r="M1743" t="str">
        <f>TEXT(A1743,"dddd")</f>
        <v>Tuesday</v>
      </c>
      <c r="N1743" s="35">
        <f>DATE(Table4[[#This Row],[year]],Table4[[#This Row],[month2]],Table4[[#This Row],[day]])</f>
        <v>45872</v>
      </c>
    </row>
    <row r="1744" spans="1:14" ht="16" x14ac:dyDescent="0.35">
      <c r="A1744" t="str">
        <f t="shared" si="54"/>
        <v>02</v>
      </c>
      <c r="B1744">
        <f>_xlfn.SWITCH(Table4[[#This Row],[month]],"jan",1,"feb",2,"mar",3,"apr",4,"may",5,"jun",6,"jul",7,"aug",8,"sep",9,"oct",10,"nov",11,"dec",12,"no month")</f>
        <v>8</v>
      </c>
      <c r="C1744" s="12" t="str">
        <f>LEFT('All Transactions'!$E1744,3)</f>
        <v>Aug</v>
      </c>
      <c r="D1744" s="12" t="str">
        <f t="shared" si="55"/>
        <v>2025</v>
      </c>
      <c r="E1744" s="16" t="s">
        <v>5426</v>
      </c>
      <c r="F1744" s="17" t="s">
        <v>289</v>
      </c>
      <c r="G1744" s="18" t="s">
        <v>28</v>
      </c>
      <c r="H1744" s="19">
        <v>700</v>
      </c>
      <c r="I1744" s="20" t="s">
        <v>4108</v>
      </c>
      <c r="J1744" s="20" t="s">
        <v>5427</v>
      </c>
      <c r="K1744" s="21" t="s">
        <v>5428</v>
      </c>
      <c r="L1744" s="20" t="s">
        <v>1808</v>
      </c>
      <c r="M1744" t="str">
        <f>TEXT(A1744,"dddd")</f>
        <v>Monday</v>
      </c>
      <c r="N1744" s="35">
        <f>DATE(Table4[[#This Row],[year]],Table4[[#This Row],[month2]],Table4[[#This Row],[day]])</f>
        <v>45871</v>
      </c>
    </row>
    <row r="1745" spans="1:14" ht="16" x14ac:dyDescent="0.35">
      <c r="A1745" t="str">
        <f t="shared" si="54"/>
        <v>02</v>
      </c>
      <c r="B1745">
        <f>_xlfn.SWITCH(Table4[[#This Row],[month]],"jan",1,"feb",2,"mar",3,"apr",4,"may",5,"jun",6,"jul",7,"aug",8,"sep",9,"oct",10,"nov",11,"dec",12,"no month")</f>
        <v>8</v>
      </c>
      <c r="C1745" s="12" t="str">
        <f>LEFT('All Transactions'!$E1745,3)</f>
        <v>Aug</v>
      </c>
      <c r="D1745" s="12" t="str">
        <f t="shared" si="55"/>
        <v>2025</v>
      </c>
      <c r="E1745" s="22" t="s">
        <v>5426</v>
      </c>
      <c r="F1745" s="23" t="s">
        <v>289</v>
      </c>
      <c r="G1745" s="27" t="s">
        <v>54</v>
      </c>
      <c r="H1745" s="24">
        <v>700</v>
      </c>
      <c r="I1745" s="25" t="s">
        <v>1729</v>
      </c>
      <c r="J1745" s="25" t="s">
        <v>5429</v>
      </c>
      <c r="K1745" s="26" t="s">
        <v>5430</v>
      </c>
      <c r="L1745" s="25" t="s">
        <v>2330</v>
      </c>
      <c r="M1745" t="str">
        <f>TEXT(A1745,"dddd")</f>
        <v>Monday</v>
      </c>
      <c r="N1745" s="35">
        <f>DATE(Table4[[#This Row],[year]],Table4[[#This Row],[month2]],Table4[[#This Row],[day]])</f>
        <v>45871</v>
      </c>
    </row>
    <row r="1746" spans="1:14" ht="16" x14ac:dyDescent="0.35">
      <c r="A1746" t="str">
        <f t="shared" si="54"/>
        <v>02</v>
      </c>
      <c r="B1746">
        <f>_xlfn.SWITCH(Table4[[#This Row],[month]],"jan",1,"feb",2,"mar",3,"apr",4,"may",5,"jun",6,"jul",7,"aug",8,"sep",9,"oct",10,"nov",11,"dec",12,"no month")</f>
        <v>8</v>
      </c>
      <c r="C1746" s="12" t="str">
        <f>LEFT('All Transactions'!$E1746,3)</f>
        <v>Aug</v>
      </c>
      <c r="D1746" s="12" t="str">
        <f t="shared" si="55"/>
        <v>2025</v>
      </c>
      <c r="E1746" s="16" t="s">
        <v>5426</v>
      </c>
      <c r="F1746" s="17" t="s">
        <v>2952</v>
      </c>
      <c r="G1746" s="18" t="s">
        <v>28</v>
      </c>
      <c r="H1746" s="19">
        <v>4000</v>
      </c>
      <c r="I1746" s="20" t="s">
        <v>20</v>
      </c>
      <c r="J1746" s="20" t="s">
        <v>5431</v>
      </c>
      <c r="K1746" s="21" t="s">
        <v>5432</v>
      </c>
      <c r="L1746" s="20" t="s">
        <v>1808</v>
      </c>
      <c r="M1746" t="str">
        <f>TEXT(A1746,"dddd")</f>
        <v>Monday</v>
      </c>
      <c r="N1746" s="35">
        <f>DATE(Table4[[#This Row],[year]],Table4[[#This Row],[month2]],Table4[[#This Row],[day]])</f>
        <v>45871</v>
      </c>
    </row>
    <row r="1747" spans="1:14" ht="16" x14ac:dyDescent="0.35">
      <c r="A1747" t="str">
        <f t="shared" si="54"/>
        <v>02</v>
      </c>
      <c r="B1747">
        <f>_xlfn.SWITCH(Table4[[#This Row],[month]],"jan",1,"feb",2,"mar",3,"apr",4,"may",5,"jun",6,"jul",7,"aug",8,"sep",9,"oct",10,"nov",11,"dec",12,"no month")</f>
        <v>8</v>
      </c>
      <c r="C1747" s="12" t="str">
        <f>LEFT('All Transactions'!$E1747,3)</f>
        <v>Aug</v>
      </c>
      <c r="D1747" s="12" t="str">
        <f t="shared" si="55"/>
        <v>2025</v>
      </c>
      <c r="E1747" s="22" t="s">
        <v>5426</v>
      </c>
      <c r="F1747" s="23" t="s">
        <v>1048</v>
      </c>
      <c r="G1747" s="27" t="s">
        <v>54</v>
      </c>
      <c r="H1747" s="24">
        <v>4000</v>
      </c>
      <c r="I1747" s="25" t="s">
        <v>1729</v>
      </c>
      <c r="J1747" s="25" t="s">
        <v>5433</v>
      </c>
      <c r="K1747" s="26" t="s">
        <v>5434</v>
      </c>
      <c r="L1747" s="25" t="s">
        <v>2330</v>
      </c>
      <c r="M1747" t="str">
        <f>TEXT(A1747,"dddd")</f>
        <v>Monday</v>
      </c>
      <c r="N1747" s="35">
        <f>DATE(Table4[[#This Row],[year]],Table4[[#This Row],[month2]],Table4[[#This Row],[day]])</f>
        <v>45871</v>
      </c>
    </row>
    <row r="1748" spans="1:14" ht="16" x14ac:dyDescent="0.35">
      <c r="A1748" t="str">
        <f t="shared" si="54"/>
        <v>01</v>
      </c>
      <c r="B1748">
        <f>_xlfn.SWITCH(Table4[[#This Row],[month]],"jan",1,"feb",2,"mar",3,"apr",4,"may",5,"jun",6,"jul",7,"aug",8,"sep",9,"oct",10,"nov",11,"dec",12,"no month")</f>
        <v>8</v>
      </c>
      <c r="C1748" s="12" t="str">
        <f>LEFT('All Transactions'!$E1748,3)</f>
        <v>Aug</v>
      </c>
      <c r="D1748" s="12" t="str">
        <f t="shared" si="55"/>
        <v>2025</v>
      </c>
      <c r="E1748" s="16" t="s">
        <v>5435</v>
      </c>
      <c r="F1748" s="17" t="s">
        <v>5436</v>
      </c>
      <c r="G1748" s="27" t="s">
        <v>54</v>
      </c>
      <c r="H1748" s="19">
        <v>100</v>
      </c>
      <c r="I1748" s="20" t="s">
        <v>89</v>
      </c>
      <c r="J1748" s="20" t="s">
        <v>5437</v>
      </c>
      <c r="K1748" s="21" t="s">
        <v>5438</v>
      </c>
      <c r="L1748" s="20" t="s">
        <v>2330</v>
      </c>
      <c r="M1748" t="str">
        <f>TEXT(A1748,"dddd")</f>
        <v>Sunday</v>
      </c>
      <c r="N1748" s="35">
        <f>DATE(Table4[[#This Row],[year]],Table4[[#This Row],[month2]],Table4[[#This Row],[day]])</f>
        <v>45870</v>
      </c>
    </row>
    <row r="1749" spans="1:14" ht="16" x14ac:dyDescent="0.35">
      <c r="A1749" t="str">
        <f t="shared" si="54"/>
        <v>01</v>
      </c>
      <c r="B1749">
        <f>_xlfn.SWITCH(Table4[[#This Row],[month]],"jan",1,"feb",2,"mar",3,"apr",4,"may",5,"jun",6,"jul",7,"aug",8,"sep",9,"oct",10,"nov",11,"dec",12,"no month")</f>
        <v>8</v>
      </c>
      <c r="C1749" s="12" t="str">
        <f>LEFT('All Transactions'!$E1749,3)</f>
        <v>Aug</v>
      </c>
      <c r="D1749" s="12" t="str">
        <f t="shared" si="55"/>
        <v>2025</v>
      </c>
      <c r="E1749" s="22" t="s">
        <v>5435</v>
      </c>
      <c r="F1749" s="23" t="s">
        <v>803</v>
      </c>
      <c r="G1749" s="27" t="s">
        <v>54</v>
      </c>
      <c r="H1749" s="24">
        <v>300</v>
      </c>
      <c r="I1749" s="25" t="s">
        <v>156</v>
      </c>
      <c r="J1749" s="25" t="s">
        <v>5439</v>
      </c>
      <c r="K1749" s="26" t="s">
        <v>5440</v>
      </c>
      <c r="L1749" s="25" t="s">
        <v>2330</v>
      </c>
      <c r="M1749" t="str">
        <f>TEXT(A1749,"dddd")</f>
        <v>Sunday</v>
      </c>
      <c r="N1749" s="35">
        <f>DATE(Table4[[#This Row],[year]],Table4[[#This Row],[month2]],Table4[[#This Row],[day]])</f>
        <v>45870</v>
      </c>
    </row>
    <row r="1750" spans="1:14" ht="16" x14ac:dyDescent="0.35">
      <c r="A1750" t="str">
        <f t="shared" si="54"/>
        <v>01</v>
      </c>
      <c r="B1750">
        <f>_xlfn.SWITCH(Table4[[#This Row],[month]],"jan",1,"feb",2,"mar",3,"apr",4,"may",5,"jun",6,"jul",7,"aug",8,"sep",9,"oct",10,"nov",11,"dec",12,"no month")</f>
        <v>8</v>
      </c>
      <c r="C1750" s="12" t="str">
        <f>LEFT('All Transactions'!$E1750,3)</f>
        <v>Aug</v>
      </c>
      <c r="D1750" s="12" t="str">
        <f t="shared" si="55"/>
        <v>2025</v>
      </c>
      <c r="E1750" s="16" t="s">
        <v>5435</v>
      </c>
      <c r="F1750" s="17" t="s">
        <v>4596</v>
      </c>
      <c r="G1750" s="27" t="s">
        <v>54</v>
      </c>
      <c r="H1750" s="19">
        <v>500</v>
      </c>
      <c r="I1750" s="20" t="s">
        <v>2352</v>
      </c>
      <c r="J1750" s="20" t="s">
        <v>5441</v>
      </c>
      <c r="K1750" s="21" t="s">
        <v>5442</v>
      </c>
      <c r="L1750" s="20" t="s">
        <v>2330</v>
      </c>
      <c r="M1750" t="str">
        <f>TEXT(A1750,"dddd")</f>
        <v>Sunday</v>
      </c>
      <c r="N1750" s="35">
        <f>DATE(Table4[[#This Row],[year]],Table4[[#This Row],[month2]],Table4[[#This Row],[day]])</f>
        <v>45870</v>
      </c>
    </row>
    <row r="1751" spans="1:14" ht="16" x14ac:dyDescent="0.35">
      <c r="A1751" t="str">
        <f t="shared" si="54"/>
        <v>01</v>
      </c>
      <c r="B1751">
        <f>_xlfn.SWITCH(Table4[[#This Row],[month]],"jan",1,"feb",2,"mar",3,"apr",4,"may",5,"jun",6,"jul",7,"aug",8,"sep",9,"oct",10,"nov",11,"dec",12,"no month")</f>
        <v>8</v>
      </c>
      <c r="C1751" s="12" t="str">
        <f>LEFT('All Transactions'!$E1751,3)</f>
        <v>Aug</v>
      </c>
      <c r="D1751" s="12" t="str">
        <f t="shared" si="55"/>
        <v>2025</v>
      </c>
      <c r="E1751" s="22" t="s">
        <v>5435</v>
      </c>
      <c r="F1751" s="23" t="s">
        <v>4554</v>
      </c>
      <c r="G1751" s="18" t="s">
        <v>28</v>
      </c>
      <c r="H1751" s="24">
        <v>10</v>
      </c>
      <c r="I1751" s="25" t="s">
        <v>2033</v>
      </c>
      <c r="J1751" s="25" t="s">
        <v>5443</v>
      </c>
      <c r="K1751" s="26" t="s">
        <v>5444</v>
      </c>
      <c r="L1751" s="25" t="s">
        <v>1808</v>
      </c>
      <c r="M1751" t="str">
        <f>TEXT(A1751,"dddd")</f>
        <v>Sunday</v>
      </c>
      <c r="N1751" s="35">
        <f>DATE(Table4[[#This Row],[year]],Table4[[#This Row],[month2]],Table4[[#This Row],[day]])</f>
        <v>45870</v>
      </c>
    </row>
    <row r="1752" spans="1:14" ht="16" x14ac:dyDescent="0.35">
      <c r="A1752" t="str">
        <f t="shared" si="54"/>
        <v>01</v>
      </c>
      <c r="B1752">
        <f>_xlfn.SWITCH(Table4[[#This Row],[month]],"jan",1,"feb",2,"mar",3,"apr",4,"may",5,"jun",6,"jul",7,"aug",8,"sep",9,"oct",10,"nov",11,"dec",12,"no month")</f>
        <v>8</v>
      </c>
      <c r="C1752" s="12" t="str">
        <f>LEFT('All Transactions'!$E1752,3)</f>
        <v>Aug</v>
      </c>
      <c r="D1752" s="12" t="str">
        <f t="shared" si="55"/>
        <v>2025</v>
      </c>
      <c r="E1752" s="16" t="s">
        <v>5435</v>
      </c>
      <c r="F1752" s="17" t="s">
        <v>1928</v>
      </c>
      <c r="G1752" s="18" t="s">
        <v>28</v>
      </c>
      <c r="H1752" s="19">
        <v>350</v>
      </c>
      <c r="I1752" s="20" t="s">
        <v>12</v>
      </c>
      <c r="J1752" s="20" t="s">
        <v>5445</v>
      </c>
      <c r="K1752" s="21" t="s">
        <v>5446</v>
      </c>
      <c r="L1752" s="20" t="s">
        <v>1808</v>
      </c>
      <c r="M1752" t="str">
        <f>TEXT(A1752,"dddd")</f>
        <v>Sunday</v>
      </c>
      <c r="N1752" s="35">
        <f>DATE(Table4[[#This Row],[year]],Table4[[#This Row],[month2]],Table4[[#This Row],[day]])</f>
        <v>45870</v>
      </c>
    </row>
    <row r="1753" spans="1:14" ht="16" x14ac:dyDescent="0.35">
      <c r="A1753" t="str">
        <f t="shared" si="54"/>
        <v>31</v>
      </c>
      <c r="B1753">
        <f>_xlfn.SWITCH(Table4[[#This Row],[month]],"jan",1,"feb",2,"mar",3,"apr",4,"may",5,"jun",6,"jul",7,"aug",8,"sep",9,"oct",10,"nov",11,"dec",12,"no month")</f>
        <v>7</v>
      </c>
      <c r="C1753" s="12" t="str">
        <f>LEFT('All Transactions'!$E1753,3)</f>
        <v>Jul</v>
      </c>
      <c r="D1753" s="12" t="str">
        <f t="shared" si="55"/>
        <v>2025</v>
      </c>
      <c r="E1753" s="22" t="s">
        <v>5447</v>
      </c>
      <c r="F1753" s="23" t="s">
        <v>2376</v>
      </c>
      <c r="G1753" s="27" t="s">
        <v>54</v>
      </c>
      <c r="H1753" s="24">
        <v>350</v>
      </c>
      <c r="I1753" s="25" t="s">
        <v>156</v>
      </c>
      <c r="J1753" s="25" t="s">
        <v>5448</v>
      </c>
      <c r="K1753" s="26" t="s">
        <v>5449</v>
      </c>
      <c r="L1753" s="25" t="s">
        <v>2330</v>
      </c>
      <c r="M1753" t="str">
        <f>TEXT(A1753,"dddd")</f>
        <v>Tuesday</v>
      </c>
      <c r="N1753" s="35">
        <f>DATE(Table4[[#This Row],[year]],Table4[[#This Row],[month2]],Table4[[#This Row],[day]])</f>
        <v>45869</v>
      </c>
    </row>
    <row r="1754" spans="1:14" ht="16" x14ac:dyDescent="0.35">
      <c r="A1754" t="str">
        <f t="shared" si="54"/>
        <v>31</v>
      </c>
      <c r="B1754">
        <f>_xlfn.SWITCH(Table4[[#This Row],[month]],"jan",1,"feb",2,"mar",3,"apr",4,"may",5,"jun",6,"jul",7,"aug",8,"sep",9,"oct",10,"nov",11,"dec",12,"no month")</f>
        <v>7</v>
      </c>
      <c r="C1754" s="12" t="str">
        <f>LEFT('All Transactions'!$E1754,3)</f>
        <v>Jul</v>
      </c>
      <c r="D1754" s="12" t="str">
        <f t="shared" si="55"/>
        <v>2025</v>
      </c>
      <c r="E1754" s="16" t="s">
        <v>5447</v>
      </c>
      <c r="F1754" s="17" t="s">
        <v>932</v>
      </c>
      <c r="G1754" s="18" t="s">
        <v>28</v>
      </c>
      <c r="H1754" s="19">
        <v>34</v>
      </c>
      <c r="I1754" s="20" t="s">
        <v>10</v>
      </c>
      <c r="J1754" s="20" t="s">
        <v>5450</v>
      </c>
      <c r="K1754" s="21" t="s">
        <v>5451</v>
      </c>
      <c r="L1754" s="20" t="s">
        <v>32</v>
      </c>
      <c r="M1754" t="str">
        <f>TEXT(A1754,"dddd")</f>
        <v>Tuesday</v>
      </c>
      <c r="N1754" s="35">
        <f>DATE(Table4[[#This Row],[year]],Table4[[#This Row],[month2]],Table4[[#This Row],[day]])</f>
        <v>45869</v>
      </c>
    </row>
    <row r="1755" spans="1:14" ht="16" x14ac:dyDescent="0.35">
      <c r="A1755" t="str">
        <f t="shared" si="54"/>
        <v>31</v>
      </c>
      <c r="B1755">
        <f>_xlfn.SWITCH(Table4[[#This Row],[month]],"jan",1,"feb",2,"mar",3,"apr",4,"may",5,"jun",6,"jul",7,"aug",8,"sep",9,"oct",10,"nov",11,"dec",12,"no month")</f>
        <v>7</v>
      </c>
      <c r="C1755" s="12" t="str">
        <f>LEFT('All Transactions'!$E1755,3)</f>
        <v>Jul</v>
      </c>
      <c r="D1755" s="12" t="str">
        <f t="shared" si="55"/>
        <v>2025</v>
      </c>
      <c r="E1755" s="22" t="s">
        <v>5447</v>
      </c>
      <c r="F1755" s="23" t="s">
        <v>932</v>
      </c>
      <c r="G1755" s="18" t="s">
        <v>28</v>
      </c>
      <c r="H1755" s="24">
        <v>100</v>
      </c>
      <c r="I1755" s="25" t="s">
        <v>10</v>
      </c>
      <c r="J1755" s="25" t="s">
        <v>5452</v>
      </c>
      <c r="K1755" s="26" t="s">
        <v>5453</v>
      </c>
      <c r="L1755" s="25" t="s">
        <v>1808</v>
      </c>
      <c r="M1755" t="str">
        <f>TEXT(A1755,"dddd")</f>
        <v>Tuesday</v>
      </c>
      <c r="N1755" s="35">
        <f>DATE(Table4[[#This Row],[year]],Table4[[#This Row],[month2]],Table4[[#This Row],[day]])</f>
        <v>45869</v>
      </c>
    </row>
    <row r="1756" spans="1:14" ht="16" x14ac:dyDescent="0.35">
      <c r="A1756" t="str">
        <f t="shared" si="54"/>
        <v>31</v>
      </c>
      <c r="B1756">
        <f>_xlfn.SWITCH(Table4[[#This Row],[month]],"jan",1,"feb",2,"mar",3,"apr",4,"may",5,"jun",6,"jul",7,"aug",8,"sep",9,"oct",10,"nov",11,"dec",12,"no month")</f>
        <v>7</v>
      </c>
      <c r="C1756" s="12" t="str">
        <f>LEFT('All Transactions'!$E1756,3)</f>
        <v>Jul</v>
      </c>
      <c r="D1756" s="12" t="str">
        <f t="shared" si="55"/>
        <v>2025</v>
      </c>
      <c r="E1756" s="16" t="s">
        <v>5447</v>
      </c>
      <c r="F1756" s="17" t="s">
        <v>669</v>
      </c>
      <c r="G1756" s="18" t="s">
        <v>28</v>
      </c>
      <c r="H1756" s="19">
        <v>8000</v>
      </c>
      <c r="I1756" s="20" t="s">
        <v>20</v>
      </c>
      <c r="J1756" s="20" t="s">
        <v>5454</v>
      </c>
      <c r="K1756" s="21" t="s">
        <v>5455</v>
      </c>
      <c r="L1756" s="20" t="s">
        <v>1808</v>
      </c>
      <c r="M1756" t="str">
        <f>TEXT(A1756,"dddd")</f>
        <v>Tuesday</v>
      </c>
      <c r="N1756" s="35">
        <f>DATE(Table4[[#This Row],[year]],Table4[[#This Row],[month2]],Table4[[#This Row],[day]])</f>
        <v>45869</v>
      </c>
    </row>
    <row r="1757" spans="1:14" ht="16" x14ac:dyDescent="0.35">
      <c r="A1757" t="str">
        <f t="shared" si="54"/>
        <v>31</v>
      </c>
      <c r="B1757">
        <f>_xlfn.SWITCH(Table4[[#This Row],[month]],"jan",1,"feb",2,"mar",3,"apr",4,"may",5,"jun",6,"jul",7,"aug",8,"sep",9,"oct",10,"nov",11,"dec",12,"no month")</f>
        <v>7</v>
      </c>
      <c r="C1757" s="12" t="str">
        <f>LEFT('All Transactions'!$E1757,3)</f>
        <v>Jul</v>
      </c>
      <c r="D1757" s="12" t="str">
        <f t="shared" si="55"/>
        <v>2025</v>
      </c>
      <c r="E1757" s="22" t="s">
        <v>5447</v>
      </c>
      <c r="F1757" s="23" t="s">
        <v>108</v>
      </c>
      <c r="G1757" s="27" t="s">
        <v>54</v>
      </c>
      <c r="H1757" s="24">
        <v>500</v>
      </c>
      <c r="I1757" s="25" t="s">
        <v>2352</v>
      </c>
      <c r="J1757" s="25" t="s">
        <v>5456</v>
      </c>
      <c r="K1757" s="26" t="s">
        <v>5457</v>
      </c>
      <c r="L1757" s="25" t="s">
        <v>2330</v>
      </c>
      <c r="M1757" t="str">
        <f>TEXT(A1757,"dddd")</f>
        <v>Tuesday</v>
      </c>
      <c r="N1757" s="35">
        <f>DATE(Table4[[#This Row],[year]],Table4[[#This Row],[month2]],Table4[[#This Row],[day]])</f>
        <v>45869</v>
      </c>
    </row>
    <row r="1758" spans="1:14" ht="16" x14ac:dyDescent="0.35">
      <c r="A1758" t="str">
        <f t="shared" si="54"/>
        <v>31</v>
      </c>
      <c r="B1758">
        <f>_xlfn.SWITCH(Table4[[#This Row],[month]],"jan",1,"feb",2,"mar",3,"apr",4,"may",5,"jun",6,"jul",7,"aug",8,"sep",9,"oct",10,"nov",11,"dec",12,"no month")</f>
        <v>7</v>
      </c>
      <c r="C1758" s="12" t="str">
        <f>LEFT('All Transactions'!$E1758,3)</f>
        <v>Jul</v>
      </c>
      <c r="D1758" s="12" t="str">
        <f t="shared" si="55"/>
        <v>2025</v>
      </c>
      <c r="E1758" s="16" t="s">
        <v>5447</v>
      </c>
      <c r="F1758" s="17" t="s">
        <v>108</v>
      </c>
      <c r="G1758" s="27" t="s">
        <v>54</v>
      </c>
      <c r="H1758" s="19">
        <v>8000</v>
      </c>
      <c r="I1758" s="20" t="s">
        <v>5458</v>
      </c>
      <c r="J1758" s="20" t="s">
        <v>5459</v>
      </c>
      <c r="K1758" s="21" t="s">
        <v>5460</v>
      </c>
      <c r="L1758" s="20" t="s">
        <v>2330</v>
      </c>
      <c r="M1758" t="str">
        <f>TEXT(A1758,"dddd")</f>
        <v>Tuesday</v>
      </c>
      <c r="N1758" s="35">
        <f>DATE(Table4[[#This Row],[year]],Table4[[#This Row],[month2]],Table4[[#This Row],[day]])</f>
        <v>45869</v>
      </c>
    </row>
    <row r="1759" spans="1:14" ht="16" x14ac:dyDescent="0.35">
      <c r="A1759" t="str">
        <f t="shared" si="54"/>
        <v>31</v>
      </c>
      <c r="B1759">
        <f>_xlfn.SWITCH(Table4[[#This Row],[month]],"jan",1,"feb",2,"mar",3,"apr",4,"may",5,"jun",6,"jul",7,"aug",8,"sep",9,"oct",10,"nov",11,"dec",12,"no month")</f>
        <v>7</v>
      </c>
      <c r="C1759" s="12" t="str">
        <f>LEFT('All Transactions'!$E1759,3)</f>
        <v>Jul</v>
      </c>
      <c r="D1759" s="12" t="str">
        <f t="shared" si="55"/>
        <v>2025</v>
      </c>
      <c r="E1759" s="22" t="s">
        <v>5447</v>
      </c>
      <c r="F1759" s="23" t="s">
        <v>5461</v>
      </c>
      <c r="G1759" s="18" t="s">
        <v>28</v>
      </c>
      <c r="H1759" s="24">
        <v>250</v>
      </c>
      <c r="I1759" s="25" t="s">
        <v>20</v>
      </c>
      <c r="J1759" s="25" t="s">
        <v>5462</v>
      </c>
      <c r="K1759" s="26" t="s">
        <v>5463</v>
      </c>
      <c r="L1759" s="25" t="s">
        <v>1808</v>
      </c>
      <c r="M1759" t="str">
        <f>TEXT(A1759,"dddd")</f>
        <v>Tuesday</v>
      </c>
      <c r="N1759" s="35">
        <f>DATE(Table4[[#This Row],[year]],Table4[[#This Row],[month2]],Table4[[#This Row],[day]])</f>
        <v>45869</v>
      </c>
    </row>
    <row r="1760" spans="1:14" ht="16" x14ac:dyDescent="0.35">
      <c r="A1760" t="str">
        <f t="shared" si="54"/>
        <v>31</v>
      </c>
      <c r="B1760">
        <f>_xlfn.SWITCH(Table4[[#This Row],[month]],"jan",1,"feb",2,"mar",3,"apr",4,"may",5,"jun",6,"jul",7,"aug",8,"sep",9,"oct",10,"nov",11,"dec",12,"no month")</f>
        <v>7</v>
      </c>
      <c r="C1760" s="12" t="str">
        <f>LEFT('All Transactions'!$E1760,3)</f>
        <v>Jul</v>
      </c>
      <c r="D1760" s="12" t="str">
        <f t="shared" si="55"/>
        <v>2025</v>
      </c>
      <c r="E1760" s="16" t="s">
        <v>5447</v>
      </c>
      <c r="F1760" s="17" t="s">
        <v>3584</v>
      </c>
      <c r="G1760" s="27" t="s">
        <v>54</v>
      </c>
      <c r="H1760" s="19">
        <v>50</v>
      </c>
      <c r="I1760" s="20" t="s">
        <v>1075</v>
      </c>
      <c r="J1760" s="20" t="s">
        <v>5464</v>
      </c>
      <c r="K1760" s="21" t="s">
        <v>5465</v>
      </c>
      <c r="L1760" s="20" t="s">
        <v>2330</v>
      </c>
      <c r="M1760" t="str">
        <f>TEXT(A1760,"dddd")</f>
        <v>Tuesday</v>
      </c>
      <c r="N1760" s="35">
        <f>DATE(Table4[[#This Row],[year]],Table4[[#This Row],[month2]],Table4[[#This Row],[day]])</f>
        <v>45869</v>
      </c>
    </row>
    <row r="1761" spans="1:14" ht="16" x14ac:dyDescent="0.35">
      <c r="A1761" t="str">
        <f t="shared" si="54"/>
        <v>31</v>
      </c>
      <c r="B1761">
        <f>_xlfn.SWITCH(Table4[[#This Row],[month]],"jan",1,"feb",2,"mar",3,"apr",4,"may",5,"jun",6,"jul",7,"aug",8,"sep",9,"oct",10,"nov",11,"dec",12,"no month")</f>
        <v>7</v>
      </c>
      <c r="C1761" s="12" t="str">
        <f>LEFT('All Transactions'!$E1761,3)</f>
        <v>Jul</v>
      </c>
      <c r="D1761" s="12" t="str">
        <f t="shared" si="55"/>
        <v>2025</v>
      </c>
      <c r="E1761" s="22" t="s">
        <v>5447</v>
      </c>
      <c r="F1761" s="23" t="s">
        <v>305</v>
      </c>
      <c r="G1761" s="27" t="s">
        <v>54</v>
      </c>
      <c r="H1761" s="24">
        <v>250</v>
      </c>
      <c r="I1761" s="25" t="s">
        <v>1090</v>
      </c>
      <c r="J1761" s="25" t="s">
        <v>5466</v>
      </c>
      <c r="K1761" s="26" t="s">
        <v>5467</v>
      </c>
      <c r="L1761" s="25" t="s">
        <v>2330</v>
      </c>
      <c r="M1761" t="str">
        <f>TEXT(A1761,"dddd")</f>
        <v>Tuesday</v>
      </c>
      <c r="N1761" s="35">
        <f>DATE(Table4[[#This Row],[year]],Table4[[#This Row],[month2]],Table4[[#This Row],[day]])</f>
        <v>45869</v>
      </c>
    </row>
    <row r="1762" spans="1:14" ht="16" x14ac:dyDescent="0.35">
      <c r="A1762" t="str">
        <f t="shared" si="54"/>
        <v>31</v>
      </c>
      <c r="B1762">
        <f>_xlfn.SWITCH(Table4[[#This Row],[month]],"jan",1,"feb",2,"mar",3,"apr",4,"may",5,"jun",6,"jul",7,"aug",8,"sep",9,"oct",10,"nov",11,"dec",12,"no month")</f>
        <v>7</v>
      </c>
      <c r="C1762" s="12" t="str">
        <f>LEFT('All Transactions'!$E1762,3)</f>
        <v>Jul</v>
      </c>
      <c r="D1762" s="12" t="str">
        <f t="shared" si="55"/>
        <v>2025</v>
      </c>
      <c r="E1762" s="16" t="s">
        <v>5447</v>
      </c>
      <c r="F1762" s="17" t="s">
        <v>1449</v>
      </c>
      <c r="G1762" s="18" t="s">
        <v>28</v>
      </c>
      <c r="H1762" s="19">
        <v>116.52</v>
      </c>
      <c r="I1762" s="20" t="s">
        <v>5187</v>
      </c>
      <c r="J1762" s="20" t="s">
        <v>5468</v>
      </c>
      <c r="K1762" s="21" t="s">
        <v>5469</v>
      </c>
      <c r="L1762" s="20" t="s">
        <v>32</v>
      </c>
      <c r="M1762" t="str">
        <f>TEXT(A1762,"dddd")</f>
        <v>Tuesday</v>
      </c>
      <c r="N1762" s="35">
        <f>DATE(Table4[[#This Row],[year]],Table4[[#This Row],[month2]],Table4[[#This Row],[day]])</f>
        <v>45869</v>
      </c>
    </row>
    <row r="1763" spans="1:14" ht="16" x14ac:dyDescent="0.35">
      <c r="A1763" t="str">
        <f t="shared" si="54"/>
        <v>31</v>
      </c>
      <c r="B1763">
        <f>_xlfn.SWITCH(Table4[[#This Row],[month]],"jan",1,"feb",2,"mar",3,"apr",4,"may",5,"jun",6,"jul",7,"aug",8,"sep",9,"oct",10,"nov",11,"dec",12,"no month")</f>
        <v>7</v>
      </c>
      <c r="C1763" s="12" t="str">
        <f>LEFT('All Transactions'!$E1763,3)</f>
        <v>Jul</v>
      </c>
      <c r="D1763" s="12" t="str">
        <f t="shared" si="55"/>
        <v>2025</v>
      </c>
      <c r="E1763" s="22" t="s">
        <v>5447</v>
      </c>
      <c r="F1763" s="23" t="s">
        <v>1977</v>
      </c>
      <c r="G1763" s="18" t="s">
        <v>28</v>
      </c>
      <c r="H1763" s="24">
        <v>65</v>
      </c>
      <c r="I1763" s="25" t="s">
        <v>13</v>
      </c>
      <c r="J1763" s="25" t="s">
        <v>5470</v>
      </c>
      <c r="K1763" s="26" t="s">
        <v>5471</v>
      </c>
      <c r="L1763" s="25" t="s">
        <v>47</v>
      </c>
      <c r="M1763" t="str">
        <f>TEXT(A1763,"dddd")</f>
        <v>Tuesday</v>
      </c>
      <c r="N1763" s="35">
        <f>DATE(Table4[[#This Row],[year]],Table4[[#This Row],[month2]],Table4[[#This Row],[day]])</f>
        <v>45869</v>
      </c>
    </row>
    <row r="1764" spans="1:14" ht="16" x14ac:dyDescent="0.35">
      <c r="A1764" t="str">
        <f t="shared" si="54"/>
        <v>31</v>
      </c>
      <c r="B1764">
        <f>_xlfn.SWITCH(Table4[[#This Row],[month]],"jan",1,"feb",2,"mar",3,"apr",4,"may",5,"jun",6,"jul",7,"aug",8,"sep",9,"oct",10,"nov",11,"dec",12,"no month")</f>
        <v>7</v>
      </c>
      <c r="C1764" s="12" t="str">
        <f>LEFT('All Transactions'!$E1764,3)</f>
        <v>Jul</v>
      </c>
      <c r="D1764" s="12" t="str">
        <f t="shared" si="55"/>
        <v>2025</v>
      </c>
      <c r="E1764" s="16" t="s">
        <v>5447</v>
      </c>
      <c r="F1764" s="17" t="s">
        <v>4834</v>
      </c>
      <c r="G1764" s="18" t="s">
        <v>28</v>
      </c>
      <c r="H1764" s="19">
        <v>95</v>
      </c>
      <c r="I1764" s="20" t="s">
        <v>10</v>
      </c>
      <c r="J1764" s="20" t="s">
        <v>5472</v>
      </c>
      <c r="K1764" s="21" t="s">
        <v>5473</v>
      </c>
      <c r="L1764" s="20" t="s">
        <v>1808</v>
      </c>
      <c r="M1764" t="str">
        <f>TEXT(A1764,"dddd")</f>
        <v>Tuesday</v>
      </c>
      <c r="N1764" s="35">
        <f>DATE(Table4[[#This Row],[year]],Table4[[#This Row],[month2]],Table4[[#This Row],[day]])</f>
        <v>45869</v>
      </c>
    </row>
    <row r="1765" spans="1:14" ht="16" x14ac:dyDescent="0.35">
      <c r="A1765" t="str">
        <f t="shared" si="54"/>
        <v>30</v>
      </c>
      <c r="B1765">
        <f>_xlfn.SWITCH(Table4[[#This Row],[month]],"jan",1,"feb",2,"mar",3,"apr",4,"may",5,"jun",6,"jul",7,"aug",8,"sep",9,"oct",10,"nov",11,"dec",12,"no month")</f>
        <v>7</v>
      </c>
      <c r="C1765" s="12" t="str">
        <f>LEFT('All Transactions'!$E1765,3)</f>
        <v>Jul</v>
      </c>
      <c r="D1765" s="12" t="str">
        <f t="shared" si="55"/>
        <v>2025</v>
      </c>
      <c r="E1765" s="22" t="s">
        <v>14</v>
      </c>
      <c r="F1765" s="23" t="s">
        <v>727</v>
      </c>
      <c r="G1765" s="18" t="s">
        <v>28</v>
      </c>
      <c r="H1765" s="24">
        <v>5000</v>
      </c>
      <c r="I1765" s="25" t="s">
        <v>12</v>
      </c>
      <c r="J1765" s="25" t="s">
        <v>5474</v>
      </c>
      <c r="K1765" s="26" t="s">
        <v>5475</v>
      </c>
      <c r="L1765" s="25" t="s">
        <v>32</v>
      </c>
      <c r="M1765" t="str">
        <f>TEXT(A1765,"dddd")</f>
        <v>Monday</v>
      </c>
      <c r="N1765" s="35">
        <f>DATE(Table4[[#This Row],[year]],Table4[[#This Row],[month2]],Table4[[#This Row],[day]])</f>
        <v>45868</v>
      </c>
    </row>
    <row r="1766" spans="1:14" ht="16" x14ac:dyDescent="0.35">
      <c r="A1766" t="str">
        <f t="shared" si="54"/>
        <v>30</v>
      </c>
      <c r="B1766">
        <f>_xlfn.SWITCH(Table4[[#This Row],[month]],"jan",1,"feb",2,"mar",3,"apr",4,"may",5,"jun",6,"jul",7,"aug",8,"sep",9,"oct",10,"nov",11,"dec",12,"no month")</f>
        <v>7</v>
      </c>
      <c r="C1766" s="12" t="str">
        <f>LEFT('All Transactions'!$E1766,3)</f>
        <v>Jul</v>
      </c>
      <c r="D1766" s="12" t="str">
        <f t="shared" si="55"/>
        <v>2025</v>
      </c>
      <c r="E1766" s="16" t="s">
        <v>14</v>
      </c>
      <c r="F1766" s="17" t="s">
        <v>5476</v>
      </c>
      <c r="G1766" s="18" t="s">
        <v>28</v>
      </c>
      <c r="H1766" s="19">
        <v>25000</v>
      </c>
      <c r="I1766" s="20" t="s">
        <v>15</v>
      </c>
      <c r="J1766" s="20" t="s">
        <v>5477</v>
      </c>
      <c r="K1766" s="21" t="s">
        <v>5478</v>
      </c>
      <c r="L1766" s="20" t="s">
        <v>47</v>
      </c>
      <c r="M1766" t="str">
        <f>TEXT(A1766,"dddd")</f>
        <v>Monday</v>
      </c>
      <c r="N1766" s="35">
        <f>DATE(Table4[[#This Row],[year]],Table4[[#This Row],[month2]],Table4[[#This Row],[day]])</f>
        <v>45868</v>
      </c>
    </row>
    <row r="1767" spans="1:14" ht="16" x14ac:dyDescent="0.35">
      <c r="A1767" t="str">
        <f t="shared" si="54"/>
        <v>30</v>
      </c>
      <c r="B1767">
        <f>_xlfn.SWITCH(Table4[[#This Row],[month]],"jan",1,"feb",2,"mar",3,"apr",4,"may",5,"jun",6,"jul",7,"aug",8,"sep",9,"oct",10,"nov",11,"dec",12,"no month")</f>
        <v>7</v>
      </c>
      <c r="C1767" s="12" t="str">
        <f>LEFT('All Transactions'!$E1767,3)</f>
        <v>Jul</v>
      </c>
      <c r="D1767" s="12" t="str">
        <f t="shared" si="55"/>
        <v>2025</v>
      </c>
      <c r="E1767" s="22" t="s">
        <v>14</v>
      </c>
      <c r="F1767" s="23" t="s">
        <v>5476</v>
      </c>
      <c r="G1767" s="18" t="s">
        <v>28</v>
      </c>
      <c r="H1767" s="24">
        <v>5000</v>
      </c>
      <c r="I1767" s="25" t="s">
        <v>10</v>
      </c>
      <c r="J1767" s="25" t="s">
        <v>5479</v>
      </c>
      <c r="K1767" s="26" t="s">
        <v>5480</v>
      </c>
      <c r="L1767" s="25" t="s">
        <v>1808</v>
      </c>
      <c r="M1767" t="str">
        <f>TEXT(A1767,"dddd")</f>
        <v>Monday</v>
      </c>
      <c r="N1767" s="35">
        <f>DATE(Table4[[#This Row],[year]],Table4[[#This Row],[month2]],Table4[[#This Row],[day]])</f>
        <v>45868</v>
      </c>
    </row>
    <row r="1768" spans="1:14" ht="16" x14ac:dyDescent="0.35">
      <c r="A1768" t="str">
        <f t="shared" si="54"/>
        <v>30</v>
      </c>
      <c r="B1768">
        <f>_xlfn.SWITCH(Table4[[#This Row],[month]],"jan",1,"feb",2,"mar",3,"apr",4,"may",5,"jun",6,"jul",7,"aug",8,"sep",9,"oct",10,"nov",11,"dec",12,"no month")</f>
        <v>7</v>
      </c>
      <c r="C1768" s="12" t="str">
        <f>LEFT('All Transactions'!$E1768,3)</f>
        <v>Jul</v>
      </c>
      <c r="D1768" s="12" t="str">
        <f t="shared" si="55"/>
        <v>2025</v>
      </c>
      <c r="E1768" s="16" t="s">
        <v>14</v>
      </c>
      <c r="F1768" s="17" t="s">
        <v>1236</v>
      </c>
      <c r="G1768" s="27" t="s">
        <v>54</v>
      </c>
      <c r="H1768" s="19">
        <v>5000</v>
      </c>
      <c r="I1768" s="20" t="s">
        <v>156</v>
      </c>
      <c r="J1768" s="20" t="s">
        <v>5481</v>
      </c>
      <c r="K1768" s="21" t="s">
        <v>5482</v>
      </c>
      <c r="L1768" s="20" t="s">
        <v>2330</v>
      </c>
      <c r="M1768" t="str">
        <f>TEXT(A1768,"dddd")</f>
        <v>Monday</v>
      </c>
      <c r="N1768" s="35">
        <f>DATE(Table4[[#This Row],[year]],Table4[[#This Row],[month2]],Table4[[#This Row],[day]])</f>
        <v>45868</v>
      </c>
    </row>
    <row r="1769" spans="1:14" ht="16" x14ac:dyDescent="0.35">
      <c r="A1769" t="str">
        <f t="shared" si="54"/>
        <v>28</v>
      </c>
      <c r="B1769">
        <f>_xlfn.SWITCH(Table4[[#This Row],[month]],"jan",1,"feb",2,"mar",3,"apr",4,"may",5,"jun",6,"jul",7,"aug",8,"sep",9,"oct",10,"nov",11,"dec",12,"no month")</f>
        <v>7</v>
      </c>
      <c r="C1769" s="12" t="str">
        <f>LEFT('All Transactions'!$E1769,3)</f>
        <v>Jul</v>
      </c>
      <c r="D1769" s="12" t="str">
        <f t="shared" si="55"/>
        <v>2025</v>
      </c>
      <c r="E1769" s="22" t="s">
        <v>5483</v>
      </c>
      <c r="F1769" s="23" t="s">
        <v>589</v>
      </c>
      <c r="G1769" s="27" t="s">
        <v>54</v>
      </c>
      <c r="H1769" s="24">
        <v>100</v>
      </c>
      <c r="I1769" s="25" t="s">
        <v>5484</v>
      </c>
      <c r="J1769" s="25" t="s">
        <v>5485</v>
      </c>
      <c r="K1769" s="26" t="s">
        <v>5486</v>
      </c>
      <c r="L1769" s="25" t="s">
        <v>2330</v>
      </c>
      <c r="M1769" t="str">
        <f>TEXT(A1769,"dddd")</f>
        <v>Saturday</v>
      </c>
      <c r="N1769" s="35">
        <f>DATE(Table4[[#This Row],[year]],Table4[[#This Row],[month2]],Table4[[#This Row],[day]])</f>
        <v>45866</v>
      </c>
    </row>
    <row r="1770" spans="1:14" ht="16" x14ac:dyDescent="0.35">
      <c r="A1770" t="str">
        <f t="shared" si="54"/>
        <v>28</v>
      </c>
      <c r="B1770">
        <f>_xlfn.SWITCH(Table4[[#This Row],[month]],"jan",1,"feb",2,"mar",3,"apr",4,"may",5,"jun",6,"jul",7,"aug",8,"sep",9,"oct",10,"nov",11,"dec",12,"no month")</f>
        <v>7</v>
      </c>
      <c r="C1770" s="12" t="str">
        <f>LEFT('All Transactions'!$E1770,3)</f>
        <v>Jul</v>
      </c>
      <c r="D1770" s="12" t="str">
        <f t="shared" si="55"/>
        <v>2025</v>
      </c>
      <c r="E1770" s="16" t="s">
        <v>5483</v>
      </c>
      <c r="F1770" s="17" t="s">
        <v>3373</v>
      </c>
      <c r="G1770" s="27" t="s">
        <v>54</v>
      </c>
      <c r="H1770" s="19">
        <v>200</v>
      </c>
      <c r="I1770" s="20" t="s">
        <v>3303</v>
      </c>
      <c r="J1770" s="20" t="s">
        <v>5487</v>
      </c>
      <c r="K1770" s="21" t="s">
        <v>5488</v>
      </c>
      <c r="L1770" s="20" t="s">
        <v>2330</v>
      </c>
      <c r="M1770" t="str">
        <f>TEXT(A1770,"dddd")</f>
        <v>Saturday</v>
      </c>
      <c r="N1770" s="35">
        <f>DATE(Table4[[#This Row],[year]],Table4[[#This Row],[month2]],Table4[[#This Row],[day]])</f>
        <v>45866</v>
      </c>
    </row>
    <row r="1771" spans="1:14" ht="16" x14ac:dyDescent="0.35">
      <c r="A1771" t="str">
        <f t="shared" si="54"/>
        <v>27</v>
      </c>
      <c r="B1771">
        <f>_xlfn.SWITCH(Table4[[#This Row],[month]],"jan",1,"feb",2,"mar",3,"apr",4,"may",5,"jun",6,"jul",7,"aug",8,"sep",9,"oct",10,"nov",11,"dec",12,"no month")</f>
        <v>7</v>
      </c>
      <c r="C1771" s="12" t="str">
        <f>LEFT('All Transactions'!$E1771,3)</f>
        <v>Jul</v>
      </c>
      <c r="D1771" s="12" t="str">
        <f t="shared" si="55"/>
        <v>2025</v>
      </c>
      <c r="E1771" s="22" t="s">
        <v>5489</v>
      </c>
      <c r="F1771" s="23" t="s">
        <v>5490</v>
      </c>
      <c r="G1771" s="27" t="s">
        <v>54</v>
      </c>
      <c r="H1771" s="24">
        <v>100</v>
      </c>
      <c r="I1771" s="25" t="s">
        <v>1090</v>
      </c>
      <c r="J1771" s="25" t="s">
        <v>5491</v>
      </c>
      <c r="K1771" s="26" t="s">
        <v>5492</v>
      </c>
      <c r="L1771" s="25" t="s">
        <v>2330</v>
      </c>
      <c r="M1771" t="str">
        <f>TEXT(A1771,"dddd")</f>
        <v>Friday</v>
      </c>
      <c r="N1771" s="35">
        <f>DATE(Table4[[#This Row],[year]],Table4[[#This Row],[month2]],Table4[[#This Row],[day]])</f>
        <v>45865</v>
      </c>
    </row>
    <row r="1772" spans="1:14" ht="16" x14ac:dyDescent="0.35">
      <c r="A1772" t="str">
        <f t="shared" si="54"/>
        <v>26</v>
      </c>
      <c r="B1772">
        <f>_xlfn.SWITCH(Table4[[#This Row],[month]],"jan",1,"feb",2,"mar",3,"apr",4,"may",5,"jun",6,"jul",7,"aug",8,"sep",9,"oct",10,"nov",11,"dec",12,"no month")</f>
        <v>7</v>
      </c>
      <c r="C1772" s="12" t="str">
        <f>LEFT('All Transactions'!$E1772,3)</f>
        <v>Jul</v>
      </c>
      <c r="D1772" s="12" t="str">
        <f t="shared" si="55"/>
        <v>2025</v>
      </c>
      <c r="E1772" s="16" t="s">
        <v>5493</v>
      </c>
      <c r="F1772" s="17" t="s">
        <v>552</v>
      </c>
      <c r="G1772" s="27" t="s">
        <v>54</v>
      </c>
      <c r="H1772" s="19">
        <v>75</v>
      </c>
      <c r="I1772" s="20" t="s">
        <v>5484</v>
      </c>
      <c r="J1772" s="20" t="s">
        <v>5494</v>
      </c>
      <c r="K1772" s="21" t="s">
        <v>5495</v>
      </c>
      <c r="L1772" s="20" t="s">
        <v>2330</v>
      </c>
      <c r="M1772" t="str">
        <f>TEXT(A1772,"dddd")</f>
        <v>Thursday</v>
      </c>
      <c r="N1772" s="35">
        <f>DATE(Table4[[#This Row],[year]],Table4[[#This Row],[month2]],Table4[[#This Row],[day]])</f>
        <v>45864</v>
      </c>
    </row>
    <row r="1773" spans="1:14" ht="16" x14ac:dyDescent="0.35">
      <c r="A1773" t="str">
        <f t="shared" si="54"/>
        <v>26</v>
      </c>
      <c r="B1773">
        <f>_xlfn.SWITCH(Table4[[#This Row],[month]],"jan",1,"feb",2,"mar",3,"apr",4,"may",5,"jun",6,"jul",7,"aug",8,"sep",9,"oct",10,"nov",11,"dec",12,"no month")</f>
        <v>7</v>
      </c>
      <c r="C1773" s="12" t="str">
        <f>LEFT('All Transactions'!$E1773,3)</f>
        <v>Jul</v>
      </c>
      <c r="D1773" s="12" t="str">
        <f t="shared" si="55"/>
        <v>2025</v>
      </c>
      <c r="E1773" s="22" t="s">
        <v>5493</v>
      </c>
      <c r="F1773" s="23" t="s">
        <v>3292</v>
      </c>
      <c r="G1773" s="18" t="s">
        <v>28</v>
      </c>
      <c r="H1773" s="24">
        <v>300</v>
      </c>
      <c r="I1773" s="25" t="s">
        <v>5496</v>
      </c>
      <c r="J1773" s="25" t="s">
        <v>5497</v>
      </c>
      <c r="K1773" s="26" t="s">
        <v>5498</v>
      </c>
      <c r="L1773" s="25" t="s">
        <v>1808</v>
      </c>
      <c r="M1773" t="str">
        <f>TEXT(A1773,"dddd")</f>
        <v>Thursday</v>
      </c>
      <c r="N1773" s="35">
        <f>DATE(Table4[[#This Row],[year]],Table4[[#This Row],[month2]],Table4[[#This Row],[day]])</f>
        <v>45864</v>
      </c>
    </row>
    <row r="1774" spans="1:14" ht="16" x14ac:dyDescent="0.35">
      <c r="A1774" t="str">
        <f t="shared" si="54"/>
        <v>26</v>
      </c>
      <c r="B1774">
        <f>_xlfn.SWITCH(Table4[[#This Row],[month]],"jan",1,"feb",2,"mar",3,"apr",4,"may",5,"jun",6,"jul",7,"aug",8,"sep",9,"oct",10,"nov",11,"dec",12,"no month")</f>
        <v>7</v>
      </c>
      <c r="C1774" s="12" t="str">
        <f>LEFT('All Transactions'!$E1774,3)</f>
        <v>Jul</v>
      </c>
      <c r="D1774" s="12" t="str">
        <f t="shared" si="55"/>
        <v>2025</v>
      </c>
      <c r="E1774" s="16" t="s">
        <v>5493</v>
      </c>
      <c r="F1774" s="17" t="s">
        <v>4764</v>
      </c>
      <c r="G1774" s="27" t="s">
        <v>54</v>
      </c>
      <c r="H1774" s="19">
        <v>100</v>
      </c>
      <c r="I1774" s="20" t="s">
        <v>156</v>
      </c>
      <c r="J1774" s="20" t="s">
        <v>5499</v>
      </c>
      <c r="K1774" s="21" t="s">
        <v>5500</v>
      </c>
      <c r="L1774" s="20" t="s">
        <v>2330</v>
      </c>
      <c r="M1774" t="str">
        <f>TEXT(A1774,"dddd")</f>
        <v>Thursday</v>
      </c>
      <c r="N1774" s="35">
        <f>DATE(Table4[[#This Row],[year]],Table4[[#This Row],[month2]],Table4[[#This Row],[day]])</f>
        <v>45864</v>
      </c>
    </row>
    <row r="1775" spans="1:14" ht="16" x14ac:dyDescent="0.35">
      <c r="A1775" t="str">
        <f t="shared" si="54"/>
        <v>25</v>
      </c>
      <c r="B1775">
        <f>_xlfn.SWITCH(Table4[[#This Row],[month]],"jan",1,"feb",2,"mar",3,"apr",4,"may",5,"jun",6,"jul",7,"aug",8,"sep",9,"oct",10,"nov",11,"dec",12,"no month")</f>
        <v>7</v>
      </c>
      <c r="C1775" s="12" t="str">
        <f>LEFT('All Transactions'!$E1775,3)</f>
        <v>Jul</v>
      </c>
      <c r="D1775" s="12" t="str">
        <f t="shared" si="55"/>
        <v>2025</v>
      </c>
      <c r="E1775" s="22" t="s">
        <v>5501</v>
      </c>
      <c r="F1775" s="23" t="s">
        <v>5502</v>
      </c>
      <c r="G1775" s="27" t="s">
        <v>54</v>
      </c>
      <c r="H1775" s="24">
        <v>270</v>
      </c>
      <c r="I1775" s="25" t="s">
        <v>1090</v>
      </c>
      <c r="J1775" s="25" t="s">
        <v>5503</v>
      </c>
      <c r="K1775" s="26" t="s">
        <v>5504</v>
      </c>
      <c r="L1775" s="25" t="s">
        <v>2330</v>
      </c>
      <c r="M1775" t="str">
        <f>TEXT(A1775,"dddd")</f>
        <v>Wednesday</v>
      </c>
      <c r="N1775" s="35">
        <f>DATE(Table4[[#This Row],[year]],Table4[[#This Row],[month2]],Table4[[#This Row],[day]])</f>
        <v>45863</v>
      </c>
    </row>
    <row r="1776" spans="1:14" ht="16" x14ac:dyDescent="0.35">
      <c r="A1776" t="str">
        <f t="shared" si="54"/>
        <v>24</v>
      </c>
      <c r="B1776">
        <f>_xlfn.SWITCH(Table4[[#This Row],[month]],"jan",1,"feb",2,"mar",3,"apr",4,"may",5,"jun",6,"jul",7,"aug",8,"sep",9,"oct",10,"nov",11,"dec",12,"no month")</f>
        <v>7</v>
      </c>
      <c r="C1776" s="12" t="str">
        <f>LEFT('All Transactions'!$E1776,3)</f>
        <v>Jul</v>
      </c>
      <c r="D1776" s="12" t="str">
        <f t="shared" si="55"/>
        <v>2025</v>
      </c>
      <c r="E1776" s="16" t="s">
        <v>5505</v>
      </c>
      <c r="F1776" s="17" t="s">
        <v>2361</v>
      </c>
      <c r="G1776" s="18" t="s">
        <v>28</v>
      </c>
      <c r="H1776" s="19">
        <v>190</v>
      </c>
      <c r="I1776" s="20" t="s">
        <v>5506</v>
      </c>
      <c r="J1776" s="20" t="s">
        <v>5507</v>
      </c>
      <c r="K1776" s="21" t="s">
        <v>5508</v>
      </c>
      <c r="L1776" s="20" t="s">
        <v>1808</v>
      </c>
      <c r="M1776" t="str">
        <f>TEXT(A1776,"dddd")</f>
        <v>Tuesday</v>
      </c>
      <c r="N1776" s="35">
        <f>DATE(Table4[[#This Row],[year]],Table4[[#This Row],[month2]],Table4[[#This Row],[day]])</f>
        <v>45862</v>
      </c>
    </row>
    <row r="1777" spans="1:14" ht="16" x14ac:dyDescent="0.35">
      <c r="A1777" t="str">
        <f t="shared" si="54"/>
        <v>24</v>
      </c>
      <c r="B1777">
        <f>_xlfn.SWITCH(Table4[[#This Row],[month]],"jan",1,"feb",2,"mar",3,"apr",4,"may",5,"jun",6,"jul",7,"aug",8,"sep",9,"oct",10,"nov",11,"dec",12,"no month")</f>
        <v>7</v>
      </c>
      <c r="C1777" s="12" t="str">
        <f>LEFT('All Transactions'!$E1777,3)</f>
        <v>Jul</v>
      </c>
      <c r="D1777" s="12" t="str">
        <f t="shared" si="55"/>
        <v>2025</v>
      </c>
      <c r="E1777" s="22" t="s">
        <v>5505</v>
      </c>
      <c r="F1777" s="23" t="s">
        <v>2361</v>
      </c>
      <c r="G1777" s="27" t="s">
        <v>54</v>
      </c>
      <c r="H1777" s="24">
        <v>240</v>
      </c>
      <c r="I1777" s="25" t="s">
        <v>1090</v>
      </c>
      <c r="J1777" s="25" t="s">
        <v>5509</v>
      </c>
      <c r="K1777" s="26" t="s">
        <v>5510</v>
      </c>
      <c r="L1777" s="25" t="s">
        <v>2330</v>
      </c>
      <c r="M1777" t="str">
        <f>TEXT(A1777,"dddd")</f>
        <v>Tuesday</v>
      </c>
      <c r="N1777" s="35">
        <f>DATE(Table4[[#This Row],[year]],Table4[[#This Row],[month2]],Table4[[#This Row],[day]])</f>
        <v>45862</v>
      </c>
    </row>
    <row r="1778" spans="1:14" ht="16" x14ac:dyDescent="0.35">
      <c r="A1778" t="str">
        <f t="shared" si="54"/>
        <v>23</v>
      </c>
      <c r="B1778">
        <f>_xlfn.SWITCH(Table4[[#This Row],[month]],"jan",1,"feb",2,"mar",3,"apr",4,"may",5,"jun",6,"jul",7,"aug",8,"sep",9,"oct",10,"nov",11,"dec",12,"no month")</f>
        <v>7</v>
      </c>
      <c r="C1778" s="12" t="str">
        <f>LEFT('All Transactions'!$E1778,3)</f>
        <v>Jul</v>
      </c>
      <c r="D1778" s="12" t="str">
        <f t="shared" si="55"/>
        <v>2025</v>
      </c>
      <c r="E1778" s="16" t="s">
        <v>5511</v>
      </c>
      <c r="F1778" s="17" t="s">
        <v>509</v>
      </c>
      <c r="G1778" s="27" t="s">
        <v>54</v>
      </c>
      <c r="H1778" s="19">
        <v>300</v>
      </c>
      <c r="I1778" s="20" t="s">
        <v>1075</v>
      </c>
      <c r="J1778" s="20" t="s">
        <v>5512</v>
      </c>
      <c r="K1778" s="21" t="s">
        <v>5513</v>
      </c>
      <c r="L1778" s="20" t="s">
        <v>2330</v>
      </c>
      <c r="M1778" t="str">
        <f>TEXT(A1778,"dddd")</f>
        <v>Monday</v>
      </c>
      <c r="N1778" s="35">
        <f>DATE(Table4[[#This Row],[year]],Table4[[#This Row],[month2]],Table4[[#This Row],[day]])</f>
        <v>45861</v>
      </c>
    </row>
    <row r="1779" spans="1:14" ht="16" x14ac:dyDescent="0.35">
      <c r="A1779" t="str">
        <f t="shared" si="54"/>
        <v>23</v>
      </c>
      <c r="B1779">
        <f>_xlfn.SWITCH(Table4[[#This Row],[month]],"jan",1,"feb",2,"mar",3,"apr",4,"may",5,"jun",6,"jul",7,"aug",8,"sep",9,"oct",10,"nov",11,"dec",12,"no month")</f>
        <v>7</v>
      </c>
      <c r="C1779" s="12" t="str">
        <f>LEFT('All Transactions'!$E1779,3)</f>
        <v>Jul</v>
      </c>
      <c r="D1779" s="12" t="str">
        <f t="shared" si="55"/>
        <v>2025</v>
      </c>
      <c r="E1779" s="22" t="s">
        <v>5511</v>
      </c>
      <c r="F1779" s="23" t="s">
        <v>5514</v>
      </c>
      <c r="G1779" s="27" t="s">
        <v>54</v>
      </c>
      <c r="H1779" s="24">
        <v>367</v>
      </c>
      <c r="I1779" s="25" t="s">
        <v>1586</v>
      </c>
      <c r="J1779" s="25" t="s">
        <v>5515</v>
      </c>
      <c r="K1779" s="26" t="s">
        <v>5516</v>
      </c>
      <c r="L1779" s="25" t="s">
        <v>2330</v>
      </c>
      <c r="M1779" t="str">
        <f>TEXT(A1779,"dddd")</f>
        <v>Monday</v>
      </c>
      <c r="N1779" s="35">
        <f>DATE(Table4[[#This Row],[year]],Table4[[#This Row],[month2]],Table4[[#This Row],[day]])</f>
        <v>45861</v>
      </c>
    </row>
    <row r="1780" spans="1:14" ht="16" x14ac:dyDescent="0.35">
      <c r="A1780" t="str">
        <f t="shared" si="54"/>
        <v>22</v>
      </c>
      <c r="B1780">
        <f>_xlfn.SWITCH(Table4[[#This Row],[month]],"jan",1,"feb",2,"mar",3,"apr",4,"may",5,"jun",6,"jul",7,"aug",8,"sep",9,"oct",10,"nov",11,"dec",12,"no month")</f>
        <v>7</v>
      </c>
      <c r="C1780" s="12" t="str">
        <f>LEFT('All Transactions'!$E1780,3)</f>
        <v>Jul</v>
      </c>
      <c r="D1780" s="12" t="str">
        <f t="shared" si="55"/>
        <v>2025</v>
      </c>
      <c r="E1780" s="16" t="s">
        <v>5517</v>
      </c>
      <c r="F1780" s="17" t="s">
        <v>3947</v>
      </c>
      <c r="G1780" s="27" t="s">
        <v>54</v>
      </c>
      <c r="H1780" s="19">
        <v>230</v>
      </c>
      <c r="I1780" s="20" t="s">
        <v>5518</v>
      </c>
      <c r="J1780" s="20" t="s">
        <v>5519</v>
      </c>
      <c r="K1780" s="21" t="s">
        <v>5520</v>
      </c>
      <c r="L1780" s="20" t="s">
        <v>2330</v>
      </c>
      <c r="M1780" t="str">
        <f>TEXT(A1780,"dddd")</f>
        <v>Sunday</v>
      </c>
      <c r="N1780" s="35">
        <f>DATE(Table4[[#This Row],[year]],Table4[[#This Row],[month2]],Table4[[#This Row],[day]])</f>
        <v>45860</v>
      </c>
    </row>
    <row r="1781" spans="1:14" ht="16" x14ac:dyDescent="0.35">
      <c r="A1781" t="str">
        <f t="shared" si="54"/>
        <v>22</v>
      </c>
      <c r="B1781">
        <f>_xlfn.SWITCH(Table4[[#This Row],[month]],"jan",1,"feb",2,"mar",3,"apr",4,"may",5,"jun",6,"jul",7,"aug",8,"sep",9,"oct",10,"nov",11,"dec",12,"no month")</f>
        <v>7</v>
      </c>
      <c r="C1781" s="12" t="str">
        <f>LEFT('All Transactions'!$E1781,3)</f>
        <v>Jul</v>
      </c>
      <c r="D1781" s="12" t="str">
        <f t="shared" si="55"/>
        <v>2025</v>
      </c>
      <c r="E1781" s="22" t="s">
        <v>5517</v>
      </c>
      <c r="F1781" s="23" t="s">
        <v>3474</v>
      </c>
      <c r="G1781" s="27" t="s">
        <v>54</v>
      </c>
      <c r="H1781" s="24">
        <v>200</v>
      </c>
      <c r="I1781" s="25" t="s">
        <v>156</v>
      </c>
      <c r="J1781" s="25" t="s">
        <v>5521</v>
      </c>
      <c r="K1781" s="26" t="s">
        <v>5522</v>
      </c>
      <c r="L1781" s="25" t="s">
        <v>2330</v>
      </c>
      <c r="M1781" t="str">
        <f>TEXT(A1781,"dddd")</f>
        <v>Sunday</v>
      </c>
      <c r="N1781" s="35">
        <f>DATE(Table4[[#This Row],[year]],Table4[[#This Row],[month2]],Table4[[#This Row],[day]])</f>
        <v>45860</v>
      </c>
    </row>
    <row r="1782" spans="1:14" ht="16" x14ac:dyDescent="0.35">
      <c r="A1782" t="str">
        <f t="shared" si="54"/>
        <v>22</v>
      </c>
      <c r="B1782">
        <f>_xlfn.SWITCH(Table4[[#This Row],[month]],"jan",1,"feb",2,"mar",3,"apr",4,"may",5,"jun",6,"jul",7,"aug",8,"sep",9,"oct",10,"nov",11,"dec",12,"no month")</f>
        <v>7</v>
      </c>
      <c r="C1782" s="12" t="str">
        <f>LEFT('All Transactions'!$E1782,3)</f>
        <v>Jul</v>
      </c>
      <c r="D1782" s="12" t="str">
        <f t="shared" si="55"/>
        <v>2025</v>
      </c>
      <c r="E1782" s="16" t="s">
        <v>5517</v>
      </c>
      <c r="F1782" s="17" t="s">
        <v>818</v>
      </c>
      <c r="G1782" s="18" t="s">
        <v>28</v>
      </c>
      <c r="H1782" s="19">
        <v>194</v>
      </c>
      <c r="I1782" s="20" t="s">
        <v>10</v>
      </c>
      <c r="J1782" s="20" t="s">
        <v>5523</v>
      </c>
      <c r="K1782" s="21" t="s">
        <v>5524</v>
      </c>
      <c r="L1782" s="20" t="s">
        <v>1808</v>
      </c>
      <c r="M1782" t="str">
        <f>TEXT(A1782,"dddd")</f>
        <v>Sunday</v>
      </c>
      <c r="N1782" s="35">
        <f>DATE(Table4[[#This Row],[year]],Table4[[#This Row],[month2]],Table4[[#This Row],[day]])</f>
        <v>45860</v>
      </c>
    </row>
    <row r="1783" spans="1:14" ht="16" x14ac:dyDescent="0.35">
      <c r="A1783" t="str">
        <f t="shared" si="54"/>
        <v>22</v>
      </c>
      <c r="B1783">
        <f>_xlfn.SWITCH(Table4[[#This Row],[month]],"jan",1,"feb",2,"mar",3,"apr",4,"may",5,"jun",6,"jul",7,"aug",8,"sep",9,"oct",10,"nov",11,"dec",12,"no month")</f>
        <v>7</v>
      </c>
      <c r="C1783" s="12" t="str">
        <f>LEFT('All Transactions'!$E1783,3)</f>
        <v>Jul</v>
      </c>
      <c r="D1783" s="12" t="str">
        <f t="shared" si="55"/>
        <v>2025</v>
      </c>
      <c r="E1783" s="22" t="s">
        <v>5517</v>
      </c>
      <c r="F1783" s="23" t="s">
        <v>3574</v>
      </c>
      <c r="G1783" s="27" t="s">
        <v>54</v>
      </c>
      <c r="H1783" s="24">
        <v>1000</v>
      </c>
      <c r="I1783" s="25" t="s">
        <v>1642</v>
      </c>
      <c r="J1783" s="25" t="s">
        <v>5525</v>
      </c>
      <c r="K1783" s="26" t="s">
        <v>5526</v>
      </c>
      <c r="L1783" s="25" t="s">
        <v>2330</v>
      </c>
      <c r="M1783" t="str">
        <f>TEXT(A1783,"dddd")</f>
        <v>Sunday</v>
      </c>
      <c r="N1783" s="35">
        <f>DATE(Table4[[#This Row],[year]],Table4[[#This Row],[month2]],Table4[[#This Row],[day]])</f>
        <v>45860</v>
      </c>
    </row>
    <row r="1784" spans="1:14" ht="16" x14ac:dyDescent="0.35">
      <c r="A1784" t="str">
        <f t="shared" si="54"/>
        <v>21</v>
      </c>
      <c r="B1784">
        <f>_xlfn.SWITCH(Table4[[#This Row],[month]],"jan",1,"feb",2,"mar",3,"apr",4,"may",5,"jun",6,"jul",7,"aug",8,"sep",9,"oct",10,"nov",11,"dec",12,"no month")</f>
        <v>7</v>
      </c>
      <c r="C1784" s="12" t="str">
        <f>LEFT('All Transactions'!$E1784,3)</f>
        <v>Jul</v>
      </c>
      <c r="D1784" s="12" t="str">
        <f t="shared" si="55"/>
        <v>2025</v>
      </c>
      <c r="E1784" s="16" t="s">
        <v>5527</v>
      </c>
      <c r="F1784" s="17" t="s">
        <v>2764</v>
      </c>
      <c r="G1784" s="18" t="s">
        <v>28</v>
      </c>
      <c r="H1784" s="19">
        <v>3179.27</v>
      </c>
      <c r="I1784" s="20" t="s">
        <v>3563</v>
      </c>
      <c r="J1784" s="20" t="s">
        <v>5528</v>
      </c>
      <c r="K1784" s="21" t="s">
        <v>5529</v>
      </c>
      <c r="L1784" s="20" t="s">
        <v>47</v>
      </c>
      <c r="M1784" t="str">
        <f>TEXT(A1784,"dddd")</f>
        <v>Saturday</v>
      </c>
      <c r="N1784" s="35">
        <f>DATE(Table4[[#This Row],[year]],Table4[[#This Row],[month2]],Table4[[#This Row],[day]])</f>
        <v>45859</v>
      </c>
    </row>
    <row r="1785" spans="1:14" ht="16" x14ac:dyDescent="0.35">
      <c r="A1785" t="str">
        <f t="shared" si="54"/>
        <v>21</v>
      </c>
      <c r="B1785">
        <f>_xlfn.SWITCH(Table4[[#This Row],[month]],"jan",1,"feb",2,"mar",3,"apr",4,"may",5,"jun",6,"jul",7,"aug",8,"sep",9,"oct",10,"nov",11,"dec",12,"no month")</f>
        <v>7</v>
      </c>
      <c r="C1785" s="12" t="str">
        <f>LEFT('All Transactions'!$E1785,3)</f>
        <v>Jul</v>
      </c>
      <c r="D1785" s="12" t="str">
        <f t="shared" si="55"/>
        <v>2025</v>
      </c>
      <c r="E1785" s="22" t="s">
        <v>5527</v>
      </c>
      <c r="F1785" s="23" t="s">
        <v>5044</v>
      </c>
      <c r="G1785" s="27" t="s">
        <v>54</v>
      </c>
      <c r="H1785" s="24">
        <v>2</v>
      </c>
      <c r="I1785" s="25" t="s">
        <v>4332</v>
      </c>
      <c r="J1785" s="25" t="s">
        <v>5530</v>
      </c>
      <c r="K1785" s="26" t="s">
        <v>5531</v>
      </c>
      <c r="L1785" s="25" t="s">
        <v>2330</v>
      </c>
      <c r="M1785" t="str">
        <f>TEXT(A1785,"dddd")</f>
        <v>Saturday</v>
      </c>
      <c r="N1785" s="35">
        <f>DATE(Table4[[#This Row],[year]],Table4[[#This Row],[month2]],Table4[[#This Row],[day]])</f>
        <v>45859</v>
      </c>
    </row>
    <row r="1786" spans="1:14" ht="16" x14ac:dyDescent="0.35">
      <c r="A1786" t="str">
        <f t="shared" si="54"/>
        <v>21</v>
      </c>
      <c r="B1786">
        <f>_xlfn.SWITCH(Table4[[#This Row],[month]],"jan",1,"feb",2,"mar",3,"apr",4,"may",5,"jun",6,"jul",7,"aug",8,"sep",9,"oct",10,"nov",11,"dec",12,"no month")</f>
        <v>7</v>
      </c>
      <c r="C1786" s="12" t="str">
        <f>LEFT('All Transactions'!$E1786,3)</f>
        <v>Jul</v>
      </c>
      <c r="D1786" s="12" t="str">
        <f t="shared" si="55"/>
        <v>2025</v>
      </c>
      <c r="E1786" s="16" t="s">
        <v>5527</v>
      </c>
      <c r="F1786" s="17" t="s">
        <v>5044</v>
      </c>
      <c r="G1786" s="18" t="s">
        <v>28</v>
      </c>
      <c r="H1786" s="19">
        <v>2</v>
      </c>
      <c r="I1786" s="20" t="s">
        <v>3961</v>
      </c>
      <c r="J1786" s="20" t="s">
        <v>5532</v>
      </c>
      <c r="K1786" s="21" t="s">
        <v>5533</v>
      </c>
      <c r="L1786" s="20" t="s">
        <v>1808</v>
      </c>
      <c r="M1786" t="str">
        <f>TEXT(A1786,"dddd")</f>
        <v>Saturday</v>
      </c>
      <c r="N1786" s="35">
        <f>DATE(Table4[[#This Row],[year]],Table4[[#This Row],[month2]],Table4[[#This Row],[day]])</f>
        <v>45859</v>
      </c>
    </row>
    <row r="1787" spans="1:14" ht="16" x14ac:dyDescent="0.35">
      <c r="A1787" t="str">
        <f t="shared" si="54"/>
        <v>20</v>
      </c>
      <c r="B1787">
        <f>_xlfn.SWITCH(Table4[[#This Row],[month]],"jan",1,"feb",2,"mar",3,"apr",4,"may",5,"jun",6,"jul",7,"aug",8,"sep",9,"oct",10,"nov",11,"dec",12,"no month")</f>
        <v>7</v>
      </c>
      <c r="C1787" s="12" t="str">
        <f>LEFT('All Transactions'!$E1787,3)</f>
        <v>Jul</v>
      </c>
      <c r="D1787" s="12" t="str">
        <f t="shared" si="55"/>
        <v>2025</v>
      </c>
      <c r="E1787" s="22" t="s">
        <v>5534</v>
      </c>
      <c r="F1787" s="23" t="s">
        <v>4396</v>
      </c>
      <c r="G1787" s="18" t="s">
        <v>28</v>
      </c>
      <c r="H1787" s="24">
        <v>1000</v>
      </c>
      <c r="I1787" s="25" t="s">
        <v>12</v>
      </c>
      <c r="J1787" s="25" t="s">
        <v>5535</v>
      </c>
      <c r="K1787" s="26" t="s">
        <v>5536</v>
      </c>
      <c r="L1787" s="25" t="s">
        <v>1808</v>
      </c>
      <c r="M1787" t="str">
        <f>TEXT(A1787,"dddd")</f>
        <v>Friday</v>
      </c>
      <c r="N1787" s="35">
        <f>DATE(Table4[[#This Row],[year]],Table4[[#This Row],[month2]],Table4[[#This Row],[day]])</f>
        <v>45858</v>
      </c>
    </row>
    <row r="1788" spans="1:14" ht="16" x14ac:dyDescent="0.35">
      <c r="A1788" t="str">
        <f t="shared" si="54"/>
        <v>20</v>
      </c>
      <c r="B1788">
        <f>_xlfn.SWITCH(Table4[[#This Row],[month]],"jan",1,"feb",2,"mar",3,"apr",4,"may",5,"jun",6,"jul",7,"aug",8,"sep",9,"oct",10,"nov",11,"dec",12,"no month")</f>
        <v>7</v>
      </c>
      <c r="C1788" s="12" t="str">
        <f>LEFT('All Transactions'!$E1788,3)</f>
        <v>Jul</v>
      </c>
      <c r="D1788" s="12" t="str">
        <f t="shared" si="55"/>
        <v>2025</v>
      </c>
      <c r="E1788" s="16" t="s">
        <v>5534</v>
      </c>
      <c r="F1788" s="17" t="s">
        <v>4986</v>
      </c>
      <c r="G1788" s="18" t="s">
        <v>28</v>
      </c>
      <c r="H1788" s="19">
        <v>1000</v>
      </c>
      <c r="I1788" s="20" t="s">
        <v>12</v>
      </c>
      <c r="J1788" s="20" t="s">
        <v>5537</v>
      </c>
      <c r="K1788" s="21" t="s">
        <v>5538</v>
      </c>
      <c r="L1788" s="20" t="s">
        <v>47</v>
      </c>
      <c r="M1788" t="str">
        <f>TEXT(A1788,"dddd")</f>
        <v>Friday</v>
      </c>
      <c r="N1788" s="35">
        <f>DATE(Table4[[#This Row],[year]],Table4[[#This Row],[month2]],Table4[[#This Row],[day]])</f>
        <v>45858</v>
      </c>
    </row>
    <row r="1789" spans="1:14" ht="16" x14ac:dyDescent="0.35">
      <c r="A1789" t="str">
        <f t="shared" si="54"/>
        <v>20</v>
      </c>
      <c r="B1789">
        <f>_xlfn.SWITCH(Table4[[#This Row],[month]],"jan",1,"feb",2,"mar",3,"apr",4,"may",5,"jun",6,"jul",7,"aug",8,"sep",9,"oct",10,"nov",11,"dec",12,"no month")</f>
        <v>7</v>
      </c>
      <c r="C1789" s="12" t="str">
        <f>LEFT('All Transactions'!$E1789,3)</f>
        <v>Jul</v>
      </c>
      <c r="D1789" s="12" t="str">
        <f t="shared" si="55"/>
        <v>2025</v>
      </c>
      <c r="E1789" s="22" t="s">
        <v>5534</v>
      </c>
      <c r="F1789" s="23" t="s">
        <v>3282</v>
      </c>
      <c r="G1789" s="18" t="s">
        <v>28</v>
      </c>
      <c r="H1789" s="24">
        <v>532.20000000000005</v>
      </c>
      <c r="I1789" s="25" t="s">
        <v>3125</v>
      </c>
      <c r="J1789" s="25" t="s">
        <v>5539</v>
      </c>
      <c r="K1789" s="26" t="s">
        <v>5540</v>
      </c>
      <c r="L1789" s="25" t="s">
        <v>47</v>
      </c>
      <c r="M1789" t="str">
        <f>TEXT(A1789,"dddd")</f>
        <v>Friday</v>
      </c>
      <c r="N1789" s="35">
        <f>DATE(Table4[[#This Row],[year]],Table4[[#This Row],[month2]],Table4[[#This Row],[day]])</f>
        <v>45858</v>
      </c>
    </row>
    <row r="1790" spans="1:14" ht="16" x14ac:dyDescent="0.35">
      <c r="A1790" t="str">
        <f t="shared" si="54"/>
        <v>20</v>
      </c>
      <c r="B1790">
        <f>_xlfn.SWITCH(Table4[[#This Row],[month]],"jan",1,"feb",2,"mar",3,"apr",4,"may",5,"jun",6,"jul",7,"aug",8,"sep",9,"oct",10,"nov",11,"dec",12,"no month")</f>
        <v>7</v>
      </c>
      <c r="C1790" s="12" t="str">
        <f>LEFT('All Transactions'!$E1790,3)</f>
        <v>Jul</v>
      </c>
      <c r="D1790" s="12" t="str">
        <f t="shared" si="55"/>
        <v>2025</v>
      </c>
      <c r="E1790" s="16" t="s">
        <v>5534</v>
      </c>
      <c r="F1790" s="17" t="s">
        <v>2854</v>
      </c>
      <c r="G1790" s="27" t="s">
        <v>54</v>
      </c>
      <c r="H1790" s="19">
        <v>5</v>
      </c>
      <c r="I1790" s="20" t="s">
        <v>2883</v>
      </c>
      <c r="J1790" s="20" t="s">
        <v>5541</v>
      </c>
      <c r="K1790" s="21"/>
      <c r="L1790" s="20" t="s">
        <v>2885</v>
      </c>
      <c r="M1790" t="str">
        <f>TEXT(A1790,"dddd")</f>
        <v>Friday</v>
      </c>
      <c r="N1790" s="35">
        <f>DATE(Table4[[#This Row],[year]],Table4[[#This Row],[month2]],Table4[[#This Row],[day]])</f>
        <v>45858</v>
      </c>
    </row>
    <row r="1791" spans="1:14" ht="16" x14ac:dyDescent="0.35">
      <c r="A1791" t="str">
        <f t="shared" si="54"/>
        <v>20</v>
      </c>
      <c r="B1791">
        <f>_xlfn.SWITCH(Table4[[#This Row],[month]],"jan",1,"feb",2,"mar",3,"apr",4,"may",5,"jun",6,"jul",7,"aug",8,"sep",9,"oct",10,"nov",11,"dec",12,"no month")</f>
        <v>7</v>
      </c>
      <c r="C1791" s="12" t="str">
        <f>LEFT('All Transactions'!$E1791,3)</f>
        <v>Jul</v>
      </c>
      <c r="D1791" s="12" t="str">
        <f t="shared" si="55"/>
        <v>2025</v>
      </c>
      <c r="E1791" s="22" t="s">
        <v>5534</v>
      </c>
      <c r="F1791" s="23" t="s">
        <v>2854</v>
      </c>
      <c r="G1791" s="27" t="s">
        <v>54</v>
      </c>
      <c r="H1791" s="24">
        <v>5</v>
      </c>
      <c r="I1791" s="25" t="s">
        <v>2883</v>
      </c>
      <c r="J1791" s="25" t="s">
        <v>5542</v>
      </c>
      <c r="K1791" s="26"/>
      <c r="L1791" s="25" t="s">
        <v>2885</v>
      </c>
      <c r="M1791" t="str">
        <f>TEXT(A1791,"dddd")</f>
        <v>Friday</v>
      </c>
      <c r="N1791" s="35">
        <f>DATE(Table4[[#This Row],[year]],Table4[[#This Row],[month2]],Table4[[#This Row],[day]])</f>
        <v>45858</v>
      </c>
    </row>
    <row r="1792" spans="1:14" ht="16" x14ac:dyDescent="0.35">
      <c r="A1792" t="str">
        <f t="shared" si="54"/>
        <v>20</v>
      </c>
      <c r="B1792">
        <f>_xlfn.SWITCH(Table4[[#This Row],[month]],"jan",1,"feb",2,"mar",3,"apr",4,"may",5,"jun",6,"jul",7,"aug",8,"sep",9,"oct",10,"nov",11,"dec",12,"no month")</f>
        <v>7</v>
      </c>
      <c r="C1792" s="12" t="str">
        <f>LEFT('All Transactions'!$E1792,3)</f>
        <v>Jul</v>
      </c>
      <c r="D1792" s="12" t="str">
        <f t="shared" si="55"/>
        <v>2025</v>
      </c>
      <c r="E1792" s="16" t="s">
        <v>5534</v>
      </c>
      <c r="F1792" s="17" t="s">
        <v>2854</v>
      </c>
      <c r="G1792" s="27" t="s">
        <v>54</v>
      </c>
      <c r="H1792" s="19">
        <v>5</v>
      </c>
      <c r="I1792" s="20" t="s">
        <v>2883</v>
      </c>
      <c r="J1792" s="20" t="s">
        <v>5543</v>
      </c>
      <c r="K1792" s="21"/>
      <c r="L1792" s="20" t="s">
        <v>2885</v>
      </c>
      <c r="M1792" t="str">
        <f>TEXT(A1792,"dddd")</f>
        <v>Friday</v>
      </c>
      <c r="N1792" s="35">
        <f>DATE(Table4[[#This Row],[year]],Table4[[#This Row],[month2]],Table4[[#This Row],[day]])</f>
        <v>45858</v>
      </c>
    </row>
    <row r="1793" spans="1:14" ht="16" x14ac:dyDescent="0.35">
      <c r="A1793" t="str">
        <f t="shared" si="54"/>
        <v>20</v>
      </c>
      <c r="B1793">
        <f>_xlfn.SWITCH(Table4[[#This Row],[month]],"jan",1,"feb",2,"mar",3,"apr",4,"may",5,"jun",6,"jul",7,"aug",8,"sep",9,"oct",10,"nov",11,"dec",12,"no month")</f>
        <v>7</v>
      </c>
      <c r="C1793" s="12" t="str">
        <f>LEFT('All Transactions'!$E1793,3)</f>
        <v>Jul</v>
      </c>
      <c r="D1793" s="12" t="str">
        <f t="shared" si="55"/>
        <v>2025</v>
      </c>
      <c r="E1793" s="22" t="s">
        <v>5534</v>
      </c>
      <c r="F1793" s="23" t="s">
        <v>2854</v>
      </c>
      <c r="G1793" s="27" t="s">
        <v>54</v>
      </c>
      <c r="H1793" s="24">
        <v>3</v>
      </c>
      <c r="I1793" s="25" t="s">
        <v>2883</v>
      </c>
      <c r="J1793" s="25" t="s">
        <v>5544</v>
      </c>
      <c r="K1793" s="26"/>
      <c r="L1793" s="25" t="s">
        <v>2885</v>
      </c>
      <c r="M1793" t="str">
        <f>TEXT(A1793,"dddd")</f>
        <v>Friday</v>
      </c>
      <c r="N1793" s="35">
        <f>DATE(Table4[[#This Row],[year]],Table4[[#This Row],[month2]],Table4[[#This Row],[day]])</f>
        <v>45858</v>
      </c>
    </row>
    <row r="1794" spans="1:14" ht="16" x14ac:dyDescent="0.35">
      <c r="A1794" t="str">
        <f t="shared" si="54"/>
        <v>20</v>
      </c>
      <c r="B1794">
        <f>_xlfn.SWITCH(Table4[[#This Row],[month]],"jan",1,"feb",2,"mar",3,"apr",4,"may",5,"jun",6,"jul",7,"aug",8,"sep",9,"oct",10,"nov",11,"dec",12,"no month")</f>
        <v>7</v>
      </c>
      <c r="C1794" s="12" t="str">
        <f>LEFT('All Transactions'!$E1794,3)</f>
        <v>Jul</v>
      </c>
      <c r="D1794" s="12" t="str">
        <f t="shared" si="55"/>
        <v>2025</v>
      </c>
      <c r="E1794" s="16" t="s">
        <v>5534</v>
      </c>
      <c r="F1794" s="17" t="s">
        <v>2854</v>
      </c>
      <c r="G1794" s="27" t="s">
        <v>54</v>
      </c>
      <c r="H1794" s="19">
        <v>5</v>
      </c>
      <c r="I1794" s="20" t="s">
        <v>2883</v>
      </c>
      <c r="J1794" s="20" t="s">
        <v>5545</v>
      </c>
      <c r="K1794" s="21"/>
      <c r="L1794" s="20" t="s">
        <v>2885</v>
      </c>
      <c r="M1794" t="str">
        <f>TEXT(A1794,"dddd")</f>
        <v>Friday</v>
      </c>
      <c r="N1794" s="35">
        <f>DATE(Table4[[#This Row],[year]],Table4[[#This Row],[month2]],Table4[[#This Row],[day]])</f>
        <v>45858</v>
      </c>
    </row>
    <row r="1795" spans="1:14" ht="16" x14ac:dyDescent="0.35">
      <c r="A1795" t="str">
        <f t="shared" ref="A1795:A1858" si="56">MID(E1795,5,2)</f>
        <v>20</v>
      </c>
      <c r="B1795">
        <f>_xlfn.SWITCH(Table4[[#This Row],[month]],"jan",1,"feb",2,"mar",3,"apr",4,"may",5,"jun",6,"jul",7,"aug",8,"sep",9,"oct",10,"nov",11,"dec",12,"no month")</f>
        <v>7</v>
      </c>
      <c r="C1795" s="12" t="str">
        <f>LEFT('All Transactions'!$E1795,3)</f>
        <v>Jul</v>
      </c>
      <c r="D1795" s="12" t="str">
        <f t="shared" ref="D1795:D1858" si="57">RIGHT(E1795,4)</f>
        <v>2025</v>
      </c>
      <c r="E1795" s="22" t="s">
        <v>5534</v>
      </c>
      <c r="F1795" s="23" t="s">
        <v>2854</v>
      </c>
      <c r="G1795" s="27" t="s">
        <v>54</v>
      </c>
      <c r="H1795" s="24">
        <v>3</v>
      </c>
      <c r="I1795" s="25" t="s">
        <v>2883</v>
      </c>
      <c r="J1795" s="25" t="s">
        <v>5546</v>
      </c>
      <c r="K1795" s="26"/>
      <c r="L1795" s="25" t="s">
        <v>2885</v>
      </c>
      <c r="M1795" t="str">
        <f>TEXT(A1795,"dddd")</f>
        <v>Friday</v>
      </c>
      <c r="N1795" s="35">
        <f>DATE(Table4[[#This Row],[year]],Table4[[#This Row],[month2]],Table4[[#This Row],[day]])</f>
        <v>45858</v>
      </c>
    </row>
    <row r="1796" spans="1:14" ht="16" x14ac:dyDescent="0.35">
      <c r="A1796" t="str">
        <f t="shared" si="56"/>
        <v>20</v>
      </c>
      <c r="B1796">
        <f>_xlfn.SWITCH(Table4[[#This Row],[month]],"jan",1,"feb",2,"mar",3,"apr",4,"may",5,"jun",6,"jul",7,"aug",8,"sep",9,"oct",10,"nov",11,"dec",12,"no month")</f>
        <v>7</v>
      </c>
      <c r="C1796" s="12" t="str">
        <f>LEFT('All Transactions'!$E1796,3)</f>
        <v>Jul</v>
      </c>
      <c r="D1796" s="12" t="str">
        <f t="shared" si="57"/>
        <v>2025</v>
      </c>
      <c r="E1796" s="16" t="s">
        <v>5534</v>
      </c>
      <c r="F1796" s="17" t="s">
        <v>2854</v>
      </c>
      <c r="G1796" s="27" t="s">
        <v>54</v>
      </c>
      <c r="H1796" s="19">
        <v>3</v>
      </c>
      <c r="I1796" s="20" t="s">
        <v>2883</v>
      </c>
      <c r="J1796" s="20" t="s">
        <v>5547</v>
      </c>
      <c r="K1796" s="21"/>
      <c r="L1796" s="20" t="s">
        <v>2885</v>
      </c>
      <c r="M1796" t="str">
        <f>TEXT(A1796,"dddd")</f>
        <v>Friday</v>
      </c>
      <c r="N1796" s="35">
        <f>DATE(Table4[[#This Row],[year]],Table4[[#This Row],[month2]],Table4[[#This Row],[day]])</f>
        <v>45858</v>
      </c>
    </row>
    <row r="1797" spans="1:14" ht="16" x14ac:dyDescent="0.35">
      <c r="A1797" t="str">
        <f t="shared" si="56"/>
        <v>20</v>
      </c>
      <c r="B1797">
        <f>_xlfn.SWITCH(Table4[[#This Row],[month]],"jan",1,"feb",2,"mar",3,"apr",4,"may",5,"jun",6,"jul",7,"aug",8,"sep",9,"oct",10,"nov",11,"dec",12,"no month")</f>
        <v>7</v>
      </c>
      <c r="C1797" s="12" t="str">
        <f>LEFT('All Transactions'!$E1797,3)</f>
        <v>Jul</v>
      </c>
      <c r="D1797" s="12" t="str">
        <f t="shared" si="57"/>
        <v>2025</v>
      </c>
      <c r="E1797" s="22" t="s">
        <v>5534</v>
      </c>
      <c r="F1797" s="23" t="s">
        <v>2854</v>
      </c>
      <c r="G1797" s="27" t="s">
        <v>54</v>
      </c>
      <c r="H1797" s="24">
        <v>5</v>
      </c>
      <c r="I1797" s="25" t="s">
        <v>2883</v>
      </c>
      <c r="J1797" s="25" t="s">
        <v>5548</v>
      </c>
      <c r="K1797" s="26"/>
      <c r="L1797" s="25" t="s">
        <v>2885</v>
      </c>
      <c r="M1797" t="str">
        <f>TEXT(A1797,"dddd")</f>
        <v>Friday</v>
      </c>
      <c r="N1797" s="35">
        <f>DATE(Table4[[#This Row],[year]],Table4[[#This Row],[month2]],Table4[[#This Row],[day]])</f>
        <v>45858</v>
      </c>
    </row>
    <row r="1798" spans="1:14" ht="16" x14ac:dyDescent="0.35">
      <c r="A1798" t="str">
        <f t="shared" si="56"/>
        <v>19</v>
      </c>
      <c r="B1798">
        <f>_xlfn.SWITCH(Table4[[#This Row],[month]],"jan",1,"feb",2,"mar",3,"apr",4,"may",5,"jun",6,"jul",7,"aug",8,"sep",9,"oct",10,"nov",11,"dec",12,"no month")</f>
        <v>7</v>
      </c>
      <c r="C1798" s="12" t="str">
        <f>LEFT('All Transactions'!$E1798,3)</f>
        <v>Jul</v>
      </c>
      <c r="D1798" s="12" t="str">
        <f t="shared" si="57"/>
        <v>2025</v>
      </c>
      <c r="E1798" s="16" t="s">
        <v>5549</v>
      </c>
      <c r="F1798" s="17" t="s">
        <v>995</v>
      </c>
      <c r="G1798" s="18" t="s">
        <v>28</v>
      </c>
      <c r="H1798" s="19">
        <v>566</v>
      </c>
      <c r="I1798" s="20" t="s">
        <v>5550</v>
      </c>
      <c r="J1798" s="20" t="s">
        <v>5551</v>
      </c>
      <c r="K1798" s="21" t="s">
        <v>5552</v>
      </c>
      <c r="L1798" s="20" t="s">
        <v>47</v>
      </c>
      <c r="M1798" t="str">
        <f>TEXT(A1798,"dddd")</f>
        <v>Thursday</v>
      </c>
      <c r="N1798" s="35">
        <f>DATE(Table4[[#This Row],[year]],Table4[[#This Row],[month2]],Table4[[#This Row],[day]])</f>
        <v>45857</v>
      </c>
    </row>
    <row r="1799" spans="1:14" ht="16" x14ac:dyDescent="0.35">
      <c r="A1799" t="str">
        <f t="shared" si="56"/>
        <v>19</v>
      </c>
      <c r="B1799">
        <f>_xlfn.SWITCH(Table4[[#This Row],[month]],"jan",1,"feb",2,"mar",3,"apr",4,"may",5,"jun",6,"jul",7,"aug",8,"sep",9,"oct",10,"nov",11,"dec",12,"no month")</f>
        <v>7</v>
      </c>
      <c r="C1799" s="12" t="str">
        <f>LEFT('All Transactions'!$E1799,3)</f>
        <v>Jul</v>
      </c>
      <c r="D1799" s="12" t="str">
        <f t="shared" si="57"/>
        <v>2025</v>
      </c>
      <c r="E1799" s="22" t="s">
        <v>5549</v>
      </c>
      <c r="F1799" s="23" t="s">
        <v>3552</v>
      </c>
      <c r="G1799" s="18" t="s">
        <v>28</v>
      </c>
      <c r="H1799" s="24">
        <v>600</v>
      </c>
      <c r="I1799" s="25" t="s">
        <v>13</v>
      </c>
      <c r="J1799" s="25" t="s">
        <v>5553</v>
      </c>
      <c r="K1799" s="26" t="s">
        <v>5554</v>
      </c>
      <c r="L1799" s="25" t="s">
        <v>47</v>
      </c>
      <c r="M1799" t="str">
        <f>TEXT(A1799,"dddd")</f>
        <v>Thursday</v>
      </c>
      <c r="N1799" s="35">
        <f>DATE(Table4[[#This Row],[year]],Table4[[#This Row],[month2]],Table4[[#This Row],[day]])</f>
        <v>45857</v>
      </c>
    </row>
    <row r="1800" spans="1:14" ht="16" x14ac:dyDescent="0.35">
      <c r="A1800" t="str">
        <f t="shared" si="56"/>
        <v>18</v>
      </c>
      <c r="B1800">
        <f>_xlfn.SWITCH(Table4[[#This Row],[month]],"jan",1,"feb",2,"mar",3,"apr",4,"may",5,"jun",6,"jul",7,"aug",8,"sep",9,"oct",10,"nov",11,"dec",12,"no month")</f>
        <v>7</v>
      </c>
      <c r="C1800" s="12" t="str">
        <f>LEFT('All Transactions'!$E1800,3)</f>
        <v>Jul</v>
      </c>
      <c r="D1800" s="12" t="str">
        <f t="shared" si="57"/>
        <v>2025</v>
      </c>
      <c r="E1800" s="16" t="s">
        <v>5555</v>
      </c>
      <c r="F1800" s="17" t="s">
        <v>903</v>
      </c>
      <c r="G1800" s="18" t="s">
        <v>28</v>
      </c>
      <c r="H1800" s="19">
        <v>1553</v>
      </c>
      <c r="I1800" s="20" t="s">
        <v>5556</v>
      </c>
      <c r="J1800" s="20" t="s">
        <v>5557</v>
      </c>
      <c r="K1800" s="21" t="s">
        <v>5558</v>
      </c>
      <c r="L1800" s="20" t="s">
        <v>1808</v>
      </c>
      <c r="M1800" t="str">
        <f>TEXT(A1800,"dddd")</f>
        <v>Wednesday</v>
      </c>
      <c r="N1800" s="35">
        <f>DATE(Table4[[#This Row],[year]],Table4[[#This Row],[month2]],Table4[[#This Row],[day]])</f>
        <v>45856</v>
      </c>
    </row>
    <row r="1801" spans="1:14" ht="16" x14ac:dyDescent="0.35">
      <c r="A1801" t="str">
        <f t="shared" si="56"/>
        <v>18</v>
      </c>
      <c r="B1801">
        <f>_xlfn.SWITCH(Table4[[#This Row],[month]],"jan",1,"feb",2,"mar",3,"apr",4,"may",5,"jun",6,"jul",7,"aug",8,"sep",9,"oct",10,"nov",11,"dec",12,"no month")</f>
        <v>7</v>
      </c>
      <c r="C1801" s="12" t="str">
        <f>LEFT('All Transactions'!$E1801,3)</f>
        <v>Jul</v>
      </c>
      <c r="D1801" s="12" t="str">
        <f t="shared" si="57"/>
        <v>2025</v>
      </c>
      <c r="E1801" s="22" t="s">
        <v>5555</v>
      </c>
      <c r="F1801" s="23" t="s">
        <v>5058</v>
      </c>
      <c r="G1801" s="18" t="s">
        <v>28</v>
      </c>
      <c r="H1801" s="24">
        <v>20</v>
      </c>
      <c r="I1801" s="25" t="s">
        <v>5559</v>
      </c>
      <c r="J1801" s="25" t="s">
        <v>5560</v>
      </c>
      <c r="K1801" s="26" t="s">
        <v>5561</v>
      </c>
      <c r="L1801" s="25" t="s">
        <v>1808</v>
      </c>
      <c r="M1801" t="str">
        <f>TEXT(A1801,"dddd")</f>
        <v>Wednesday</v>
      </c>
      <c r="N1801" s="35">
        <f>DATE(Table4[[#This Row],[year]],Table4[[#This Row],[month2]],Table4[[#This Row],[day]])</f>
        <v>45856</v>
      </c>
    </row>
    <row r="1802" spans="1:14" ht="16" x14ac:dyDescent="0.35">
      <c r="A1802" t="str">
        <f t="shared" si="56"/>
        <v>17</v>
      </c>
      <c r="B1802">
        <f>_xlfn.SWITCH(Table4[[#This Row],[month]],"jan",1,"feb",2,"mar",3,"apr",4,"may",5,"jun",6,"jul",7,"aug",8,"sep",9,"oct",10,"nov",11,"dec",12,"no month")</f>
        <v>7</v>
      </c>
      <c r="C1802" s="12" t="str">
        <f>LEFT('All Transactions'!$E1802,3)</f>
        <v>Jul</v>
      </c>
      <c r="D1802" s="12" t="str">
        <f t="shared" si="57"/>
        <v>2025</v>
      </c>
      <c r="E1802" s="16" t="s">
        <v>5562</v>
      </c>
      <c r="F1802" s="17" t="s">
        <v>155</v>
      </c>
      <c r="G1802" s="18" t="s">
        <v>28</v>
      </c>
      <c r="H1802" s="19">
        <v>263</v>
      </c>
      <c r="I1802" s="20" t="s">
        <v>5563</v>
      </c>
      <c r="J1802" s="20" t="s">
        <v>5564</v>
      </c>
      <c r="K1802" s="21" t="s">
        <v>5565</v>
      </c>
      <c r="L1802" s="20" t="s">
        <v>1808</v>
      </c>
      <c r="M1802" t="str">
        <f>TEXT(A1802,"dddd")</f>
        <v>Tuesday</v>
      </c>
      <c r="N1802" s="35">
        <f>DATE(Table4[[#This Row],[year]],Table4[[#This Row],[month2]],Table4[[#This Row],[day]])</f>
        <v>45855</v>
      </c>
    </row>
    <row r="1803" spans="1:14" ht="16" x14ac:dyDescent="0.35">
      <c r="A1803" t="str">
        <f t="shared" si="56"/>
        <v>17</v>
      </c>
      <c r="B1803">
        <f>_xlfn.SWITCH(Table4[[#This Row],[month]],"jan",1,"feb",2,"mar",3,"apr",4,"may",5,"jun",6,"jul",7,"aug",8,"sep",9,"oct",10,"nov",11,"dec",12,"no month")</f>
        <v>7</v>
      </c>
      <c r="C1803" s="12" t="str">
        <f>LEFT('All Transactions'!$E1803,3)</f>
        <v>Jul</v>
      </c>
      <c r="D1803" s="12" t="str">
        <f t="shared" si="57"/>
        <v>2025</v>
      </c>
      <c r="E1803" s="22" t="s">
        <v>5562</v>
      </c>
      <c r="F1803" s="23" t="s">
        <v>5419</v>
      </c>
      <c r="G1803" s="18" t="s">
        <v>28</v>
      </c>
      <c r="H1803" s="24">
        <v>969.71</v>
      </c>
      <c r="I1803" s="25" t="s">
        <v>5293</v>
      </c>
      <c r="J1803" s="25" t="s">
        <v>5566</v>
      </c>
      <c r="K1803" s="26" t="s">
        <v>5567</v>
      </c>
      <c r="L1803" s="25" t="s">
        <v>47</v>
      </c>
      <c r="M1803" t="str">
        <f>TEXT(A1803,"dddd")</f>
        <v>Tuesday</v>
      </c>
      <c r="N1803" s="35">
        <f>DATE(Table4[[#This Row],[year]],Table4[[#This Row],[month2]],Table4[[#This Row],[day]])</f>
        <v>45855</v>
      </c>
    </row>
    <row r="1804" spans="1:14" ht="16" x14ac:dyDescent="0.35">
      <c r="A1804" t="str">
        <f t="shared" si="56"/>
        <v>16</v>
      </c>
      <c r="B1804">
        <f>_xlfn.SWITCH(Table4[[#This Row],[month]],"jan",1,"feb",2,"mar",3,"apr",4,"may",5,"jun",6,"jul",7,"aug",8,"sep",9,"oct",10,"nov",11,"dec",12,"no month")</f>
        <v>7</v>
      </c>
      <c r="C1804" s="12" t="str">
        <f>LEFT('All Transactions'!$E1804,3)</f>
        <v>Jul</v>
      </c>
      <c r="D1804" s="12" t="str">
        <f t="shared" si="57"/>
        <v>2025</v>
      </c>
      <c r="E1804" s="16" t="s">
        <v>5568</v>
      </c>
      <c r="F1804" s="17" t="s">
        <v>975</v>
      </c>
      <c r="G1804" s="18" t="s">
        <v>28</v>
      </c>
      <c r="H1804" s="19">
        <v>222.8</v>
      </c>
      <c r="I1804" s="20" t="s">
        <v>536</v>
      </c>
      <c r="J1804" s="20" t="s">
        <v>5569</v>
      </c>
      <c r="K1804" s="21" t="s">
        <v>5570</v>
      </c>
      <c r="L1804" s="20" t="s">
        <v>1808</v>
      </c>
      <c r="M1804" t="str">
        <f>TEXT(A1804,"dddd")</f>
        <v>Monday</v>
      </c>
      <c r="N1804" s="35">
        <f>DATE(Table4[[#This Row],[year]],Table4[[#This Row],[month2]],Table4[[#This Row],[day]])</f>
        <v>45854</v>
      </c>
    </row>
    <row r="1805" spans="1:14" ht="16" x14ac:dyDescent="0.35">
      <c r="A1805" t="str">
        <f t="shared" si="56"/>
        <v>15</v>
      </c>
      <c r="B1805">
        <f>_xlfn.SWITCH(Table4[[#This Row],[month]],"jan",1,"feb",2,"mar",3,"apr",4,"may",5,"jun",6,"jul",7,"aug",8,"sep",9,"oct",10,"nov",11,"dec",12,"no month")</f>
        <v>7</v>
      </c>
      <c r="C1805" s="12" t="str">
        <f>LEFT('All Transactions'!$E1805,3)</f>
        <v>Jul</v>
      </c>
      <c r="D1805" s="12" t="str">
        <f t="shared" si="57"/>
        <v>2025</v>
      </c>
      <c r="E1805" s="22" t="s">
        <v>16</v>
      </c>
      <c r="F1805" s="23" t="s">
        <v>5571</v>
      </c>
      <c r="G1805" s="18" t="s">
        <v>28</v>
      </c>
      <c r="H1805" s="24">
        <v>30</v>
      </c>
      <c r="I1805" s="25" t="s">
        <v>5572</v>
      </c>
      <c r="J1805" s="25" t="s">
        <v>5573</v>
      </c>
      <c r="K1805" s="26" t="s">
        <v>5574</v>
      </c>
      <c r="L1805" s="25" t="s">
        <v>1808</v>
      </c>
      <c r="M1805" t="str">
        <f>TEXT(A1805,"dddd")</f>
        <v>Sunday</v>
      </c>
      <c r="N1805" s="35">
        <f>DATE(Table4[[#This Row],[year]],Table4[[#This Row],[month2]],Table4[[#This Row],[day]])</f>
        <v>45853</v>
      </c>
    </row>
    <row r="1806" spans="1:14" ht="16" x14ac:dyDescent="0.35">
      <c r="A1806" t="str">
        <f t="shared" si="56"/>
        <v>15</v>
      </c>
      <c r="B1806">
        <f>_xlfn.SWITCH(Table4[[#This Row],[month]],"jan",1,"feb",2,"mar",3,"apr",4,"may",5,"jun",6,"jul",7,"aug",8,"sep",9,"oct",10,"nov",11,"dec",12,"no month")</f>
        <v>7</v>
      </c>
      <c r="C1806" s="12" t="str">
        <f>LEFT('All Transactions'!$E1806,3)</f>
        <v>Jul</v>
      </c>
      <c r="D1806" s="12" t="str">
        <f t="shared" si="57"/>
        <v>2025</v>
      </c>
      <c r="E1806" s="16" t="s">
        <v>16</v>
      </c>
      <c r="F1806" s="17" t="s">
        <v>4933</v>
      </c>
      <c r="G1806" s="18" t="s">
        <v>28</v>
      </c>
      <c r="H1806" s="19">
        <v>1196.71</v>
      </c>
      <c r="I1806" s="20" t="s">
        <v>5293</v>
      </c>
      <c r="J1806" s="20" t="s">
        <v>5575</v>
      </c>
      <c r="K1806" s="21" t="s">
        <v>5576</v>
      </c>
      <c r="L1806" s="20" t="s">
        <v>1808</v>
      </c>
      <c r="M1806" t="str">
        <f>TEXT(A1806,"dddd")</f>
        <v>Sunday</v>
      </c>
      <c r="N1806" s="35">
        <f>DATE(Table4[[#This Row],[year]],Table4[[#This Row],[month2]],Table4[[#This Row],[day]])</f>
        <v>45853</v>
      </c>
    </row>
    <row r="1807" spans="1:14" ht="16" x14ac:dyDescent="0.35">
      <c r="A1807" t="str">
        <f t="shared" si="56"/>
        <v>15</v>
      </c>
      <c r="B1807">
        <f>_xlfn.SWITCH(Table4[[#This Row],[month]],"jan",1,"feb",2,"mar",3,"apr",4,"may",5,"jun",6,"jul",7,"aug",8,"sep",9,"oct",10,"nov",11,"dec",12,"no month")</f>
        <v>7</v>
      </c>
      <c r="C1807" s="12" t="str">
        <f>LEFT('All Transactions'!$E1807,3)</f>
        <v>Jul</v>
      </c>
      <c r="D1807" s="12" t="str">
        <f t="shared" si="57"/>
        <v>2025</v>
      </c>
      <c r="E1807" s="22" t="s">
        <v>16</v>
      </c>
      <c r="F1807" s="23" t="s">
        <v>4699</v>
      </c>
      <c r="G1807" s="18" t="s">
        <v>28</v>
      </c>
      <c r="H1807" s="24">
        <v>25000</v>
      </c>
      <c r="I1807" s="25" t="s">
        <v>10</v>
      </c>
      <c r="J1807" s="25" t="s">
        <v>5577</v>
      </c>
      <c r="K1807" s="26" t="s">
        <v>5578</v>
      </c>
      <c r="L1807" s="25" t="s">
        <v>1808</v>
      </c>
      <c r="M1807" t="str">
        <f>TEXT(A1807,"dddd")</f>
        <v>Sunday</v>
      </c>
      <c r="N1807" s="35">
        <f>DATE(Table4[[#This Row],[year]],Table4[[#This Row],[month2]],Table4[[#This Row],[day]])</f>
        <v>45853</v>
      </c>
    </row>
    <row r="1808" spans="1:14" ht="16" x14ac:dyDescent="0.35">
      <c r="A1808" t="str">
        <f t="shared" si="56"/>
        <v>15</v>
      </c>
      <c r="B1808">
        <f>_xlfn.SWITCH(Table4[[#This Row],[month]],"jan",1,"feb",2,"mar",3,"apr",4,"may",5,"jun",6,"jul",7,"aug",8,"sep",9,"oct",10,"nov",11,"dec",12,"no month")</f>
        <v>7</v>
      </c>
      <c r="C1808" s="12" t="str">
        <f>LEFT('All Transactions'!$E1808,3)</f>
        <v>Jul</v>
      </c>
      <c r="D1808" s="12" t="str">
        <f t="shared" si="57"/>
        <v>2025</v>
      </c>
      <c r="E1808" s="16" t="s">
        <v>16</v>
      </c>
      <c r="F1808" s="17" t="s">
        <v>5579</v>
      </c>
      <c r="G1808" s="27" t="s">
        <v>54</v>
      </c>
      <c r="H1808" s="19">
        <v>30000</v>
      </c>
      <c r="I1808" s="20" t="s">
        <v>5458</v>
      </c>
      <c r="J1808" s="20" t="s">
        <v>5580</v>
      </c>
      <c r="K1808" s="21" t="s">
        <v>5581</v>
      </c>
      <c r="L1808" s="20" t="s">
        <v>2330</v>
      </c>
      <c r="M1808" t="str">
        <f>TEXT(A1808,"dddd")</f>
        <v>Sunday</v>
      </c>
      <c r="N1808" s="35">
        <f>DATE(Table4[[#This Row],[year]],Table4[[#This Row],[month2]],Table4[[#This Row],[day]])</f>
        <v>45853</v>
      </c>
    </row>
    <row r="1809" spans="1:14" ht="16" x14ac:dyDescent="0.35">
      <c r="A1809" t="str">
        <f t="shared" si="56"/>
        <v>13</v>
      </c>
      <c r="B1809">
        <f>_xlfn.SWITCH(Table4[[#This Row],[month]],"jan",1,"feb",2,"mar",3,"apr",4,"may",5,"jun",6,"jul",7,"aug",8,"sep",9,"oct",10,"nov",11,"dec",12,"no month")</f>
        <v>7</v>
      </c>
      <c r="C1809" s="12" t="str">
        <f>LEFT('All Transactions'!$E1809,3)</f>
        <v>Jul</v>
      </c>
      <c r="D1809" s="12" t="str">
        <f t="shared" si="57"/>
        <v>2025</v>
      </c>
      <c r="E1809" s="22" t="s">
        <v>5582</v>
      </c>
      <c r="F1809" s="23" t="s">
        <v>1070</v>
      </c>
      <c r="G1809" s="18" t="s">
        <v>28</v>
      </c>
      <c r="H1809" s="24">
        <v>52</v>
      </c>
      <c r="I1809" s="25" t="s">
        <v>5583</v>
      </c>
      <c r="J1809" s="25" t="s">
        <v>5584</v>
      </c>
      <c r="K1809" s="26" t="s">
        <v>5585</v>
      </c>
      <c r="L1809" s="25" t="s">
        <v>47</v>
      </c>
      <c r="M1809" t="str">
        <f>TEXT(A1809,"dddd")</f>
        <v>Friday</v>
      </c>
      <c r="N1809" s="35">
        <f>DATE(Table4[[#This Row],[year]],Table4[[#This Row],[month2]],Table4[[#This Row],[day]])</f>
        <v>45851</v>
      </c>
    </row>
    <row r="1810" spans="1:14" ht="16" x14ac:dyDescent="0.35">
      <c r="A1810" t="str">
        <f t="shared" si="56"/>
        <v>13</v>
      </c>
      <c r="B1810">
        <f>_xlfn.SWITCH(Table4[[#This Row],[month]],"jan",1,"feb",2,"mar",3,"apr",4,"may",5,"jun",6,"jul",7,"aug",8,"sep",9,"oct",10,"nov",11,"dec",12,"no month")</f>
        <v>7</v>
      </c>
      <c r="C1810" s="12" t="str">
        <f>LEFT('All Transactions'!$E1810,3)</f>
        <v>Jul</v>
      </c>
      <c r="D1810" s="12" t="str">
        <f t="shared" si="57"/>
        <v>2025</v>
      </c>
      <c r="E1810" s="16" t="s">
        <v>5582</v>
      </c>
      <c r="F1810" s="17" t="s">
        <v>5586</v>
      </c>
      <c r="G1810" s="27" t="s">
        <v>54</v>
      </c>
      <c r="H1810" s="19">
        <v>200</v>
      </c>
      <c r="I1810" s="20" t="s">
        <v>2352</v>
      </c>
      <c r="J1810" s="20" t="s">
        <v>5587</v>
      </c>
      <c r="K1810" s="21" t="s">
        <v>5588</v>
      </c>
      <c r="L1810" s="20" t="s">
        <v>2330</v>
      </c>
      <c r="M1810" t="str">
        <f>TEXT(A1810,"dddd")</f>
        <v>Friday</v>
      </c>
      <c r="N1810" s="35">
        <f>DATE(Table4[[#This Row],[year]],Table4[[#This Row],[month2]],Table4[[#This Row],[day]])</f>
        <v>45851</v>
      </c>
    </row>
    <row r="1811" spans="1:14" ht="16" x14ac:dyDescent="0.35">
      <c r="A1811" t="str">
        <f t="shared" si="56"/>
        <v>12</v>
      </c>
      <c r="B1811">
        <f>_xlfn.SWITCH(Table4[[#This Row],[month]],"jan",1,"feb",2,"mar",3,"apr",4,"may",5,"jun",6,"jul",7,"aug",8,"sep",9,"oct",10,"nov",11,"dec",12,"no month")</f>
        <v>7</v>
      </c>
      <c r="C1811" s="12" t="str">
        <f>LEFT('All Transactions'!$E1811,3)</f>
        <v>Jul</v>
      </c>
      <c r="D1811" s="12" t="str">
        <f t="shared" si="57"/>
        <v>2025</v>
      </c>
      <c r="E1811" s="22" t="s">
        <v>5589</v>
      </c>
      <c r="F1811" s="23" t="s">
        <v>5590</v>
      </c>
      <c r="G1811" s="18" t="s">
        <v>28</v>
      </c>
      <c r="H1811" s="24">
        <v>5</v>
      </c>
      <c r="I1811" s="25" t="s">
        <v>2033</v>
      </c>
      <c r="J1811" s="25" t="s">
        <v>5591</v>
      </c>
      <c r="K1811" s="26" t="s">
        <v>5592</v>
      </c>
      <c r="L1811" s="25" t="s">
        <v>1808</v>
      </c>
      <c r="M1811" t="str">
        <f>TEXT(A1811,"dddd")</f>
        <v>Thursday</v>
      </c>
      <c r="N1811" s="35">
        <f>DATE(Table4[[#This Row],[year]],Table4[[#This Row],[month2]],Table4[[#This Row],[day]])</f>
        <v>45850</v>
      </c>
    </row>
    <row r="1812" spans="1:14" ht="16" x14ac:dyDescent="0.35">
      <c r="A1812" t="str">
        <f t="shared" si="56"/>
        <v>12</v>
      </c>
      <c r="B1812">
        <f>_xlfn.SWITCH(Table4[[#This Row],[month]],"jan",1,"feb",2,"mar",3,"apr",4,"may",5,"jun",6,"jul",7,"aug",8,"sep",9,"oct",10,"nov",11,"dec",12,"no month")</f>
        <v>7</v>
      </c>
      <c r="C1812" s="12" t="str">
        <f>LEFT('All Transactions'!$E1812,3)</f>
        <v>Jul</v>
      </c>
      <c r="D1812" s="12" t="str">
        <f t="shared" si="57"/>
        <v>2025</v>
      </c>
      <c r="E1812" s="16" t="s">
        <v>5589</v>
      </c>
      <c r="F1812" s="17" t="s">
        <v>1109</v>
      </c>
      <c r="G1812" s="18" t="s">
        <v>28</v>
      </c>
      <c r="H1812" s="19">
        <v>150</v>
      </c>
      <c r="I1812" s="20" t="s">
        <v>5593</v>
      </c>
      <c r="J1812" s="20" t="s">
        <v>5594</v>
      </c>
      <c r="K1812" s="21" t="s">
        <v>5595</v>
      </c>
      <c r="L1812" s="20" t="s">
        <v>47</v>
      </c>
      <c r="M1812" t="str">
        <f>TEXT(A1812,"dddd")</f>
        <v>Thursday</v>
      </c>
      <c r="N1812" s="35">
        <f>DATE(Table4[[#This Row],[year]],Table4[[#This Row],[month2]],Table4[[#This Row],[day]])</f>
        <v>45850</v>
      </c>
    </row>
    <row r="1813" spans="1:14" ht="16" x14ac:dyDescent="0.35">
      <c r="A1813" t="str">
        <f t="shared" si="56"/>
        <v>11</v>
      </c>
      <c r="B1813">
        <f>_xlfn.SWITCH(Table4[[#This Row],[month]],"jan",1,"feb",2,"mar",3,"apr",4,"may",5,"jun",6,"jul",7,"aug",8,"sep",9,"oct",10,"nov",11,"dec",12,"no month")</f>
        <v>7</v>
      </c>
      <c r="C1813" s="12" t="str">
        <f>LEFT('All Transactions'!$E1813,3)</f>
        <v>Jul</v>
      </c>
      <c r="D1813" s="12" t="str">
        <f t="shared" si="57"/>
        <v>2025</v>
      </c>
      <c r="E1813" s="22" t="s">
        <v>5596</v>
      </c>
      <c r="F1813" s="23" t="s">
        <v>5597</v>
      </c>
      <c r="G1813" s="18" t="s">
        <v>28</v>
      </c>
      <c r="H1813" s="24">
        <v>100</v>
      </c>
      <c r="I1813" s="25" t="s">
        <v>3983</v>
      </c>
      <c r="J1813" s="25" t="s">
        <v>5598</v>
      </c>
      <c r="K1813" s="26" t="s">
        <v>5599</v>
      </c>
      <c r="L1813" s="25" t="s">
        <v>47</v>
      </c>
      <c r="M1813" t="str">
        <f>TEXT(A1813,"dddd")</f>
        <v>Wednesday</v>
      </c>
      <c r="N1813" s="35">
        <f>DATE(Table4[[#This Row],[year]],Table4[[#This Row],[month2]],Table4[[#This Row],[day]])</f>
        <v>45849</v>
      </c>
    </row>
    <row r="1814" spans="1:14" ht="16" x14ac:dyDescent="0.35">
      <c r="A1814" t="str">
        <f t="shared" si="56"/>
        <v>11</v>
      </c>
      <c r="B1814">
        <f>_xlfn.SWITCH(Table4[[#This Row],[month]],"jan",1,"feb",2,"mar",3,"apr",4,"may",5,"jun",6,"jul",7,"aug",8,"sep",9,"oct",10,"nov",11,"dec",12,"no month")</f>
        <v>7</v>
      </c>
      <c r="C1814" s="12" t="str">
        <f>LEFT('All Transactions'!$E1814,3)</f>
        <v>Jul</v>
      </c>
      <c r="D1814" s="12" t="str">
        <f t="shared" si="57"/>
        <v>2025</v>
      </c>
      <c r="E1814" s="16" t="s">
        <v>5596</v>
      </c>
      <c r="F1814" s="17" t="s">
        <v>5600</v>
      </c>
      <c r="G1814" s="18" t="s">
        <v>28</v>
      </c>
      <c r="H1814" s="19">
        <v>100</v>
      </c>
      <c r="I1814" s="20" t="s">
        <v>5601</v>
      </c>
      <c r="J1814" s="20" t="s">
        <v>5602</v>
      </c>
      <c r="K1814" s="21" t="s">
        <v>5603</v>
      </c>
      <c r="L1814" s="20" t="s">
        <v>47</v>
      </c>
      <c r="M1814" t="str">
        <f>TEXT(A1814,"dddd")</f>
        <v>Wednesday</v>
      </c>
      <c r="N1814" s="35">
        <f>DATE(Table4[[#This Row],[year]],Table4[[#This Row],[month2]],Table4[[#This Row],[day]])</f>
        <v>45849</v>
      </c>
    </row>
    <row r="1815" spans="1:14" ht="16" x14ac:dyDescent="0.35">
      <c r="A1815" t="str">
        <f t="shared" si="56"/>
        <v>10</v>
      </c>
      <c r="B1815">
        <f>_xlfn.SWITCH(Table4[[#This Row],[month]],"jan",1,"feb",2,"mar",3,"apr",4,"may",5,"jun",6,"jul",7,"aug",8,"sep",9,"oct",10,"nov",11,"dec",12,"no month")</f>
        <v>7</v>
      </c>
      <c r="C1815" s="12" t="str">
        <f>LEFT('All Transactions'!$E1815,3)</f>
        <v>Jul</v>
      </c>
      <c r="D1815" s="12" t="str">
        <f t="shared" si="57"/>
        <v>2025</v>
      </c>
      <c r="E1815" s="22" t="s">
        <v>5604</v>
      </c>
      <c r="F1815" s="23" t="s">
        <v>5605</v>
      </c>
      <c r="G1815" s="18" t="s">
        <v>28</v>
      </c>
      <c r="H1815" s="24">
        <v>80</v>
      </c>
      <c r="I1815" s="25" t="s">
        <v>5606</v>
      </c>
      <c r="J1815" s="25" t="s">
        <v>5607</v>
      </c>
      <c r="K1815" s="26" t="s">
        <v>5608</v>
      </c>
      <c r="L1815" s="25" t="s">
        <v>47</v>
      </c>
      <c r="M1815" t="str">
        <f>TEXT(A1815,"dddd")</f>
        <v>Tuesday</v>
      </c>
      <c r="N1815" s="35">
        <f>DATE(Table4[[#This Row],[year]],Table4[[#This Row],[month2]],Table4[[#This Row],[day]])</f>
        <v>45848</v>
      </c>
    </row>
    <row r="1816" spans="1:14" ht="16" x14ac:dyDescent="0.35">
      <c r="A1816" t="str">
        <f t="shared" si="56"/>
        <v>09</v>
      </c>
      <c r="B1816">
        <f>_xlfn.SWITCH(Table4[[#This Row],[month]],"jan",1,"feb",2,"mar",3,"apr",4,"may",5,"jun",6,"jul",7,"aug",8,"sep",9,"oct",10,"nov",11,"dec",12,"no month")</f>
        <v>7</v>
      </c>
      <c r="C1816" s="12" t="str">
        <f>LEFT('All Transactions'!$E1816,3)</f>
        <v>Jul</v>
      </c>
      <c r="D1816" s="12" t="str">
        <f t="shared" si="57"/>
        <v>2025</v>
      </c>
      <c r="E1816" s="16" t="s">
        <v>5609</v>
      </c>
      <c r="F1816" s="17" t="s">
        <v>437</v>
      </c>
      <c r="G1816" s="18" t="s">
        <v>28</v>
      </c>
      <c r="H1816" s="19">
        <v>2617</v>
      </c>
      <c r="I1816" s="20" t="s">
        <v>5610</v>
      </c>
      <c r="J1816" s="20" t="s">
        <v>5611</v>
      </c>
      <c r="K1816" s="21" t="s">
        <v>5612</v>
      </c>
      <c r="L1816" s="20" t="s">
        <v>1808</v>
      </c>
      <c r="M1816" t="str">
        <f>TEXT(A1816,"dddd")</f>
        <v>Monday</v>
      </c>
      <c r="N1816" s="35">
        <f>DATE(Table4[[#This Row],[year]],Table4[[#This Row],[month2]],Table4[[#This Row],[day]])</f>
        <v>45847</v>
      </c>
    </row>
    <row r="1817" spans="1:14" ht="16" x14ac:dyDescent="0.35">
      <c r="A1817" t="str">
        <f t="shared" si="56"/>
        <v>09</v>
      </c>
      <c r="B1817">
        <f>_xlfn.SWITCH(Table4[[#This Row],[month]],"jan",1,"feb",2,"mar",3,"apr",4,"may",5,"jun",6,"jul",7,"aug",8,"sep",9,"oct",10,"nov",11,"dec",12,"no month")</f>
        <v>7</v>
      </c>
      <c r="C1817" s="12" t="str">
        <f>LEFT('All Transactions'!$E1817,3)</f>
        <v>Jul</v>
      </c>
      <c r="D1817" s="12" t="str">
        <f t="shared" si="57"/>
        <v>2025</v>
      </c>
      <c r="E1817" s="22" t="s">
        <v>5609</v>
      </c>
      <c r="F1817" s="23" t="s">
        <v>1875</v>
      </c>
      <c r="G1817" s="27" t="s">
        <v>54</v>
      </c>
      <c r="H1817" s="24">
        <v>2617</v>
      </c>
      <c r="I1817" s="25" t="s">
        <v>1642</v>
      </c>
      <c r="J1817" s="25" t="s">
        <v>5613</v>
      </c>
      <c r="K1817" s="26" t="s">
        <v>5614</v>
      </c>
      <c r="L1817" s="25" t="s">
        <v>2330</v>
      </c>
      <c r="M1817" t="str">
        <f>TEXT(A1817,"dddd")</f>
        <v>Monday</v>
      </c>
      <c r="N1817" s="35">
        <f>DATE(Table4[[#This Row],[year]],Table4[[#This Row],[month2]],Table4[[#This Row],[day]])</f>
        <v>45847</v>
      </c>
    </row>
    <row r="1818" spans="1:14" ht="16" x14ac:dyDescent="0.35">
      <c r="A1818" t="str">
        <f t="shared" si="56"/>
        <v>09</v>
      </c>
      <c r="B1818">
        <f>_xlfn.SWITCH(Table4[[#This Row],[month]],"jan",1,"feb",2,"mar",3,"apr",4,"may",5,"jun",6,"jul",7,"aug",8,"sep",9,"oct",10,"nov",11,"dec",12,"no month")</f>
        <v>7</v>
      </c>
      <c r="C1818" s="12" t="str">
        <f>LEFT('All Transactions'!$E1818,3)</f>
        <v>Jul</v>
      </c>
      <c r="D1818" s="12" t="str">
        <f t="shared" si="57"/>
        <v>2025</v>
      </c>
      <c r="E1818" s="16" t="s">
        <v>5609</v>
      </c>
      <c r="F1818" s="17" t="s">
        <v>5615</v>
      </c>
      <c r="G1818" s="18" t="s">
        <v>28</v>
      </c>
      <c r="H1818" s="19">
        <v>10</v>
      </c>
      <c r="I1818" s="20" t="s">
        <v>5616</v>
      </c>
      <c r="J1818" s="20" t="s">
        <v>5617</v>
      </c>
      <c r="K1818" s="21" t="s">
        <v>5618</v>
      </c>
      <c r="L1818" s="20" t="s">
        <v>47</v>
      </c>
      <c r="M1818" t="str">
        <f>TEXT(A1818,"dddd")</f>
        <v>Monday</v>
      </c>
      <c r="N1818" s="35">
        <f>DATE(Table4[[#This Row],[year]],Table4[[#This Row],[month2]],Table4[[#This Row],[day]])</f>
        <v>45847</v>
      </c>
    </row>
    <row r="1819" spans="1:14" ht="16" x14ac:dyDescent="0.35">
      <c r="A1819" t="str">
        <f t="shared" si="56"/>
        <v>09</v>
      </c>
      <c r="B1819">
        <f>_xlfn.SWITCH(Table4[[#This Row],[month]],"jan",1,"feb",2,"mar",3,"apr",4,"may",5,"jun",6,"jul",7,"aug",8,"sep",9,"oct",10,"nov",11,"dec",12,"no month")</f>
        <v>7</v>
      </c>
      <c r="C1819" s="12" t="str">
        <f>LEFT('All Transactions'!$E1819,3)</f>
        <v>Jul</v>
      </c>
      <c r="D1819" s="12" t="str">
        <f t="shared" si="57"/>
        <v>2025</v>
      </c>
      <c r="E1819" s="22" t="s">
        <v>5609</v>
      </c>
      <c r="F1819" s="23" t="s">
        <v>1940</v>
      </c>
      <c r="G1819" s="18" t="s">
        <v>28</v>
      </c>
      <c r="H1819" s="24">
        <v>29</v>
      </c>
      <c r="I1819" s="25" t="s">
        <v>5619</v>
      </c>
      <c r="J1819" s="25" t="s">
        <v>5620</v>
      </c>
      <c r="K1819" s="26" t="s">
        <v>5621</v>
      </c>
      <c r="L1819" s="25" t="s">
        <v>1808</v>
      </c>
      <c r="M1819" t="str">
        <f>TEXT(A1819,"dddd")</f>
        <v>Monday</v>
      </c>
      <c r="N1819" s="35">
        <f>DATE(Table4[[#This Row],[year]],Table4[[#This Row],[month2]],Table4[[#This Row],[day]])</f>
        <v>45847</v>
      </c>
    </row>
    <row r="1820" spans="1:14" ht="16" x14ac:dyDescent="0.35">
      <c r="A1820" t="str">
        <f t="shared" si="56"/>
        <v>08</v>
      </c>
      <c r="B1820">
        <f>_xlfn.SWITCH(Table4[[#This Row],[month]],"jan",1,"feb",2,"mar",3,"apr",4,"may",5,"jun",6,"jul",7,"aug",8,"sep",9,"oct",10,"nov",11,"dec",12,"no month")</f>
        <v>7</v>
      </c>
      <c r="C1820" s="12" t="str">
        <f>LEFT('All Transactions'!$E1820,3)</f>
        <v>Jul</v>
      </c>
      <c r="D1820" s="12" t="str">
        <f t="shared" si="57"/>
        <v>2025</v>
      </c>
      <c r="E1820" s="16" t="s">
        <v>5622</v>
      </c>
      <c r="F1820" s="17" t="s">
        <v>1947</v>
      </c>
      <c r="G1820" s="18" t="s">
        <v>28</v>
      </c>
      <c r="H1820" s="19">
        <v>49</v>
      </c>
      <c r="I1820" s="20" t="s">
        <v>5623</v>
      </c>
      <c r="J1820" s="20" t="s">
        <v>5624</v>
      </c>
      <c r="K1820" s="21" t="s">
        <v>5625</v>
      </c>
      <c r="L1820" s="20" t="s">
        <v>1808</v>
      </c>
      <c r="M1820" t="str">
        <f>TEXT(A1820,"dddd")</f>
        <v>Sunday</v>
      </c>
      <c r="N1820" s="35">
        <f>DATE(Table4[[#This Row],[year]],Table4[[#This Row],[month2]],Table4[[#This Row],[day]])</f>
        <v>45846</v>
      </c>
    </row>
    <row r="1821" spans="1:14" ht="16" x14ac:dyDescent="0.35">
      <c r="A1821" t="str">
        <f t="shared" si="56"/>
        <v>07</v>
      </c>
      <c r="B1821">
        <f>_xlfn.SWITCH(Table4[[#This Row],[month]],"jan",1,"feb",2,"mar",3,"apr",4,"may",5,"jun",6,"jul",7,"aug",8,"sep",9,"oct",10,"nov",11,"dec",12,"no month")</f>
        <v>7</v>
      </c>
      <c r="C1821" s="12" t="str">
        <f>LEFT('All Transactions'!$E1821,3)</f>
        <v>Jul</v>
      </c>
      <c r="D1821" s="12" t="str">
        <f t="shared" si="57"/>
        <v>2025</v>
      </c>
      <c r="E1821" s="22" t="s">
        <v>5626</v>
      </c>
      <c r="F1821" s="23" t="s">
        <v>1189</v>
      </c>
      <c r="G1821" s="18" t="s">
        <v>28</v>
      </c>
      <c r="H1821" s="24">
        <v>52</v>
      </c>
      <c r="I1821" s="25" t="s">
        <v>5627</v>
      </c>
      <c r="J1821" s="25" t="s">
        <v>5628</v>
      </c>
      <c r="K1821" s="26" t="s">
        <v>5629</v>
      </c>
      <c r="L1821" s="25" t="s">
        <v>1808</v>
      </c>
      <c r="M1821" t="str">
        <f>TEXT(A1821,"dddd")</f>
        <v>Saturday</v>
      </c>
      <c r="N1821" s="35">
        <f>DATE(Table4[[#This Row],[year]],Table4[[#This Row],[month2]],Table4[[#This Row],[day]])</f>
        <v>45845</v>
      </c>
    </row>
    <row r="1822" spans="1:14" ht="16" x14ac:dyDescent="0.35">
      <c r="A1822" t="str">
        <f t="shared" si="56"/>
        <v>07</v>
      </c>
      <c r="B1822">
        <f>_xlfn.SWITCH(Table4[[#This Row],[month]],"jan",1,"feb",2,"mar",3,"apr",4,"may",5,"jun",6,"jul",7,"aug",8,"sep",9,"oct",10,"nov",11,"dec",12,"no month")</f>
        <v>7</v>
      </c>
      <c r="C1822" s="12" t="str">
        <f>LEFT('All Transactions'!$E1822,3)</f>
        <v>Jul</v>
      </c>
      <c r="D1822" s="12" t="str">
        <f t="shared" si="57"/>
        <v>2025</v>
      </c>
      <c r="E1822" s="16" t="s">
        <v>5626</v>
      </c>
      <c r="F1822" s="17" t="s">
        <v>69</v>
      </c>
      <c r="G1822" s="18" t="s">
        <v>28</v>
      </c>
      <c r="H1822" s="19">
        <v>190</v>
      </c>
      <c r="I1822" s="20" t="s">
        <v>5630</v>
      </c>
      <c r="J1822" s="20" t="s">
        <v>5631</v>
      </c>
      <c r="K1822" s="21" t="s">
        <v>5632</v>
      </c>
      <c r="L1822" s="20" t="s">
        <v>47</v>
      </c>
      <c r="M1822" t="str">
        <f>TEXT(A1822,"dddd")</f>
        <v>Saturday</v>
      </c>
      <c r="N1822" s="35">
        <f>DATE(Table4[[#This Row],[year]],Table4[[#This Row],[month2]],Table4[[#This Row],[day]])</f>
        <v>45845</v>
      </c>
    </row>
    <row r="1823" spans="1:14" ht="16" x14ac:dyDescent="0.35">
      <c r="A1823" t="str">
        <f t="shared" si="56"/>
        <v>06</v>
      </c>
      <c r="B1823">
        <f>_xlfn.SWITCH(Table4[[#This Row],[month]],"jan",1,"feb",2,"mar",3,"apr",4,"may",5,"jun",6,"jul",7,"aug",8,"sep",9,"oct",10,"nov",11,"dec",12,"no month")</f>
        <v>7</v>
      </c>
      <c r="C1823" s="12" t="str">
        <f>LEFT('All Transactions'!$E1823,3)</f>
        <v>Jul</v>
      </c>
      <c r="D1823" s="12" t="str">
        <f t="shared" si="57"/>
        <v>2025</v>
      </c>
      <c r="E1823" s="22" t="s">
        <v>5633</v>
      </c>
      <c r="F1823" s="23" t="s">
        <v>2100</v>
      </c>
      <c r="G1823" s="18" t="s">
        <v>28</v>
      </c>
      <c r="H1823" s="24">
        <v>200</v>
      </c>
      <c r="I1823" s="25" t="s">
        <v>4973</v>
      </c>
      <c r="J1823" s="25" t="s">
        <v>5634</v>
      </c>
      <c r="K1823" s="26" t="s">
        <v>5635</v>
      </c>
      <c r="L1823" s="25" t="s">
        <v>1808</v>
      </c>
      <c r="M1823" t="str">
        <f>TEXT(A1823,"dddd")</f>
        <v>Friday</v>
      </c>
      <c r="N1823" s="35">
        <f>DATE(Table4[[#This Row],[year]],Table4[[#This Row],[month2]],Table4[[#This Row],[day]])</f>
        <v>45844</v>
      </c>
    </row>
    <row r="1824" spans="1:14" ht="16" x14ac:dyDescent="0.35">
      <c r="A1824" t="str">
        <f t="shared" si="56"/>
        <v>06</v>
      </c>
      <c r="B1824">
        <f>_xlfn.SWITCH(Table4[[#This Row],[month]],"jan",1,"feb",2,"mar",3,"apr",4,"may",5,"jun",6,"jul",7,"aug",8,"sep",9,"oct",10,"nov",11,"dec",12,"no month")</f>
        <v>7</v>
      </c>
      <c r="C1824" s="12" t="str">
        <f>LEFT('All Transactions'!$E1824,3)</f>
        <v>Jul</v>
      </c>
      <c r="D1824" s="12" t="str">
        <f t="shared" si="57"/>
        <v>2025</v>
      </c>
      <c r="E1824" s="16" t="s">
        <v>5633</v>
      </c>
      <c r="F1824" s="17" t="s">
        <v>620</v>
      </c>
      <c r="G1824" s="27" t="s">
        <v>54</v>
      </c>
      <c r="H1824" s="19">
        <v>100</v>
      </c>
      <c r="I1824" s="20" t="s">
        <v>1586</v>
      </c>
      <c r="J1824" s="20" t="s">
        <v>5636</v>
      </c>
      <c r="K1824" s="21" t="s">
        <v>5637</v>
      </c>
      <c r="L1824" s="20" t="s">
        <v>2330</v>
      </c>
      <c r="M1824" t="str">
        <f>TEXT(A1824,"dddd")</f>
        <v>Friday</v>
      </c>
      <c r="N1824" s="35">
        <f>DATE(Table4[[#This Row],[year]],Table4[[#This Row],[month2]],Table4[[#This Row],[day]])</f>
        <v>45844</v>
      </c>
    </row>
    <row r="1825" spans="1:14" ht="16" x14ac:dyDescent="0.35">
      <c r="A1825" t="str">
        <f t="shared" si="56"/>
        <v>06</v>
      </c>
      <c r="B1825">
        <f>_xlfn.SWITCH(Table4[[#This Row],[month]],"jan",1,"feb",2,"mar",3,"apr",4,"may",5,"jun",6,"jul",7,"aug",8,"sep",9,"oct",10,"nov",11,"dec",12,"no month")</f>
        <v>7</v>
      </c>
      <c r="C1825" s="12" t="str">
        <f>LEFT('All Transactions'!$E1825,3)</f>
        <v>Jul</v>
      </c>
      <c r="D1825" s="12" t="str">
        <f t="shared" si="57"/>
        <v>2025</v>
      </c>
      <c r="E1825" s="22" t="s">
        <v>5633</v>
      </c>
      <c r="F1825" s="23" t="s">
        <v>5638</v>
      </c>
      <c r="G1825" s="18" t="s">
        <v>28</v>
      </c>
      <c r="H1825" s="24">
        <v>50</v>
      </c>
      <c r="I1825" s="25" t="s">
        <v>4973</v>
      </c>
      <c r="J1825" s="25" t="s">
        <v>5639</v>
      </c>
      <c r="K1825" s="26" t="s">
        <v>5640</v>
      </c>
      <c r="L1825" s="25" t="s">
        <v>1808</v>
      </c>
      <c r="M1825" t="str">
        <f>TEXT(A1825,"dddd")</f>
        <v>Friday</v>
      </c>
      <c r="N1825" s="35">
        <f>DATE(Table4[[#This Row],[year]],Table4[[#This Row],[month2]],Table4[[#This Row],[day]])</f>
        <v>45844</v>
      </c>
    </row>
    <row r="1826" spans="1:14" ht="16" x14ac:dyDescent="0.35">
      <c r="A1826" t="str">
        <f t="shared" si="56"/>
        <v>05</v>
      </c>
      <c r="B1826">
        <f>_xlfn.SWITCH(Table4[[#This Row],[month]],"jan",1,"feb",2,"mar",3,"apr",4,"may",5,"jun",6,"jul",7,"aug",8,"sep",9,"oct",10,"nov",11,"dec",12,"no month")</f>
        <v>7</v>
      </c>
      <c r="C1826" s="12" t="str">
        <f>LEFT('All Transactions'!$E1826,3)</f>
        <v>Jul</v>
      </c>
      <c r="D1826" s="12" t="str">
        <f t="shared" si="57"/>
        <v>2025</v>
      </c>
      <c r="E1826" s="16" t="s">
        <v>5641</v>
      </c>
      <c r="F1826" s="17" t="s">
        <v>2579</v>
      </c>
      <c r="G1826" s="27" t="s">
        <v>54</v>
      </c>
      <c r="H1826" s="19">
        <v>250</v>
      </c>
      <c r="I1826" s="20" t="s">
        <v>5458</v>
      </c>
      <c r="J1826" s="20" t="s">
        <v>5642</v>
      </c>
      <c r="K1826" s="21" t="s">
        <v>5643</v>
      </c>
      <c r="L1826" s="20" t="s">
        <v>2330</v>
      </c>
      <c r="M1826" t="str">
        <f>TEXT(A1826,"dddd")</f>
        <v>Thursday</v>
      </c>
      <c r="N1826" s="35">
        <f>DATE(Table4[[#This Row],[year]],Table4[[#This Row],[month2]],Table4[[#This Row],[day]])</f>
        <v>45843</v>
      </c>
    </row>
    <row r="1827" spans="1:14" ht="16" x14ac:dyDescent="0.35">
      <c r="A1827" t="str">
        <f t="shared" si="56"/>
        <v>05</v>
      </c>
      <c r="B1827">
        <f>_xlfn.SWITCH(Table4[[#This Row],[month]],"jan",1,"feb",2,"mar",3,"apr",4,"may",5,"jun",6,"jul",7,"aug",8,"sep",9,"oct",10,"nov",11,"dec",12,"no month")</f>
        <v>7</v>
      </c>
      <c r="C1827" s="12" t="str">
        <f>LEFT('All Transactions'!$E1827,3)</f>
        <v>Jul</v>
      </c>
      <c r="D1827" s="12" t="str">
        <f t="shared" si="57"/>
        <v>2025</v>
      </c>
      <c r="E1827" s="22" t="s">
        <v>5641</v>
      </c>
      <c r="F1827" s="23" t="s">
        <v>1337</v>
      </c>
      <c r="G1827" s="18" t="s">
        <v>28</v>
      </c>
      <c r="H1827" s="24">
        <v>800</v>
      </c>
      <c r="I1827" s="25" t="s">
        <v>10</v>
      </c>
      <c r="J1827" s="25" t="s">
        <v>5644</v>
      </c>
      <c r="K1827" s="26" t="s">
        <v>5645</v>
      </c>
      <c r="L1827" s="25" t="s">
        <v>1808</v>
      </c>
      <c r="M1827" t="str">
        <f>TEXT(A1827,"dddd")</f>
        <v>Thursday</v>
      </c>
      <c r="N1827" s="35">
        <f>DATE(Table4[[#This Row],[year]],Table4[[#This Row],[month2]],Table4[[#This Row],[day]])</f>
        <v>45843</v>
      </c>
    </row>
    <row r="1828" spans="1:14" ht="16" x14ac:dyDescent="0.35">
      <c r="A1828" t="str">
        <f t="shared" si="56"/>
        <v>05</v>
      </c>
      <c r="B1828">
        <f>_xlfn.SWITCH(Table4[[#This Row],[month]],"jan",1,"feb",2,"mar",3,"apr",4,"may",5,"jun",6,"jul",7,"aug",8,"sep",9,"oct",10,"nov",11,"dec",12,"no month")</f>
        <v>7</v>
      </c>
      <c r="C1828" s="12" t="str">
        <f>LEFT('All Transactions'!$E1828,3)</f>
        <v>Jul</v>
      </c>
      <c r="D1828" s="12" t="str">
        <f t="shared" si="57"/>
        <v>2025</v>
      </c>
      <c r="E1828" s="16" t="s">
        <v>5641</v>
      </c>
      <c r="F1828" s="17" t="s">
        <v>320</v>
      </c>
      <c r="G1828" s="27" t="s">
        <v>54</v>
      </c>
      <c r="H1828" s="19">
        <v>900</v>
      </c>
      <c r="I1828" s="20" t="s">
        <v>1586</v>
      </c>
      <c r="J1828" s="20" t="s">
        <v>5646</v>
      </c>
      <c r="K1828" s="21" t="s">
        <v>5647</v>
      </c>
      <c r="L1828" s="20" t="s">
        <v>2330</v>
      </c>
      <c r="M1828" t="str">
        <f>TEXT(A1828,"dddd")</f>
        <v>Thursday</v>
      </c>
      <c r="N1828" s="35">
        <f>DATE(Table4[[#This Row],[year]],Table4[[#This Row],[month2]],Table4[[#This Row],[day]])</f>
        <v>45843</v>
      </c>
    </row>
    <row r="1829" spans="1:14" ht="16" x14ac:dyDescent="0.35">
      <c r="A1829" t="str">
        <f t="shared" si="56"/>
        <v>04</v>
      </c>
      <c r="B1829">
        <f>_xlfn.SWITCH(Table4[[#This Row],[month]],"jan",1,"feb",2,"mar",3,"apr",4,"may",5,"jun",6,"jul",7,"aug",8,"sep",9,"oct",10,"nov",11,"dec",12,"no month")</f>
        <v>7</v>
      </c>
      <c r="C1829" s="12" t="str">
        <f>LEFT('All Transactions'!$E1829,3)</f>
        <v>Jul</v>
      </c>
      <c r="D1829" s="12" t="str">
        <f t="shared" si="57"/>
        <v>2025</v>
      </c>
      <c r="E1829" s="22" t="s">
        <v>5648</v>
      </c>
      <c r="F1829" s="23" t="s">
        <v>2393</v>
      </c>
      <c r="G1829" s="18" t="s">
        <v>28</v>
      </c>
      <c r="H1829" s="24">
        <v>40</v>
      </c>
      <c r="I1829" s="25" t="s">
        <v>5649</v>
      </c>
      <c r="J1829" s="25" t="s">
        <v>5650</v>
      </c>
      <c r="K1829" s="26" t="s">
        <v>5651</v>
      </c>
      <c r="L1829" s="25" t="s">
        <v>1808</v>
      </c>
      <c r="M1829" t="str">
        <f>TEXT(A1829,"dddd")</f>
        <v>Wednesday</v>
      </c>
      <c r="N1829" s="35">
        <f>DATE(Table4[[#This Row],[year]],Table4[[#This Row],[month2]],Table4[[#This Row],[day]])</f>
        <v>45842</v>
      </c>
    </row>
    <row r="1830" spans="1:14" ht="16" x14ac:dyDescent="0.35">
      <c r="A1830" t="str">
        <f t="shared" si="56"/>
        <v>04</v>
      </c>
      <c r="B1830">
        <f>_xlfn.SWITCH(Table4[[#This Row],[month]],"jan",1,"feb",2,"mar",3,"apr",4,"may",5,"jun",6,"jul",7,"aug",8,"sep",9,"oct",10,"nov",11,"dec",12,"no month")</f>
        <v>7</v>
      </c>
      <c r="C1830" s="12" t="str">
        <f>LEFT('All Transactions'!$E1830,3)</f>
        <v>Jul</v>
      </c>
      <c r="D1830" s="12" t="str">
        <f t="shared" si="57"/>
        <v>2025</v>
      </c>
      <c r="E1830" s="16" t="s">
        <v>5648</v>
      </c>
      <c r="F1830" s="17" t="s">
        <v>4078</v>
      </c>
      <c r="G1830" s="18" t="s">
        <v>28</v>
      </c>
      <c r="H1830" s="19">
        <v>302</v>
      </c>
      <c r="I1830" s="20" t="s">
        <v>5652</v>
      </c>
      <c r="J1830" s="20" t="s">
        <v>5653</v>
      </c>
      <c r="K1830" s="21" t="s">
        <v>5654</v>
      </c>
      <c r="L1830" s="20" t="s">
        <v>47</v>
      </c>
      <c r="M1830" t="str">
        <f>TEXT(A1830,"dddd")</f>
        <v>Wednesday</v>
      </c>
      <c r="N1830" s="35">
        <f>DATE(Table4[[#This Row],[year]],Table4[[#This Row],[month2]],Table4[[#This Row],[day]])</f>
        <v>45842</v>
      </c>
    </row>
    <row r="1831" spans="1:14" ht="16" x14ac:dyDescent="0.35">
      <c r="A1831" t="str">
        <f t="shared" si="56"/>
        <v>04</v>
      </c>
      <c r="B1831">
        <f>_xlfn.SWITCH(Table4[[#This Row],[month]],"jan",1,"feb",2,"mar",3,"apr",4,"may",5,"jun",6,"jul",7,"aug",8,"sep",9,"oct",10,"nov",11,"dec",12,"no month")</f>
        <v>7</v>
      </c>
      <c r="C1831" s="12" t="str">
        <f>LEFT('All Transactions'!$E1831,3)</f>
        <v>Jul</v>
      </c>
      <c r="D1831" s="12" t="str">
        <f t="shared" si="57"/>
        <v>2025</v>
      </c>
      <c r="E1831" s="22" t="s">
        <v>5648</v>
      </c>
      <c r="F1831" s="23" t="s">
        <v>5655</v>
      </c>
      <c r="G1831" s="27" t="s">
        <v>54</v>
      </c>
      <c r="H1831" s="24">
        <v>1000</v>
      </c>
      <c r="I1831" s="25" t="s">
        <v>156</v>
      </c>
      <c r="J1831" s="25" t="s">
        <v>5656</v>
      </c>
      <c r="K1831" s="26" t="s">
        <v>5657</v>
      </c>
      <c r="L1831" s="25" t="s">
        <v>2330</v>
      </c>
      <c r="M1831" t="str">
        <f>TEXT(A1831,"dddd")</f>
        <v>Wednesday</v>
      </c>
      <c r="N1831" s="35">
        <f>DATE(Table4[[#This Row],[year]],Table4[[#This Row],[month2]],Table4[[#This Row],[day]])</f>
        <v>45842</v>
      </c>
    </row>
    <row r="1832" spans="1:14" ht="16" x14ac:dyDescent="0.35">
      <c r="A1832" t="str">
        <f t="shared" si="56"/>
        <v>03</v>
      </c>
      <c r="B1832">
        <f>_xlfn.SWITCH(Table4[[#This Row],[month]],"jan",1,"feb",2,"mar",3,"apr",4,"may",5,"jun",6,"jul",7,"aug",8,"sep",9,"oct",10,"nov",11,"dec",12,"no month")</f>
        <v>7</v>
      </c>
      <c r="C1832" s="12" t="str">
        <f>LEFT('All Transactions'!$E1832,3)</f>
        <v>Jul</v>
      </c>
      <c r="D1832" s="12" t="str">
        <f t="shared" si="57"/>
        <v>2025</v>
      </c>
      <c r="E1832" s="16" t="s">
        <v>5658</v>
      </c>
      <c r="F1832" s="17" t="s">
        <v>951</v>
      </c>
      <c r="G1832" s="18" t="s">
        <v>28</v>
      </c>
      <c r="H1832" s="19">
        <v>300</v>
      </c>
      <c r="I1832" s="20" t="s">
        <v>5659</v>
      </c>
      <c r="J1832" s="20" t="s">
        <v>5660</v>
      </c>
      <c r="K1832" s="21" t="s">
        <v>5661</v>
      </c>
      <c r="L1832" s="20" t="s">
        <v>47</v>
      </c>
      <c r="M1832" t="str">
        <f>TEXT(A1832,"dddd")</f>
        <v>Tuesday</v>
      </c>
      <c r="N1832" s="35">
        <f>DATE(Table4[[#This Row],[year]],Table4[[#This Row],[month2]],Table4[[#This Row],[day]])</f>
        <v>45841</v>
      </c>
    </row>
    <row r="1833" spans="1:14" ht="16" x14ac:dyDescent="0.35">
      <c r="A1833" t="str">
        <f t="shared" si="56"/>
        <v>03</v>
      </c>
      <c r="B1833">
        <f>_xlfn.SWITCH(Table4[[#This Row],[month]],"jan",1,"feb",2,"mar",3,"apr",4,"may",5,"jun",6,"jul",7,"aug",8,"sep",9,"oct",10,"nov",11,"dec",12,"no month")</f>
        <v>7</v>
      </c>
      <c r="C1833" s="12" t="str">
        <f>LEFT('All Transactions'!$E1833,3)</f>
        <v>Jul</v>
      </c>
      <c r="D1833" s="12" t="str">
        <f t="shared" si="57"/>
        <v>2025</v>
      </c>
      <c r="E1833" s="22" t="s">
        <v>5658</v>
      </c>
      <c r="F1833" s="23" t="s">
        <v>100</v>
      </c>
      <c r="G1833" s="18" t="s">
        <v>28</v>
      </c>
      <c r="H1833" s="24">
        <v>1000</v>
      </c>
      <c r="I1833" s="25" t="s">
        <v>5416</v>
      </c>
      <c r="J1833" s="25" t="s">
        <v>5662</v>
      </c>
      <c r="K1833" s="26" t="s">
        <v>5663</v>
      </c>
      <c r="L1833" s="25" t="s">
        <v>1808</v>
      </c>
      <c r="M1833" t="str">
        <f>TEXT(A1833,"dddd")</f>
        <v>Tuesday</v>
      </c>
      <c r="N1833" s="35">
        <f>DATE(Table4[[#This Row],[year]],Table4[[#This Row],[month2]],Table4[[#This Row],[day]])</f>
        <v>45841</v>
      </c>
    </row>
    <row r="1834" spans="1:14" ht="16" x14ac:dyDescent="0.35">
      <c r="A1834" t="str">
        <f t="shared" si="56"/>
        <v>03</v>
      </c>
      <c r="B1834">
        <f>_xlfn.SWITCH(Table4[[#This Row],[month]],"jan",1,"feb",2,"mar",3,"apr",4,"may",5,"jun",6,"jul",7,"aug",8,"sep",9,"oct",10,"nov",11,"dec",12,"no month")</f>
        <v>7</v>
      </c>
      <c r="C1834" s="12" t="str">
        <f>LEFT('All Transactions'!$E1834,3)</f>
        <v>Jul</v>
      </c>
      <c r="D1834" s="12" t="str">
        <f t="shared" si="57"/>
        <v>2025</v>
      </c>
      <c r="E1834" s="16" t="s">
        <v>5658</v>
      </c>
      <c r="F1834" s="17" t="s">
        <v>3269</v>
      </c>
      <c r="G1834" s="27" t="s">
        <v>54</v>
      </c>
      <c r="H1834" s="19">
        <v>1000</v>
      </c>
      <c r="I1834" s="20" t="s">
        <v>2107</v>
      </c>
      <c r="J1834" s="20" t="s">
        <v>5664</v>
      </c>
      <c r="K1834" s="21" t="s">
        <v>5665</v>
      </c>
      <c r="L1834" s="20" t="s">
        <v>2330</v>
      </c>
      <c r="M1834" t="str">
        <f>TEXT(A1834,"dddd")</f>
        <v>Tuesday</v>
      </c>
      <c r="N1834" s="35">
        <f>DATE(Table4[[#This Row],[year]],Table4[[#This Row],[month2]],Table4[[#This Row],[day]])</f>
        <v>45841</v>
      </c>
    </row>
    <row r="1835" spans="1:14" ht="16" x14ac:dyDescent="0.35">
      <c r="A1835" t="str">
        <f t="shared" si="56"/>
        <v>03</v>
      </c>
      <c r="B1835">
        <f>_xlfn.SWITCH(Table4[[#This Row],[month]],"jan",1,"feb",2,"mar",3,"apr",4,"may",5,"jun",6,"jul",7,"aug",8,"sep",9,"oct",10,"nov",11,"dec",12,"no month")</f>
        <v>7</v>
      </c>
      <c r="C1835" s="12" t="str">
        <f>LEFT('All Transactions'!$E1835,3)</f>
        <v>Jul</v>
      </c>
      <c r="D1835" s="12" t="str">
        <f t="shared" si="57"/>
        <v>2025</v>
      </c>
      <c r="E1835" s="22" t="s">
        <v>5658</v>
      </c>
      <c r="F1835" s="23" t="s">
        <v>4684</v>
      </c>
      <c r="G1835" s="18" t="s">
        <v>28</v>
      </c>
      <c r="H1835" s="24">
        <v>240</v>
      </c>
      <c r="I1835" s="25" t="s">
        <v>5666</v>
      </c>
      <c r="J1835" s="25" t="s">
        <v>5667</v>
      </c>
      <c r="K1835" s="26" t="s">
        <v>5668</v>
      </c>
      <c r="L1835" s="25" t="s">
        <v>47</v>
      </c>
      <c r="M1835" t="str">
        <f>TEXT(A1835,"dddd")</f>
        <v>Tuesday</v>
      </c>
      <c r="N1835" s="35">
        <f>DATE(Table4[[#This Row],[year]],Table4[[#This Row],[month2]],Table4[[#This Row],[day]])</f>
        <v>45841</v>
      </c>
    </row>
    <row r="1836" spans="1:14" ht="16" x14ac:dyDescent="0.35">
      <c r="A1836" t="str">
        <f t="shared" si="56"/>
        <v>03</v>
      </c>
      <c r="B1836">
        <f>_xlfn.SWITCH(Table4[[#This Row],[month]],"jan",1,"feb",2,"mar",3,"apr",4,"may",5,"jun",6,"jul",7,"aug",8,"sep",9,"oct",10,"nov",11,"dec",12,"no month")</f>
        <v>7</v>
      </c>
      <c r="C1836" s="12" t="str">
        <f>LEFT('All Transactions'!$E1836,3)</f>
        <v>Jul</v>
      </c>
      <c r="D1836" s="12" t="str">
        <f t="shared" si="57"/>
        <v>2025</v>
      </c>
      <c r="E1836" s="16" t="s">
        <v>5658</v>
      </c>
      <c r="F1836" s="17" t="s">
        <v>5669</v>
      </c>
      <c r="G1836" s="18" t="s">
        <v>28</v>
      </c>
      <c r="H1836" s="19">
        <v>1000</v>
      </c>
      <c r="I1836" s="20" t="s">
        <v>5670</v>
      </c>
      <c r="J1836" s="20" t="s">
        <v>5671</v>
      </c>
      <c r="K1836" s="21" t="s">
        <v>5672</v>
      </c>
      <c r="L1836" s="20" t="s">
        <v>47</v>
      </c>
      <c r="M1836" t="str">
        <f>TEXT(A1836,"dddd")</f>
        <v>Tuesday</v>
      </c>
      <c r="N1836" s="35">
        <f>DATE(Table4[[#This Row],[year]],Table4[[#This Row],[month2]],Table4[[#This Row],[day]])</f>
        <v>45841</v>
      </c>
    </row>
    <row r="1837" spans="1:14" ht="16" x14ac:dyDescent="0.35">
      <c r="A1837" t="str">
        <f t="shared" si="56"/>
        <v>03</v>
      </c>
      <c r="B1837">
        <f>_xlfn.SWITCH(Table4[[#This Row],[month]],"jan",1,"feb",2,"mar",3,"apr",4,"may",5,"jun",6,"jul",7,"aug",8,"sep",9,"oct",10,"nov",11,"dec",12,"no month")</f>
        <v>7</v>
      </c>
      <c r="C1837" s="12" t="str">
        <f>LEFT('All Transactions'!$E1837,3)</f>
        <v>Jul</v>
      </c>
      <c r="D1837" s="12" t="str">
        <f t="shared" si="57"/>
        <v>2025</v>
      </c>
      <c r="E1837" s="22" t="s">
        <v>5658</v>
      </c>
      <c r="F1837" s="23" t="s">
        <v>1062</v>
      </c>
      <c r="G1837" s="18" t="s">
        <v>28</v>
      </c>
      <c r="H1837" s="24">
        <v>3000</v>
      </c>
      <c r="I1837" s="25" t="s">
        <v>10</v>
      </c>
      <c r="J1837" s="25" t="s">
        <v>5673</v>
      </c>
      <c r="K1837" s="26" t="s">
        <v>5674</v>
      </c>
      <c r="L1837" s="25" t="s">
        <v>1808</v>
      </c>
      <c r="M1837" t="str">
        <f>TEXT(A1837,"dddd")</f>
        <v>Tuesday</v>
      </c>
      <c r="N1837" s="35">
        <f>DATE(Table4[[#This Row],[year]],Table4[[#This Row],[month2]],Table4[[#This Row],[day]])</f>
        <v>45841</v>
      </c>
    </row>
    <row r="1838" spans="1:14" ht="16" x14ac:dyDescent="0.35">
      <c r="A1838" t="str">
        <f t="shared" si="56"/>
        <v>03</v>
      </c>
      <c r="B1838">
        <f>_xlfn.SWITCH(Table4[[#This Row],[month]],"jan",1,"feb",2,"mar",3,"apr",4,"may",5,"jun",6,"jul",7,"aug",8,"sep",9,"oct",10,"nov",11,"dec",12,"no month")</f>
        <v>7</v>
      </c>
      <c r="C1838" s="12" t="str">
        <f>LEFT('All Transactions'!$E1838,3)</f>
        <v>Jul</v>
      </c>
      <c r="D1838" s="12" t="str">
        <f t="shared" si="57"/>
        <v>2025</v>
      </c>
      <c r="E1838" s="16" t="s">
        <v>5658</v>
      </c>
      <c r="F1838" s="17" t="s">
        <v>1769</v>
      </c>
      <c r="G1838" s="18" t="s">
        <v>28</v>
      </c>
      <c r="H1838" s="19">
        <v>100</v>
      </c>
      <c r="I1838" s="20" t="s">
        <v>5675</v>
      </c>
      <c r="J1838" s="20" t="s">
        <v>5676</v>
      </c>
      <c r="K1838" s="21" t="s">
        <v>5677</v>
      </c>
      <c r="L1838" s="20" t="s">
        <v>1808</v>
      </c>
      <c r="M1838" t="str">
        <f>TEXT(A1838,"dddd")</f>
        <v>Tuesday</v>
      </c>
      <c r="N1838" s="35">
        <f>DATE(Table4[[#This Row],[year]],Table4[[#This Row],[month2]],Table4[[#This Row],[day]])</f>
        <v>45841</v>
      </c>
    </row>
    <row r="1839" spans="1:14" ht="16" x14ac:dyDescent="0.35">
      <c r="A1839" t="str">
        <f t="shared" si="56"/>
        <v>03</v>
      </c>
      <c r="B1839">
        <f>_xlfn.SWITCH(Table4[[#This Row],[month]],"jan",1,"feb",2,"mar",3,"apr",4,"may",5,"jun",6,"jul",7,"aug",8,"sep",9,"oct",10,"nov",11,"dec",12,"no month")</f>
        <v>7</v>
      </c>
      <c r="C1839" s="12" t="str">
        <f>LEFT('All Transactions'!$E1839,3)</f>
        <v>Jul</v>
      </c>
      <c r="D1839" s="12" t="str">
        <f t="shared" si="57"/>
        <v>2025</v>
      </c>
      <c r="E1839" s="22" t="s">
        <v>5658</v>
      </c>
      <c r="F1839" s="23" t="s">
        <v>5678</v>
      </c>
      <c r="G1839" s="18" t="s">
        <v>28</v>
      </c>
      <c r="H1839" s="24">
        <v>50</v>
      </c>
      <c r="I1839" s="25" t="s">
        <v>5679</v>
      </c>
      <c r="J1839" s="25" t="s">
        <v>5680</v>
      </c>
      <c r="K1839" s="26" t="s">
        <v>5681</v>
      </c>
      <c r="L1839" s="25" t="s">
        <v>1808</v>
      </c>
      <c r="M1839" t="str">
        <f>TEXT(A1839,"dddd")</f>
        <v>Tuesday</v>
      </c>
      <c r="N1839" s="35">
        <f>DATE(Table4[[#This Row],[year]],Table4[[#This Row],[month2]],Table4[[#This Row],[day]])</f>
        <v>45841</v>
      </c>
    </row>
    <row r="1840" spans="1:14" ht="16" x14ac:dyDescent="0.35">
      <c r="A1840" t="str">
        <f t="shared" si="56"/>
        <v>03</v>
      </c>
      <c r="B1840">
        <f>_xlfn.SWITCH(Table4[[#This Row],[month]],"jan",1,"feb",2,"mar",3,"apr",4,"may",5,"jun",6,"jul",7,"aug",8,"sep",9,"oct",10,"nov",11,"dec",12,"no month")</f>
        <v>7</v>
      </c>
      <c r="C1840" s="12" t="str">
        <f>LEFT('All Transactions'!$E1840,3)</f>
        <v>Jul</v>
      </c>
      <c r="D1840" s="12" t="str">
        <f t="shared" si="57"/>
        <v>2025</v>
      </c>
      <c r="E1840" s="16" t="s">
        <v>5658</v>
      </c>
      <c r="F1840" s="17" t="s">
        <v>5678</v>
      </c>
      <c r="G1840" s="18" t="s">
        <v>28</v>
      </c>
      <c r="H1840" s="19">
        <v>50</v>
      </c>
      <c r="I1840" s="20" t="s">
        <v>5682</v>
      </c>
      <c r="J1840" s="20" t="s">
        <v>5683</v>
      </c>
      <c r="K1840" s="21" t="s">
        <v>5684</v>
      </c>
      <c r="L1840" s="20" t="s">
        <v>1808</v>
      </c>
      <c r="M1840" t="str">
        <f>TEXT(A1840,"dddd")</f>
        <v>Tuesday</v>
      </c>
      <c r="N1840" s="35">
        <f>DATE(Table4[[#This Row],[year]],Table4[[#This Row],[month2]],Table4[[#This Row],[day]])</f>
        <v>45841</v>
      </c>
    </row>
    <row r="1841" spans="1:14" ht="16" x14ac:dyDescent="0.35">
      <c r="A1841" t="str">
        <f t="shared" si="56"/>
        <v>02</v>
      </c>
      <c r="B1841">
        <f>_xlfn.SWITCH(Table4[[#This Row],[month]],"jan",1,"feb",2,"mar",3,"apr",4,"may",5,"jun",6,"jul",7,"aug",8,"sep",9,"oct",10,"nov",11,"dec",12,"no month")</f>
        <v>7</v>
      </c>
      <c r="C1841" s="12" t="str">
        <f>LEFT('All Transactions'!$E1841,3)</f>
        <v>Jul</v>
      </c>
      <c r="D1841" s="12" t="str">
        <f t="shared" si="57"/>
        <v>2025</v>
      </c>
      <c r="E1841" s="22" t="s">
        <v>5685</v>
      </c>
      <c r="F1841" s="23" t="s">
        <v>1500</v>
      </c>
      <c r="G1841" s="18" t="s">
        <v>28</v>
      </c>
      <c r="H1841" s="24">
        <v>66.06</v>
      </c>
      <c r="I1841" s="25" t="s">
        <v>5686</v>
      </c>
      <c r="J1841" s="25" t="s">
        <v>5687</v>
      </c>
      <c r="K1841" s="26" t="s">
        <v>5688</v>
      </c>
      <c r="L1841" s="25" t="s">
        <v>1808</v>
      </c>
      <c r="M1841" t="str">
        <f>TEXT(A1841,"dddd")</f>
        <v>Monday</v>
      </c>
      <c r="N1841" s="35">
        <f>DATE(Table4[[#This Row],[year]],Table4[[#This Row],[month2]],Table4[[#This Row],[day]])</f>
        <v>45840</v>
      </c>
    </row>
    <row r="1842" spans="1:14" ht="16" x14ac:dyDescent="0.35">
      <c r="A1842" t="str">
        <f t="shared" si="56"/>
        <v>02</v>
      </c>
      <c r="B1842">
        <f>_xlfn.SWITCH(Table4[[#This Row],[month]],"jan",1,"feb",2,"mar",3,"apr",4,"may",5,"jun",6,"jul",7,"aug",8,"sep",9,"oct",10,"nov",11,"dec",12,"no month")</f>
        <v>7</v>
      </c>
      <c r="C1842" s="12" t="str">
        <f>LEFT('All Transactions'!$E1842,3)</f>
        <v>Jul</v>
      </c>
      <c r="D1842" s="12" t="str">
        <f t="shared" si="57"/>
        <v>2025</v>
      </c>
      <c r="E1842" s="16" t="s">
        <v>5685</v>
      </c>
      <c r="F1842" s="17" t="s">
        <v>3239</v>
      </c>
      <c r="G1842" s="18" t="s">
        <v>28</v>
      </c>
      <c r="H1842" s="19">
        <v>400</v>
      </c>
      <c r="I1842" s="20" t="s">
        <v>12</v>
      </c>
      <c r="J1842" s="20" t="s">
        <v>5689</v>
      </c>
      <c r="K1842" s="21" t="s">
        <v>5690</v>
      </c>
      <c r="L1842" s="20" t="s">
        <v>1808</v>
      </c>
      <c r="M1842" t="str">
        <f>TEXT(A1842,"dddd")</f>
        <v>Monday</v>
      </c>
      <c r="N1842" s="35">
        <f>DATE(Table4[[#This Row],[year]],Table4[[#This Row],[month2]],Table4[[#This Row],[day]])</f>
        <v>45840</v>
      </c>
    </row>
    <row r="1843" spans="1:14" ht="16" x14ac:dyDescent="0.35">
      <c r="A1843" t="str">
        <f t="shared" si="56"/>
        <v>01</v>
      </c>
      <c r="B1843">
        <f>_xlfn.SWITCH(Table4[[#This Row],[month]],"jan",1,"feb",2,"mar",3,"apr",4,"may",5,"jun",6,"jul",7,"aug",8,"sep",9,"oct",10,"nov",11,"dec",12,"no month")</f>
        <v>7</v>
      </c>
      <c r="C1843" s="12" t="str">
        <f>LEFT('All Transactions'!$E1843,3)</f>
        <v>Jul</v>
      </c>
      <c r="D1843" s="12" t="str">
        <f t="shared" si="57"/>
        <v>2025</v>
      </c>
      <c r="E1843" s="22" t="s">
        <v>5691</v>
      </c>
      <c r="F1843" s="23" t="s">
        <v>1597</v>
      </c>
      <c r="G1843" s="18" t="s">
        <v>28</v>
      </c>
      <c r="H1843" s="24">
        <v>600</v>
      </c>
      <c r="I1843" s="25" t="s">
        <v>4108</v>
      </c>
      <c r="J1843" s="25" t="s">
        <v>5692</v>
      </c>
      <c r="K1843" s="26" t="s">
        <v>5693</v>
      </c>
      <c r="L1843" s="25" t="s">
        <v>1808</v>
      </c>
      <c r="M1843" t="str">
        <f>TEXT(A1843,"dddd")</f>
        <v>Sunday</v>
      </c>
      <c r="N1843" s="35">
        <f>DATE(Table4[[#This Row],[year]],Table4[[#This Row],[month2]],Table4[[#This Row],[day]])</f>
        <v>45839</v>
      </c>
    </row>
    <row r="1844" spans="1:14" ht="16" x14ac:dyDescent="0.35">
      <c r="A1844" t="str">
        <f t="shared" si="56"/>
        <v>01</v>
      </c>
      <c r="B1844">
        <f>_xlfn.SWITCH(Table4[[#This Row],[month]],"jan",1,"feb",2,"mar",3,"apr",4,"may",5,"jun",6,"jul",7,"aug",8,"sep",9,"oct",10,"nov",11,"dec",12,"no month")</f>
        <v>7</v>
      </c>
      <c r="C1844" s="12" t="str">
        <f>LEFT('All Transactions'!$E1844,3)</f>
        <v>Jul</v>
      </c>
      <c r="D1844" s="12" t="str">
        <f t="shared" si="57"/>
        <v>2025</v>
      </c>
      <c r="E1844" s="16" t="s">
        <v>5691</v>
      </c>
      <c r="F1844" s="17" t="s">
        <v>2525</v>
      </c>
      <c r="G1844" s="27" t="s">
        <v>54</v>
      </c>
      <c r="H1844" s="19">
        <v>600</v>
      </c>
      <c r="I1844" s="20" t="s">
        <v>1586</v>
      </c>
      <c r="J1844" s="20" t="s">
        <v>5694</v>
      </c>
      <c r="K1844" s="21" t="s">
        <v>5695</v>
      </c>
      <c r="L1844" s="20" t="s">
        <v>2330</v>
      </c>
      <c r="M1844" t="str">
        <f>TEXT(A1844,"dddd")</f>
        <v>Sunday</v>
      </c>
      <c r="N1844" s="35">
        <f>DATE(Table4[[#This Row],[year]],Table4[[#This Row],[month2]],Table4[[#This Row],[day]])</f>
        <v>45839</v>
      </c>
    </row>
    <row r="1845" spans="1:14" ht="16" x14ac:dyDescent="0.35">
      <c r="A1845" t="str">
        <f t="shared" si="56"/>
        <v>01</v>
      </c>
      <c r="B1845">
        <f>_xlfn.SWITCH(Table4[[#This Row],[month]],"jan",1,"feb",2,"mar",3,"apr",4,"may",5,"jun",6,"jul",7,"aug",8,"sep",9,"oct",10,"nov",11,"dec",12,"no month")</f>
        <v>7</v>
      </c>
      <c r="C1845" s="12" t="str">
        <f>LEFT('All Transactions'!$E1845,3)</f>
        <v>Jul</v>
      </c>
      <c r="D1845" s="12" t="str">
        <f t="shared" si="57"/>
        <v>2025</v>
      </c>
      <c r="E1845" s="22" t="s">
        <v>5691</v>
      </c>
      <c r="F1845" s="23" t="s">
        <v>1148</v>
      </c>
      <c r="G1845" s="18" t="s">
        <v>28</v>
      </c>
      <c r="H1845" s="24">
        <v>150</v>
      </c>
      <c r="I1845" s="25" t="s">
        <v>12</v>
      </c>
      <c r="J1845" s="25" t="s">
        <v>5696</v>
      </c>
      <c r="K1845" s="26" t="s">
        <v>5697</v>
      </c>
      <c r="L1845" s="25" t="s">
        <v>1808</v>
      </c>
      <c r="M1845" t="str">
        <f>TEXT(A1845,"dddd")</f>
        <v>Sunday</v>
      </c>
      <c r="N1845" s="35">
        <f>DATE(Table4[[#This Row],[year]],Table4[[#This Row],[month2]],Table4[[#This Row],[day]])</f>
        <v>45839</v>
      </c>
    </row>
    <row r="1846" spans="1:14" ht="16" x14ac:dyDescent="0.35">
      <c r="A1846" t="str">
        <f t="shared" si="56"/>
        <v>01</v>
      </c>
      <c r="B1846">
        <f>_xlfn.SWITCH(Table4[[#This Row],[month]],"jan",1,"feb",2,"mar",3,"apr",4,"may",5,"jun",6,"jul",7,"aug",8,"sep",9,"oct",10,"nov",11,"dec",12,"no month")</f>
        <v>7</v>
      </c>
      <c r="C1846" s="12" t="str">
        <f>LEFT('All Transactions'!$E1846,3)</f>
        <v>Jul</v>
      </c>
      <c r="D1846" s="12" t="str">
        <f t="shared" si="57"/>
        <v>2025</v>
      </c>
      <c r="E1846" s="16" t="s">
        <v>5691</v>
      </c>
      <c r="F1846" s="17" t="s">
        <v>5698</v>
      </c>
      <c r="G1846" s="18" t="s">
        <v>28</v>
      </c>
      <c r="H1846" s="19">
        <v>2500</v>
      </c>
      <c r="I1846" s="20" t="s">
        <v>12</v>
      </c>
      <c r="J1846" s="20" t="s">
        <v>5699</v>
      </c>
      <c r="K1846" s="21" t="s">
        <v>5700</v>
      </c>
      <c r="L1846" s="20" t="s">
        <v>1808</v>
      </c>
      <c r="M1846" t="str">
        <f>TEXT(A1846,"dddd")</f>
        <v>Sunday</v>
      </c>
      <c r="N1846" s="35">
        <f>DATE(Table4[[#This Row],[year]],Table4[[#This Row],[month2]],Table4[[#This Row],[day]])</f>
        <v>45839</v>
      </c>
    </row>
    <row r="1847" spans="1:14" ht="16" x14ac:dyDescent="0.35">
      <c r="A1847" t="str">
        <f t="shared" si="56"/>
        <v>30</v>
      </c>
      <c r="B1847">
        <f>_xlfn.SWITCH(Table4[[#This Row],[month]],"jan",1,"feb",2,"mar",3,"apr",4,"may",5,"jun",6,"jul",7,"aug",8,"sep",9,"oct",10,"nov",11,"dec",12,"no month")</f>
        <v>6</v>
      </c>
      <c r="C1847" s="12" t="str">
        <f>LEFT('All Transactions'!$E1847,3)</f>
        <v>Jun</v>
      </c>
      <c r="D1847" s="12" t="str">
        <f t="shared" si="57"/>
        <v>2025</v>
      </c>
      <c r="E1847" s="22" t="s">
        <v>5701</v>
      </c>
      <c r="F1847" s="23" t="s">
        <v>4323</v>
      </c>
      <c r="G1847" s="18" t="s">
        <v>28</v>
      </c>
      <c r="H1847" s="24">
        <v>2000</v>
      </c>
      <c r="I1847" s="25" t="s">
        <v>5702</v>
      </c>
      <c r="J1847" s="25" t="s">
        <v>5703</v>
      </c>
      <c r="K1847" s="26" t="s">
        <v>5704</v>
      </c>
      <c r="L1847" s="25" t="s">
        <v>1808</v>
      </c>
      <c r="M1847" t="str">
        <f>TEXT(A1847,"dddd")</f>
        <v>Monday</v>
      </c>
      <c r="N1847" s="35">
        <f>DATE(Table4[[#This Row],[year]],Table4[[#This Row],[month2]],Table4[[#This Row],[day]])</f>
        <v>45838</v>
      </c>
    </row>
    <row r="1848" spans="1:14" ht="16" x14ac:dyDescent="0.35">
      <c r="A1848" t="str">
        <f t="shared" si="56"/>
        <v>30</v>
      </c>
      <c r="B1848">
        <f>_xlfn.SWITCH(Table4[[#This Row],[month]],"jan",1,"feb",2,"mar",3,"apr",4,"may",5,"jun",6,"jul",7,"aug",8,"sep",9,"oct",10,"nov",11,"dec",12,"no month")</f>
        <v>6</v>
      </c>
      <c r="C1848" s="12" t="str">
        <f>LEFT('All Transactions'!$E1848,3)</f>
        <v>Jun</v>
      </c>
      <c r="D1848" s="12" t="str">
        <f t="shared" si="57"/>
        <v>2025</v>
      </c>
      <c r="E1848" s="16" t="s">
        <v>5701</v>
      </c>
      <c r="F1848" s="17" t="s">
        <v>350</v>
      </c>
      <c r="G1848" s="18" t="s">
        <v>28</v>
      </c>
      <c r="H1848" s="19">
        <v>2000</v>
      </c>
      <c r="I1848" s="20" t="s">
        <v>5705</v>
      </c>
      <c r="J1848" s="20" t="s">
        <v>5706</v>
      </c>
      <c r="K1848" s="21" t="s">
        <v>5707</v>
      </c>
      <c r="L1848" s="20" t="s">
        <v>1808</v>
      </c>
      <c r="M1848" t="str">
        <f>TEXT(A1848,"dddd")</f>
        <v>Monday</v>
      </c>
      <c r="N1848" s="35">
        <f>DATE(Table4[[#This Row],[year]],Table4[[#This Row],[month2]],Table4[[#This Row],[day]])</f>
        <v>45838</v>
      </c>
    </row>
    <row r="1849" spans="1:14" ht="16" x14ac:dyDescent="0.35">
      <c r="A1849" t="str">
        <f t="shared" si="56"/>
        <v>30</v>
      </c>
      <c r="B1849">
        <f>_xlfn.SWITCH(Table4[[#This Row],[month]],"jan",1,"feb",2,"mar",3,"apr",4,"may",5,"jun",6,"jul",7,"aug",8,"sep",9,"oct",10,"nov",11,"dec",12,"no month")</f>
        <v>6</v>
      </c>
      <c r="C1849" s="12" t="str">
        <f>LEFT('All Transactions'!$E1849,3)</f>
        <v>Jun</v>
      </c>
      <c r="D1849" s="12" t="str">
        <f t="shared" si="57"/>
        <v>2025</v>
      </c>
      <c r="E1849" s="22" t="s">
        <v>5701</v>
      </c>
      <c r="F1849" s="23" t="s">
        <v>869</v>
      </c>
      <c r="G1849" s="18" t="s">
        <v>28</v>
      </c>
      <c r="H1849" s="24">
        <v>60</v>
      </c>
      <c r="I1849" s="25" t="s">
        <v>10</v>
      </c>
      <c r="J1849" s="25" t="s">
        <v>5708</v>
      </c>
      <c r="K1849" s="26" t="s">
        <v>5709</v>
      </c>
      <c r="L1849" s="25" t="s">
        <v>1808</v>
      </c>
      <c r="M1849" t="str">
        <f>TEXT(A1849,"dddd")</f>
        <v>Monday</v>
      </c>
      <c r="N1849" s="35">
        <f>DATE(Table4[[#This Row],[year]],Table4[[#This Row],[month2]],Table4[[#This Row],[day]])</f>
        <v>45838</v>
      </c>
    </row>
    <row r="1850" spans="1:14" ht="16" x14ac:dyDescent="0.35">
      <c r="A1850" t="str">
        <f t="shared" si="56"/>
        <v>30</v>
      </c>
      <c r="B1850">
        <f>_xlfn.SWITCH(Table4[[#This Row],[month]],"jan",1,"feb",2,"mar",3,"apr",4,"may",5,"jun",6,"jul",7,"aug",8,"sep",9,"oct",10,"nov",11,"dec",12,"no month")</f>
        <v>6</v>
      </c>
      <c r="C1850" s="12" t="str">
        <f>LEFT('All Transactions'!$E1850,3)</f>
        <v>Jun</v>
      </c>
      <c r="D1850" s="12" t="str">
        <f t="shared" si="57"/>
        <v>2025</v>
      </c>
      <c r="E1850" s="16" t="s">
        <v>5701</v>
      </c>
      <c r="F1850" s="17" t="s">
        <v>3292</v>
      </c>
      <c r="G1850" s="18" t="s">
        <v>28</v>
      </c>
      <c r="H1850" s="19">
        <v>1000</v>
      </c>
      <c r="I1850" s="20" t="s">
        <v>2871</v>
      </c>
      <c r="J1850" s="20" t="s">
        <v>5710</v>
      </c>
      <c r="K1850" s="21" t="s">
        <v>5711</v>
      </c>
      <c r="L1850" s="20" t="s">
        <v>1808</v>
      </c>
      <c r="M1850" t="str">
        <f>TEXT(A1850,"dddd")</f>
        <v>Monday</v>
      </c>
      <c r="N1850" s="35">
        <f>DATE(Table4[[#This Row],[year]],Table4[[#This Row],[month2]],Table4[[#This Row],[day]])</f>
        <v>45838</v>
      </c>
    </row>
    <row r="1851" spans="1:14" ht="16" x14ac:dyDescent="0.35">
      <c r="A1851" t="str">
        <f t="shared" si="56"/>
        <v>30</v>
      </c>
      <c r="B1851">
        <f>_xlfn.SWITCH(Table4[[#This Row],[month]],"jan",1,"feb",2,"mar",3,"apr",4,"may",5,"jun",6,"jul",7,"aug",8,"sep",9,"oct",10,"nov",11,"dec",12,"no month")</f>
        <v>6</v>
      </c>
      <c r="C1851" s="12" t="str">
        <f>LEFT('All Transactions'!$E1851,3)</f>
        <v>Jun</v>
      </c>
      <c r="D1851" s="12" t="str">
        <f t="shared" si="57"/>
        <v>2025</v>
      </c>
      <c r="E1851" s="22" t="s">
        <v>5701</v>
      </c>
      <c r="F1851" s="23" t="s">
        <v>173</v>
      </c>
      <c r="G1851" s="27" t="s">
        <v>54</v>
      </c>
      <c r="H1851" s="24">
        <v>10500</v>
      </c>
      <c r="I1851" s="25" t="s">
        <v>5458</v>
      </c>
      <c r="J1851" s="25" t="s">
        <v>5712</v>
      </c>
      <c r="K1851" s="26" t="s">
        <v>5713</v>
      </c>
      <c r="L1851" s="25" t="s">
        <v>2330</v>
      </c>
      <c r="M1851" t="str">
        <f>TEXT(A1851,"dddd")</f>
        <v>Monday</v>
      </c>
      <c r="N1851" s="35">
        <f>DATE(Table4[[#This Row],[year]],Table4[[#This Row],[month2]],Table4[[#This Row],[day]])</f>
        <v>45838</v>
      </c>
    </row>
    <row r="1852" spans="1:14" ht="16" x14ac:dyDescent="0.35">
      <c r="A1852" t="str">
        <f t="shared" si="56"/>
        <v>29</v>
      </c>
      <c r="B1852">
        <f>_xlfn.SWITCH(Table4[[#This Row],[month]],"jan",1,"feb",2,"mar",3,"apr",4,"may",5,"jun",6,"jul",7,"aug",8,"sep",9,"oct",10,"nov",11,"dec",12,"no month")</f>
        <v>6</v>
      </c>
      <c r="C1852" s="12" t="str">
        <f>LEFT('All Transactions'!$E1852,3)</f>
        <v>Jun</v>
      </c>
      <c r="D1852" s="12" t="str">
        <f t="shared" si="57"/>
        <v>2025</v>
      </c>
      <c r="E1852" s="16" t="s">
        <v>5714</v>
      </c>
      <c r="F1852" s="17" t="s">
        <v>5715</v>
      </c>
      <c r="G1852" s="18" t="s">
        <v>28</v>
      </c>
      <c r="H1852" s="19">
        <v>1000</v>
      </c>
      <c r="I1852" s="20" t="s">
        <v>2033</v>
      </c>
      <c r="J1852" s="20" t="s">
        <v>5716</v>
      </c>
      <c r="K1852" s="21" t="s">
        <v>5717</v>
      </c>
      <c r="L1852" s="20" t="s">
        <v>1808</v>
      </c>
      <c r="M1852" t="str">
        <f>TEXT(A1852,"dddd")</f>
        <v>Sunday</v>
      </c>
      <c r="N1852" s="35">
        <f>DATE(Table4[[#This Row],[year]],Table4[[#This Row],[month2]],Table4[[#This Row],[day]])</f>
        <v>45837</v>
      </c>
    </row>
    <row r="1853" spans="1:14" ht="16" x14ac:dyDescent="0.35">
      <c r="A1853" t="str">
        <f t="shared" si="56"/>
        <v>29</v>
      </c>
      <c r="B1853">
        <f>_xlfn.SWITCH(Table4[[#This Row],[month]],"jan",1,"feb",2,"mar",3,"apr",4,"may",5,"jun",6,"jul",7,"aug",8,"sep",9,"oct",10,"nov",11,"dec",12,"no month")</f>
        <v>6</v>
      </c>
      <c r="C1853" s="12" t="str">
        <f>LEFT('All Transactions'!$E1853,3)</f>
        <v>Jun</v>
      </c>
      <c r="D1853" s="12" t="str">
        <f t="shared" si="57"/>
        <v>2025</v>
      </c>
      <c r="E1853" s="22" t="s">
        <v>5714</v>
      </c>
      <c r="F1853" s="23" t="s">
        <v>1575</v>
      </c>
      <c r="G1853" s="27" t="s">
        <v>54</v>
      </c>
      <c r="H1853" s="24">
        <v>300</v>
      </c>
      <c r="I1853" s="25" t="s">
        <v>2964</v>
      </c>
      <c r="J1853" s="25" t="s">
        <v>5718</v>
      </c>
      <c r="K1853" s="26" t="s">
        <v>5719</v>
      </c>
      <c r="L1853" s="25" t="s">
        <v>2330</v>
      </c>
      <c r="M1853" t="str">
        <f>TEXT(A1853,"dddd")</f>
        <v>Sunday</v>
      </c>
      <c r="N1853" s="35">
        <f>DATE(Table4[[#This Row],[year]],Table4[[#This Row],[month2]],Table4[[#This Row],[day]])</f>
        <v>45837</v>
      </c>
    </row>
    <row r="1854" spans="1:14" ht="16" x14ac:dyDescent="0.35">
      <c r="A1854" t="str">
        <f t="shared" si="56"/>
        <v>29</v>
      </c>
      <c r="B1854">
        <f>_xlfn.SWITCH(Table4[[#This Row],[month]],"jan",1,"feb",2,"mar",3,"apr",4,"may",5,"jun",6,"jul",7,"aug",8,"sep",9,"oct",10,"nov",11,"dec",12,"no month")</f>
        <v>6</v>
      </c>
      <c r="C1854" s="12" t="str">
        <f>LEFT('All Transactions'!$E1854,3)</f>
        <v>Jun</v>
      </c>
      <c r="D1854" s="12" t="str">
        <f t="shared" si="57"/>
        <v>2025</v>
      </c>
      <c r="E1854" s="16" t="s">
        <v>5714</v>
      </c>
      <c r="F1854" s="17" t="s">
        <v>3009</v>
      </c>
      <c r="G1854" s="18" t="s">
        <v>28</v>
      </c>
      <c r="H1854" s="19">
        <v>300</v>
      </c>
      <c r="I1854" s="20" t="s">
        <v>5720</v>
      </c>
      <c r="J1854" s="20" t="s">
        <v>5721</v>
      </c>
      <c r="K1854" s="21" t="s">
        <v>5722</v>
      </c>
      <c r="L1854" s="20" t="s">
        <v>1808</v>
      </c>
      <c r="M1854" t="str">
        <f>TEXT(A1854,"dddd")</f>
        <v>Sunday</v>
      </c>
      <c r="N1854" s="35">
        <f>DATE(Table4[[#This Row],[year]],Table4[[#This Row],[month2]],Table4[[#This Row],[day]])</f>
        <v>45837</v>
      </c>
    </row>
    <row r="1855" spans="1:14" ht="16" x14ac:dyDescent="0.35">
      <c r="A1855" t="str">
        <f t="shared" si="56"/>
        <v>29</v>
      </c>
      <c r="B1855">
        <f>_xlfn.SWITCH(Table4[[#This Row],[month]],"jan",1,"feb",2,"mar",3,"apr",4,"may",5,"jun",6,"jul",7,"aug",8,"sep",9,"oct",10,"nov",11,"dec",12,"no month")</f>
        <v>6</v>
      </c>
      <c r="C1855" s="12" t="str">
        <f>LEFT('All Transactions'!$E1855,3)</f>
        <v>Jun</v>
      </c>
      <c r="D1855" s="12" t="str">
        <f t="shared" si="57"/>
        <v>2025</v>
      </c>
      <c r="E1855" s="22" t="s">
        <v>5714</v>
      </c>
      <c r="F1855" s="23" t="s">
        <v>3009</v>
      </c>
      <c r="G1855" s="27" t="s">
        <v>54</v>
      </c>
      <c r="H1855" s="24">
        <v>1000</v>
      </c>
      <c r="I1855" s="25" t="s">
        <v>1642</v>
      </c>
      <c r="J1855" s="25" t="s">
        <v>5723</v>
      </c>
      <c r="K1855" s="26" t="s">
        <v>5724</v>
      </c>
      <c r="L1855" s="25" t="s">
        <v>2330</v>
      </c>
      <c r="M1855" t="str">
        <f>TEXT(A1855,"dddd")</f>
        <v>Sunday</v>
      </c>
      <c r="N1855" s="35">
        <f>DATE(Table4[[#This Row],[year]],Table4[[#This Row],[month2]],Table4[[#This Row],[day]])</f>
        <v>45837</v>
      </c>
    </row>
    <row r="1856" spans="1:14" ht="16" x14ac:dyDescent="0.35">
      <c r="A1856" t="str">
        <f t="shared" si="56"/>
        <v>29</v>
      </c>
      <c r="B1856">
        <f>_xlfn.SWITCH(Table4[[#This Row],[month]],"jan",1,"feb",2,"mar",3,"apr",4,"may",5,"jun",6,"jul",7,"aug",8,"sep",9,"oct",10,"nov",11,"dec",12,"no month")</f>
        <v>6</v>
      </c>
      <c r="C1856" s="12" t="str">
        <f>LEFT('All Transactions'!$E1856,3)</f>
        <v>Jun</v>
      </c>
      <c r="D1856" s="12" t="str">
        <f t="shared" si="57"/>
        <v>2025</v>
      </c>
      <c r="E1856" s="16" t="s">
        <v>5714</v>
      </c>
      <c r="F1856" s="17" t="s">
        <v>1850</v>
      </c>
      <c r="G1856" s="27" t="s">
        <v>54</v>
      </c>
      <c r="H1856" s="19">
        <v>260</v>
      </c>
      <c r="I1856" s="20" t="s">
        <v>156</v>
      </c>
      <c r="J1856" s="20" t="s">
        <v>5725</v>
      </c>
      <c r="K1856" s="21" t="s">
        <v>5726</v>
      </c>
      <c r="L1856" s="20" t="s">
        <v>2330</v>
      </c>
      <c r="M1856" t="str">
        <f>TEXT(A1856,"dddd")</f>
        <v>Sunday</v>
      </c>
      <c r="N1856" s="35">
        <f>DATE(Table4[[#This Row],[year]],Table4[[#This Row],[month2]],Table4[[#This Row],[day]])</f>
        <v>45837</v>
      </c>
    </row>
    <row r="1857" spans="1:14" ht="16" x14ac:dyDescent="0.35">
      <c r="A1857" t="str">
        <f t="shared" si="56"/>
        <v>28</v>
      </c>
      <c r="B1857">
        <f>_xlfn.SWITCH(Table4[[#This Row],[month]],"jan",1,"feb",2,"mar",3,"apr",4,"may",5,"jun",6,"jul",7,"aug",8,"sep",9,"oct",10,"nov",11,"dec",12,"no month")</f>
        <v>6</v>
      </c>
      <c r="C1857" s="12" t="str">
        <f>LEFT('All Transactions'!$E1857,3)</f>
        <v>Jun</v>
      </c>
      <c r="D1857" s="12" t="str">
        <f t="shared" si="57"/>
        <v>2025</v>
      </c>
      <c r="E1857" s="22" t="s">
        <v>5727</v>
      </c>
      <c r="F1857" s="23" t="s">
        <v>1271</v>
      </c>
      <c r="G1857" s="18" t="s">
        <v>28</v>
      </c>
      <c r="H1857" s="24">
        <v>20</v>
      </c>
      <c r="I1857" s="25" t="s">
        <v>5728</v>
      </c>
      <c r="J1857" s="25" t="s">
        <v>5729</v>
      </c>
      <c r="K1857" s="26" t="s">
        <v>5730</v>
      </c>
      <c r="L1857" s="25" t="s">
        <v>47</v>
      </c>
      <c r="M1857" t="str">
        <f>TEXT(A1857,"dddd")</f>
        <v>Saturday</v>
      </c>
      <c r="N1857" s="35">
        <f>DATE(Table4[[#This Row],[year]],Table4[[#This Row],[month2]],Table4[[#This Row],[day]])</f>
        <v>45836</v>
      </c>
    </row>
    <row r="1858" spans="1:14" ht="16" x14ac:dyDescent="0.35">
      <c r="A1858" t="str">
        <f t="shared" si="56"/>
        <v>26</v>
      </c>
      <c r="B1858">
        <f>_xlfn.SWITCH(Table4[[#This Row],[month]],"jan",1,"feb",2,"mar",3,"apr",4,"may",5,"jun",6,"jul",7,"aug",8,"sep",9,"oct",10,"nov",11,"dec",12,"no month")</f>
        <v>6</v>
      </c>
      <c r="C1858" s="12" t="str">
        <f>LEFT('All Transactions'!$E1858,3)</f>
        <v>Jun</v>
      </c>
      <c r="D1858" s="12" t="str">
        <f t="shared" si="57"/>
        <v>2025</v>
      </c>
      <c r="E1858" s="16" t="s">
        <v>5731</v>
      </c>
      <c r="F1858" s="17" t="s">
        <v>3373</v>
      </c>
      <c r="G1858" s="18" t="s">
        <v>28</v>
      </c>
      <c r="H1858" s="19">
        <v>250</v>
      </c>
      <c r="I1858" s="20" t="s">
        <v>5732</v>
      </c>
      <c r="J1858" s="20" t="s">
        <v>5733</v>
      </c>
      <c r="K1858" s="21" t="s">
        <v>5734</v>
      </c>
      <c r="L1858" s="20" t="s">
        <v>1808</v>
      </c>
      <c r="M1858" t="str">
        <f>TEXT(A1858,"dddd")</f>
        <v>Thursday</v>
      </c>
      <c r="N1858" s="35">
        <f>DATE(Table4[[#This Row],[year]],Table4[[#This Row],[month2]],Table4[[#This Row],[day]])</f>
        <v>45834</v>
      </c>
    </row>
    <row r="1859" spans="1:14" ht="16" x14ac:dyDescent="0.35">
      <c r="A1859" t="str">
        <f t="shared" ref="A1859:A1922" si="58">MID(E1859,5,2)</f>
        <v>26</v>
      </c>
      <c r="B1859">
        <f>_xlfn.SWITCH(Table4[[#This Row],[month]],"jan",1,"feb",2,"mar",3,"apr",4,"may",5,"jun",6,"jul",7,"aug",8,"sep",9,"oct",10,"nov",11,"dec",12,"no month")</f>
        <v>6</v>
      </c>
      <c r="C1859" s="12" t="str">
        <f>LEFT('All Transactions'!$E1859,3)</f>
        <v>Jun</v>
      </c>
      <c r="D1859" s="12" t="str">
        <f t="shared" ref="D1859:D1922" si="59">RIGHT(E1859,4)</f>
        <v>2025</v>
      </c>
      <c r="E1859" s="22" t="s">
        <v>5731</v>
      </c>
      <c r="F1859" s="23" t="s">
        <v>691</v>
      </c>
      <c r="G1859" s="27" t="s">
        <v>54</v>
      </c>
      <c r="H1859" s="24">
        <v>250</v>
      </c>
      <c r="I1859" s="25" t="s">
        <v>156</v>
      </c>
      <c r="J1859" s="25" t="s">
        <v>5735</v>
      </c>
      <c r="K1859" s="26" t="s">
        <v>5736</v>
      </c>
      <c r="L1859" s="25" t="s">
        <v>2330</v>
      </c>
      <c r="M1859" t="str">
        <f>TEXT(A1859,"dddd")</f>
        <v>Thursday</v>
      </c>
      <c r="N1859" s="35">
        <f>DATE(Table4[[#This Row],[year]],Table4[[#This Row],[month2]],Table4[[#This Row],[day]])</f>
        <v>45834</v>
      </c>
    </row>
    <row r="1860" spans="1:14" ht="16" x14ac:dyDescent="0.35">
      <c r="A1860" t="str">
        <f t="shared" si="58"/>
        <v>26</v>
      </c>
      <c r="B1860">
        <f>_xlfn.SWITCH(Table4[[#This Row],[month]],"jan",1,"feb",2,"mar",3,"apr",4,"may",5,"jun",6,"jul",7,"aug",8,"sep",9,"oct",10,"nov",11,"dec",12,"no month")</f>
        <v>6</v>
      </c>
      <c r="C1860" s="12" t="str">
        <f>LEFT('All Transactions'!$E1860,3)</f>
        <v>Jun</v>
      </c>
      <c r="D1860" s="12" t="str">
        <f t="shared" si="59"/>
        <v>2025</v>
      </c>
      <c r="E1860" s="16" t="s">
        <v>5731</v>
      </c>
      <c r="F1860" s="17" t="s">
        <v>5737</v>
      </c>
      <c r="G1860" s="18" t="s">
        <v>28</v>
      </c>
      <c r="H1860" s="19">
        <v>5000</v>
      </c>
      <c r="I1860" s="20" t="s">
        <v>5416</v>
      </c>
      <c r="J1860" s="20" t="s">
        <v>5738</v>
      </c>
      <c r="K1860" s="21" t="s">
        <v>5739</v>
      </c>
      <c r="L1860" s="20" t="s">
        <v>1808</v>
      </c>
      <c r="M1860" t="str">
        <f>TEXT(A1860,"dddd")</f>
        <v>Thursday</v>
      </c>
      <c r="N1860" s="35">
        <f>DATE(Table4[[#This Row],[year]],Table4[[#This Row],[month2]],Table4[[#This Row],[day]])</f>
        <v>45834</v>
      </c>
    </row>
    <row r="1861" spans="1:14" ht="16" x14ac:dyDescent="0.35">
      <c r="A1861" t="str">
        <f t="shared" si="58"/>
        <v>26</v>
      </c>
      <c r="B1861">
        <f>_xlfn.SWITCH(Table4[[#This Row],[month]],"jan",1,"feb",2,"mar",3,"apr",4,"may",5,"jun",6,"jul",7,"aug",8,"sep",9,"oct",10,"nov",11,"dec",12,"no month")</f>
        <v>6</v>
      </c>
      <c r="C1861" s="12" t="str">
        <f>LEFT('All Transactions'!$E1861,3)</f>
        <v>Jun</v>
      </c>
      <c r="D1861" s="12" t="str">
        <f t="shared" si="59"/>
        <v>2025</v>
      </c>
      <c r="E1861" s="22" t="s">
        <v>5731</v>
      </c>
      <c r="F1861" s="23" t="s">
        <v>5740</v>
      </c>
      <c r="G1861" s="27" t="s">
        <v>54</v>
      </c>
      <c r="H1861" s="24">
        <v>3000</v>
      </c>
      <c r="I1861" s="25" t="s">
        <v>156</v>
      </c>
      <c r="J1861" s="25" t="s">
        <v>5741</v>
      </c>
      <c r="K1861" s="26" t="s">
        <v>5742</v>
      </c>
      <c r="L1861" s="25" t="s">
        <v>2330</v>
      </c>
      <c r="M1861" t="str">
        <f>TEXT(A1861,"dddd")</f>
        <v>Thursday</v>
      </c>
      <c r="N1861" s="35">
        <f>DATE(Table4[[#This Row],[year]],Table4[[#This Row],[month2]],Table4[[#This Row],[day]])</f>
        <v>45834</v>
      </c>
    </row>
    <row r="1862" spans="1:14" ht="16" x14ac:dyDescent="0.35">
      <c r="A1862" t="str">
        <f t="shared" si="58"/>
        <v>26</v>
      </c>
      <c r="B1862">
        <f>_xlfn.SWITCH(Table4[[#This Row],[month]],"jan",1,"feb",2,"mar",3,"apr",4,"may",5,"jun",6,"jul",7,"aug",8,"sep",9,"oct",10,"nov",11,"dec",12,"no month")</f>
        <v>6</v>
      </c>
      <c r="C1862" s="12" t="str">
        <f>LEFT('All Transactions'!$E1862,3)</f>
        <v>Jun</v>
      </c>
      <c r="D1862" s="12" t="str">
        <f t="shared" si="59"/>
        <v>2025</v>
      </c>
      <c r="E1862" s="16" t="s">
        <v>5731</v>
      </c>
      <c r="F1862" s="17" t="s">
        <v>5179</v>
      </c>
      <c r="G1862" s="27" t="s">
        <v>54</v>
      </c>
      <c r="H1862" s="19">
        <v>2000</v>
      </c>
      <c r="I1862" s="20" t="s">
        <v>3303</v>
      </c>
      <c r="J1862" s="20" t="s">
        <v>5743</v>
      </c>
      <c r="K1862" s="21" t="s">
        <v>5744</v>
      </c>
      <c r="L1862" s="20" t="s">
        <v>2330</v>
      </c>
      <c r="M1862" t="str">
        <f>TEXT(A1862,"dddd")</f>
        <v>Thursday</v>
      </c>
      <c r="N1862" s="35">
        <f>DATE(Table4[[#This Row],[year]],Table4[[#This Row],[month2]],Table4[[#This Row],[day]])</f>
        <v>45834</v>
      </c>
    </row>
    <row r="1863" spans="1:14" ht="16" x14ac:dyDescent="0.35">
      <c r="A1863" t="str">
        <f t="shared" si="58"/>
        <v>25</v>
      </c>
      <c r="B1863">
        <f>_xlfn.SWITCH(Table4[[#This Row],[month]],"jan",1,"feb",2,"mar",3,"apr",4,"may",5,"jun",6,"jul",7,"aug",8,"sep",9,"oct",10,"nov",11,"dec",12,"no month")</f>
        <v>6</v>
      </c>
      <c r="C1863" s="12" t="str">
        <f>LEFT('All Transactions'!$E1863,3)</f>
        <v>Jun</v>
      </c>
      <c r="D1863" s="12" t="str">
        <f t="shared" si="59"/>
        <v>2025</v>
      </c>
      <c r="E1863" s="22" t="s">
        <v>17</v>
      </c>
      <c r="F1863" s="23" t="s">
        <v>2032</v>
      </c>
      <c r="G1863" s="18" t="s">
        <v>28</v>
      </c>
      <c r="H1863" s="24">
        <v>698</v>
      </c>
      <c r="I1863" s="25" t="s">
        <v>5745</v>
      </c>
      <c r="J1863" s="25" t="s">
        <v>5746</v>
      </c>
      <c r="K1863" s="26" t="s">
        <v>5747</v>
      </c>
      <c r="L1863" s="25" t="s">
        <v>1808</v>
      </c>
      <c r="M1863" t="str">
        <f>TEXT(A1863,"dddd")</f>
        <v>Wednesday</v>
      </c>
      <c r="N1863" s="35">
        <f>DATE(Table4[[#This Row],[year]],Table4[[#This Row],[month2]],Table4[[#This Row],[day]])</f>
        <v>45833</v>
      </c>
    </row>
    <row r="1864" spans="1:14" ht="16" x14ac:dyDescent="0.35">
      <c r="A1864" t="str">
        <f t="shared" si="58"/>
        <v>25</v>
      </c>
      <c r="B1864">
        <f>_xlfn.SWITCH(Table4[[#This Row],[month]],"jan",1,"feb",2,"mar",3,"apr",4,"may",5,"jun",6,"jul",7,"aug",8,"sep",9,"oct",10,"nov",11,"dec",12,"no month")</f>
        <v>6</v>
      </c>
      <c r="C1864" s="12" t="str">
        <f>LEFT('All Transactions'!$E1864,3)</f>
        <v>Jun</v>
      </c>
      <c r="D1864" s="12" t="str">
        <f t="shared" si="59"/>
        <v>2025</v>
      </c>
      <c r="E1864" s="16" t="s">
        <v>17</v>
      </c>
      <c r="F1864" s="17" t="s">
        <v>3042</v>
      </c>
      <c r="G1864" s="18" t="s">
        <v>28</v>
      </c>
      <c r="H1864" s="19">
        <v>200</v>
      </c>
      <c r="I1864" s="20" t="s">
        <v>13</v>
      </c>
      <c r="J1864" s="20" t="s">
        <v>5748</v>
      </c>
      <c r="K1864" s="21" t="s">
        <v>5749</v>
      </c>
      <c r="L1864" s="20" t="s">
        <v>47</v>
      </c>
      <c r="M1864" t="str">
        <f>TEXT(A1864,"dddd")</f>
        <v>Wednesday</v>
      </c>
      <c r="N1864" s="35">
        <f>DATE(Table4[[#This Row],[year]],Table4[[#This Row],[month2]],Table4[[#This Row],[day]])</f>
        <v>45833</v>
      </c>
    </row>
    <row r="1865" spans="1:14" ht="16" x14ac:dyDescent="0.35">
      <c r="A1865" t="str">
        <f t="shared" si="58"/>
        <v>25</v>
      </c>
      <c r="B1865">
        <f>_xlfn.SWITCH(Table4[[#This Row],[month]],"jan",1,"feb",2,"mar",3,"apr",4,"may",5,"jun",6,"jul",7,"aug",8,"sep",9,"oct",10,"nov",11,"dec",12,"no month")</f>
        <v>6</v>
      </c>
      <c r="C1865" s="12" t="str">
        <f>LEFT('All Transactions'!$E1865,3)</f>
        <v>Jun</v>
      </c>
      <c r="D1865" s="12" t="str">
        <f t="shared" si="59"/>
        <v>2025</v>
      </c>
      <c r="E1865" s="22" t="s">
        <v>17</v>
      </c>
      <c r="F1865" s="23" t="s">
        <v>1917</v>
      </c>
      <c r="G1865" s="18" t="s">
        <v>28</v>
      </c>
      <c r="H1865" s="24">
        <v>225</v>
      </c>
      <c r="I1865" s="25" t="s">
        <v>5750</v>
      </c>
      <c r="J1865" s="25" t="s">
        <v>5751</v>
      </c>
      <c r="K1865" s="26" t="s">
        <v>5752</v>
      </c>
      <c r="L1865" s="25" t="s">
        <v>1808</v>
      </c>
      <c r="M1865" t="str">
        <f>TEXT(A1865,"dddd")</f>
        <v>Wednesday</v>
      </c>
      <c r="N1865" s="35">
        <f>DATE(Table4[[#This Row],[year]],Table4[[#This Row],[month2]],Table4[[#This Row],[day]])</f>
        <v>45833</v>
      </c>
    </row>
    <row r="1866" spans="1:14" ht="16" x14ac:dyDescent="0.35">
      <c r="A1866" t="str">
        <f t="shared" si="58"/>
        <v>25</v>
      </c>
      <c r="B1866">
        <f>_xlfn.SWITCH(Table4[[#This Row],[month]],"jan",1,"feb",2,"mar",3,"apr",4,"may",5,"jun",6,"jul",7,"aug",8,"sep",9,"oct",10,"nov",11,"dec",12,"no month")</f>
        <v>6</v>
      </c>
      <c r="C1866" s="12" t="str">
        <f>LEFT('All Transactions'!$E1866,3)</f>
        <v>Jun</v>
      </c>
      <c r="D1866" s="12" t="str">
        <f t="shared" si="59"/>
        <v>2025</v>
      </c>
      <c r="E1866" s="16" t="s">
        <v>17</v>
      </c>
      <c r="F1866" s="17" t="s">
        <v>1917</v>
      </c>
      <c r="G1866" s="27" t="s">
        <v>54</v>
      </c>
      <c r="H1866" s="19">
        <v>225</v>
      </c>
      <c r="I1866" s="20" t="s">
        <v>1586</v>
      </c>
      <c r="J1866" s="20" t="s">
        <v>5753</v>
      </c>
      <c r="K1866" s="21" t="s">
        <v>5754</v>
      </c>
      <c r="L1866" s="20" t="s">
        <v>2330</v>
      </c>
      <c r="M1866" t="str">
        <f>TEXT(A1866,"dddd")</f>
        <v>Wednesday</v>
      </c>
      <c r="N1866" s="35">
        <f>DATE(Table4[[#This Row],[year]],Table4[[#This Row],[month2]],Table4[[#This Row],[day]])</f>
        <v>45833</v>
      </c>
    </row>
    <row r="1867" spans="1:14" ht="16" x14ac:dyDescent="0.35">
      <c r="A1867" t="str">
        <f t="shared" si="58"/>
        <v>25</v>
      </c>
      <c r="B1867">
        <f>_xlfn.SWITCH(Table4[[#This Row],[month]],"jan",1,"feb",2,"mar",3,"apr",4,"may",5,"jun",6,"jul",7,"aug",8,"sep",9,"oct",10,"nov",11,"dec",12,"no month")</f>
        <v>6</v>
      </c>
      <c r="C1867" s="12" t="str">
        <f>LEFT('All Transactions'!$E1867,3)</f>
        <v>Jun</v>
      </c>
      <c r="D1867" s="12" t="str">
        <f t="shared" si="59"/>
        <v>2025</v>
      </c>
      <c r="E1867" s="22" t="s">
        <v>17</v>
      </c>
      <c r="F1867" s="23" t="s">
        <v>569</v>
      </c>
      <c r="G1867" s="27" t="s">
        <v>54</v>
      </c>
      <c r="H1867" s="24">
        <v>500</v>
      </c>
      <c r="I1867" s="25" t="s">
        <v>5458</v>
      </c>
      <c r="J1867" s="25" t="s">
        <v>5755</v>
      </c>
      <c r="K1867" s="26" t="s">
        <v>5756</v>
      </c>
      <c r="L1867" s="25" t="s">
        <v>2330</v>
      </c>
      <c r="M1867" t="str">
        <f>TEXT(A1867,"dddd")</f>
        <v>Wednesday</v>
      </c>
      <c r="N1867" s="35">
        <f>DATE(Table4[[#This Row],[year]],Table4[[#This Row],[month2]],Table4[[#This Row],[day]])</f>
        <v>45833</v>
      </c>
    </row>
    <row r="1868" spans="1:14" ht="16" x14ac:dyDescent="0.35">
      <c r="A1868" t="str">
        <f t="shared" si="58"/>
        <v>25</v>
      </c>
      <c r="B1868">
        <f>_xlfn.SWITCH(Table4[[#This Row],[month]],"jan",1,"feb",2,"mar",3,"apr",4,"may",5,"jun",6,"jul",7,"aug",8,"sep",9,"oct",10,"nov",11,"dec",12,"no month")</f>
        <v>6</v>
      </c>
      <c r="C1868" s="12" t="str">
        <f>LEFT('All Transactions'!$E1868,3)</f>
        <v>Jun</v>
      </c>
      <c r="D1868" s="12" t="str">
        <f t="shared" si="59"/>
        <v>2025</v>
      </c>
      <c r="E1868" s="16" t="s">
        <v>17</v>
      </c>
      <c r="F1868" s="17" t="s">
        <v>5014</v>
      </c>
      <c r="G1868" s="27" t="s">
        <v>54</v>
      </c>
      <c r="H1868" s="19">
        <v>2400</v>
      </c>
      <c r="I1868" s="20" t="s">
        <v>1090</v>
      </c>
      <c r="J1868" s="20" t="s">
        <v>5757</v>
      </c>
      <c r="K1868" s="21" t="s">
        <v>5758</v>
      </c>
      <c r="L1868" s="20" t="s">
        <v>2330</v>
      </c>
      <c r="M1868" t="str">
        <f>TEXT(A1868,"dddd")</f>
        <v>Wednesday</v>
      </c>
      <c r="N1868" s="35">
        <f>DATE(Table4[[#This Row],[year]],Table4[[#This Row],[month2]],Table4[[#This Row],[day]])</f>
        <v>45833</v>
      </c>
    </row>
    <row r="1869" spans="1:14" ht="16" x14ac:dyDescent="0.35">
      <c r="A1869" t="str">
        <f t="shared" si="58"/>
        <v>25</v>
      </c>
      <c r="B1869">
        <f>_xlfn.SWITCH(Table4[[#This Row],[month]],"jan",1,"feb",2,"mar",3,"apr",4,"may",5,"jun",6,"jul",7,"aug",8,"sep",9,"oct",10,"nov",11,"dec",12,"no month")</f>
        <v>6</v>
      </c>
      <c r="C1869" s="12" t="str">
        <f>LEFT('All Transactions'!$E1869,3)</f>
        <v>Jun</v>
      </c>
      <c r="D1869" s="12" t="str">
        <f t="shared" si="59"/>
        <v>2025</v>
      </c>
      <c r="E1869" s="22" t="s">
        <v>17</v>
      </c>
      <c r="F1869" s="23" t="s">
        <v>4157</v>
      </c>
      <c r="G1869" s="18" t="s">
        <v>28</v>
      </c>
      <c r="H1869" s="24">
        <v>21000</v>
      </c>
      <c r="I1869" s="25" t="s">
        <v>18</v>
      </c>
      <c r="J1869" s="25"/>
      <c r="K1869" s="26" t="s">
        <v>5759</v>
      </c>
      <c r="L1869" s="25" t="s">
        <v>47</v>
      </c>
      <c r="M1869" t="str">
        <f>TEXT(A1869,"dddd")</f>
        <v>Wednesday</v>
      </c>
      <c r="N1869" s="35">
        <f>DATE(Table4[[#This Row],[year]],Table4[[#This Row],[month2]],Table4[[#This Row],[day]])</f>
        <v>45833</v>
      </c>
    </row>
    <row r="1870" spans="1:14" ht="16" x14ac:dyDescent="0.35">
      <c r="A1870" t="str">
        <f t="shared" si="58"/>
        <v>25</v>
      </c>
      <c r="B1870">
        <f>_xlfn.SWITCH(Table4[[#This Row],[month]],"jan",1,"feb",2,"mar",3,"apr",4,"may",5,"jun",6,"jul",7,"aug",8,"sep",9,"oct",10,"nov",11,"dec",12,"no month")</f>
        <v>6</v>
      </c>
      <c r="C1870" s="12" t="str">
        <f>LEFT('All Transactions'!$E1870,3)</f>
        <v>Jun</v>
      </c>
      <c r="D1870" s="12" t="str">
        <f t="shared" si="59"/>
        <v>2025</v>
      </c>
      <c r="E1870" s="16" t="s">
        <v>17</v>
      </c>
      <c r="F1870" s="17" t="s">
        <v>5760</v>
      </c>
      <c r="G1870" s="27" t="s">
        <v>54</v>
      </c>
      <c r="H1870" s="19">
        <v>100</v>
      </c>
      <c r="I1870" s="20" t="s">
        <v>89</v>
      </c>
      <c r="J1870" s="20" t="s">
        <v>5761</v>
      </c>
      <c r="K1870" s="21" t="s">
        <v>5762</v>
      </c>
      <c r="L1870" s="20" t="s">
        <v>2330</v>
      </c>
      <c r="M1870" t="str">
        <f>TEXT(A1870,"dddd")</f>
        <v>Wednesday</v>
      </c>
      <c r="N1870" s="35">
        <f>DATE(Table4[[#This Row],[year]],Table4[[#This Row],[month2]],Table4[[#This Row],[day]])</f>
        <v>45833</v>
      </c>
    </row>
    <row r="1871" spans="1:14" ht="16" x14ac:dyDescent="0.35">
      <c r="A1871" t="str">
        <f t="shared" si="58"/>
        <v>24</v>
      </c>
      <c r="B1871">
        <f>_xlfn.SWITCH(Table4[[#This Row],[month]],"jan",1,"feb",2,"mar",3,"apr",4,"may",5,"jun",6,"jul",7,"aug",8,"sep",9,"oct",10,"nov",11,"dec",12,"no month")</f>
        <v>6</v>
      </c>
      <c r="C1871" s="12" t="str">
        <f>LEFT('All Transactions'!$E1871,3)</f>
        <v>Jun</v>
      </c>
      <c r="D1871" s="12" t="str">
        <f t="shared" si="59"/>
        <v>2025</v>
      </c>
      <c r="E1871" s="22" t="s">
        <v>5763</v>
      </c>
      <c r="F1871" s="23" t="s">
        <v>2967</v>
      </c>
      <c r="G1871" s="27" t="s">
        <v>54</v>
      </c>
      <c r="H1871" s="24">
        <v>120</v>
      </c>
      <c r="I1871" s="25" t="s">
        <v>1075</v>
      </c>
      <c r="J1871" s="25" t="s">
        <v>5764</v>
      </c>
      <c r="K1871" s="26" t="s">
        <v>5765</v>
      </c>
      <c r="L1871" s="25" t="s">
        <v>2330</v>
      </c>
      <c r="M1871" t="str">
        <f>TEXT(A1871,"dddd")</f>
        <v>Tuesday</v>
      </c>
      <c r="N1871" s="35">
        <f>DATE(Table4[[#This Row],[year]],Table4[[#This Row],[month2]],Table4[[#This Row],[day]])</f>
        <v>45832</v>
      </c>
    </row>
    <row r="1872" spans="1:14" ht="16" x14ac:dyDescent="0.35">
      <c r="A1872" t="str">
        <f t="shared" si="58"/>
        <v>22</v>
      </c>
      <c r="B1872">
        <f>_xlfn.SWITCH(Table4[[#This Row],[month]],"jan",1,"feb",2,"mar",3,"apr",4,"may",5,"jun",6,"jul",7,"aug",8,"sep",9,"oct",10,"nov",11,"dec",12,"no month")</f>
        <v>6</v>
      </c>
      <c r="C1872" s="12" t="str">
        <f>LEFT('All Transactions'!$E1872,3)</f>
        <v>Jun</v>
      </c>
      <c r="D1872" s="12" t="str">
        <f t="shared" si="59"/>
        <v>2025</v>
      </c>
      <c r="E1872" s="16" t="s">
        <v>5766</v>
      </c>
      <c r="F1872" s="17" t="s">
        <v>768</v>
      </c>
      <c r="G1872" s="18" t="s">
        <v>28</v>
      </c>
      <c r="H1872" s="19">
        <v>205</v>
      </c>
      <c r="I1872" s="20" t="s">
        <v>4791</v>
      </c>
      <c r="J1872" s="20" t="s">
        <v>5767</v>
      </c>
      <c r="K1872" s="21" t="s">
        <v>5768</v>
      </c>
      <c r="L1872" s="20" t="s">
        <v>1808</v>
      </c>
      <c r="M1872" t="str">
        <f>TEXT(A1872,"dddd")</f>
        <v>Sunday</v>
      </c>
      <c r="N1872" s="35">
        <f>DATE(Table4[[#This Row],[year]],Table4[[#This Row],[month2]],Table4[[#This Row],[day]])</f>
        <v>45830</v>
      </c>
    </row>
    <row r="1873" spans="1:14" ht="16" x14ac:dyDescent="0.35">
      <c r="A1873" t="str">
        <f t="shared" si="58"/>
        <v>22</v>
      </c>
      <c r="B1873">
        <f>_xlfn.SWITCH(Table4[[#This Row],[month]],"jan",1,"feb",2,"mar",3,"apr",4,"may",5,"jun",6,"jul",7,"aug",8,"sep",9,"oct",10,"nov",11,"dec",12,"no month")</f>
        <v>6</v>
      </c>
      <c r="C1873" s="12" t="str">
        <f>LEFT('All Transactions'!$E1873,3)</f>
        <v>Jun</v>
      </c>
      <c r="D1873" s="12" t="str">
        <f t="shared" si="59"/>
        <v>2025</v>
      </c>
      <c r="E1873" s="22" t="s">
        <v>5766</v>
      </c>
      <c r="F1873" s="23" t="s">
        <v>768</v>
      </c>
      <c r="G1873" s="27" t="s">
        <v>54</v>
      </c>
      <c r="H1873" s="24">
        <v>185</v>
      </c>
      <c r="I1873" s="25" t="s">
        <v>1075</v>
      </c>
      <c r="J1873" s="25" t="s">
        <v>5769</v>
      </c>
      <c r="K1873" s="26" t="s">
        <v>5770</v>
      </c>
      <c r="L1873" s="25" t="s">
        <v>2330</v>
      </c>
      <c r="M1873" t="str">
        <f>TEXT(A1873,"dddd")</f>
        <v>Sunday</v>
      </c>
      <c r="N1873" s="35">
        <f>DATE(Table4[[#This Row],[year]],Table4[[#This Row],[month2]],Table4[[#This Row],[day]])</f>
        <v>45830</v>
      </c>
    </row>
    <row r="1874" spans="1:14" ht="16" x14ac:dyDescent="0.35">
      <c r="A1874" t="str">
        <f t="shared" si="58"/>
        <v>21</v>
      </c>
      <c r="B1874">
        <f>_xlfn.SWITCH(Table4[[#This Row],[month]],"jan",1,"feb",2,"mar",3,"apr",4,"may",5,"jun",6,"jul",7,"aug",8,"sep",9,"oct",10,"nov",11,"dec",12,"no month")</f>
        <v>6</v>
      </c>
      <c r="C1874" s="12" t="str">
        <f>LEFT('All Transactions'!$E1874,3)</f>
        <v>Jun</v>
      </c>
      <c r="D1874" s="12" t="str">
        <f t="shared" si="59"/>
        <v>2025</v>
      </c>
      <c r="E1874" s="16" t="s">
        <v>5771</v>
      </c>
      <c r="F1874" s="17" t="s">
        <v>2710</v>
      </c>
      <c r="G1874" s="18" t="s">
        <v>28</v>
      </c>
      <c r="H1874" s="19">
        <v>1460</v>
      </c>
      <c r="I1874" s="20" t="s">
        <v>12</v>
      </c>
      <c r="J1874" s="20" t="s">
        <v>5772</v>
      </c>
      <c r="K1874" s="21" t="s">
        <v>5773</v>
      </c>
      <c r="L1874" s="20" t="s">
        <v>1808</v>
      </c>
      <c r="M1874" t="str">
        <f>TEXT(A1874,"dddd")</f>
        <v>Saturday</v>
      </c>
      <c r="N1874" s="35">
        <f>DATE(Table4[[#This Row],[year]],Table4[[#This Row],[month2]],Table4[[#This Row],[day]])</f>
        <v>45829</v>
      </c>
    </row>
    <row r="1875" spans="1:14" ht="16" x14ac:dyDescent="0.35">
      <c r="A1875" t="str">
        <f t="shared" si="58"/>
        <v>21</v>
      </c>
      <c r="B1875">
        <f>_xlfn.SWITCH(Table4[[#This Row],[month]],"jan",1,"feb",2,"mar",3,"apr",4,"may",5,"jun",6,"jul",7,"aug",8,"sep",9,"oct",10,"nov",11,"dec",12,"no month")</f>
        <v>6</v>
      </c>
      <c r="C1875" s="12" t="str">
        <f>LEFT('All Transactions'!$E1875,3)</f>
        <v>Jun</v>
      </c>
      <c r="D1875" s="12" t="str">
        <f t="shared" si="59"/>
        <v>2025</v>
      </c>
      <c r="E1875" s="22" t="s">
        <v>5771</v>
      </c>
      <c r="F1875" s="23" t="s">
        <v>678</v>
      </c>
      <c r="G1875" s="27" t="s">
        <v>54</v>
      </c>
      <c r="H1875" s="24">
        <v>500</v>
      </c>
      <c r="I1875" s="25" t="s">
        <v>1642</v>
      </c>
      <c r="J1875" s="25" t="s">
        <v>5774</v>
      </c>
      <c r="K1875" s="26" t="s">
        <v>5775</v>
      </c>
      <c r="L1875" s="25" t="s">
        <v>2330</v>
      </c>
      <c r="M1875" t="str">
        <f>TEXT(A1875,"dddd")</f>
        <v>Saturday</v>
      </c>
      <c r="N1875" s="35">
        <f>DATE(Table4[[#This Row],[year]],Table4[[#This Row],[month2]],Table4[[#This Row],[day]])</f>
        <v>45829</v>
      </c>
    </row>
    <row r="1876" spans="1:14" ht="16" x14ac:dyDescent="0.35">
      <c r="A1876" t="str">
        <f t="shared" si="58"/>
        <v>21</v>
      </c>
      <c r="B1876">
        <f>_xlfn.SWITCH(Table4[[#This Row],[month]],"jan",1,"feb",2,"mar",3,"apr",4,"may",5,"jun",6,"jul",7,"aug",8,"sep",9,"oct",10,"nov",11,"dec",12,"no month")</f>
        <v>6</v>
      </c>
      <c r="C1876" s="12" t="str">
        <f>LEFT('All Transactions'!$E1876,3)</f>
        <v>Jun</v>
      </c>
      <c r="D1876" s="12" t="str">
        <f t="shared" si="59"/>
        <v>2025</v>
      </c>
      <c r="E1876" s="16" t="s">
        <v>5771</v>
      </c>
      <c r="F1876" s="17" t="s">
        <v>3306</v>
      </c>
      <c r="G1876" s="27" t="s">
        <v>54</v>
      </c>
      <c r="H1876" s="19">
        <v>50</v>
      </c>
      <c r="I1876" s="20" t="s">
        <v>1586</v>
      </c>
      <c r="J1876" s="20" t="s">
        <v>5776</v>
      </c>
      <c r="K1876" s="21" t="s">
        <v>5777</v>
      </c>
      <c r="L1876" s="20" t="s">
        <v>2330</v>
      </c>
      <c r="M1876" t="str">
        <f>TEXT(A1876,"dddd")</f>
        <v>Saturday</v>
      </c>
      <c r="N1876" s="35">
        <f>DATE(Table4[[#This Row],[year]],Table4[[#This Row],[month2]],Table4[[#This Row],[day]])</f>
        <v>45829</v>
      </c>
    </row>
    <row r="1877" spans="1:14" ht="16" x14ac:dyDescent="0.35">
      <c r="A1877" t="str">
        <f t="shared" si="58"/>
        <v>21</v>
      </c>
      <c r="B1877">
        <f>_xlfn.SWITCH(Table4[[#This Row],[month]],"jan",1,"feb",2,"mar",3,"apr",4,"may",5,"jun",6,"jul",7,"aug",8,"sep",9,"oct",10,"nov",11,"dec",12,"no month")</f>
        <v>6</v>
      </c>
      <c r="C1877" s="12" t="str">
        <f>LEFT('All Transactions'!$E1877,3)</f>
        <v>Jun</v>
      </c>
      <c r="D1877" s="12" t="str">
        <f t="shared" si="59"/>
        <v>2025</v>
      </c>
      <c r="E1877" s="22" t="s">
        <v>5771</v>
      </c>
      <c r="F1877" s="23" t="s">
        <v>1385</v>
      </c>
      <c r="G1877" s="18" t="s">
        <v>28</v>
      </c>
      <c r="H1877" s="24">
        <v>50</v>
      </c>
      <c r="I1877" s="25" t="s">
        <v>487</v>
      </c>
      <c r="J1877" s="25" t="s">
        <v>5778</v>
      </c>
      <c r="K1877" s="26" t="s">
        <v>5779</v>
      </c>
      <c r="L1877" s="25" t="s">
        <v>1808</v>
      </c>
      <c r="M1877" t="str">
        <f>TEXT(A1877,"dddd")</f>
        <v>Saturday</v>
      </c>
      <c r="N1877" s="35">
        <f>DATE(Table4[[#This Row],[year]],Table4[[#This Row],[month2]],Table4[[#This Row],[day]])</f>
        <v>45829</v>
      </c>
    </row>
    <row r="1878" spans="1:14" ht="16" x14ac:dyDescent="0.35">
      <c r="A1878" t="str">
        <f t="shared" si="58"/>
        <v>21</v>
      </c>
      <c r="B1878">
        <f>_xlfn.SWITCH(Table4[[#This Row],[month]],"jan",1,"feb",2,"mar",3,"apr",4,"may",5,"jun",6,"jul",7,"aug",8,"sep",9,"oct",10,"nov",11,"dec",12,"no month")</f>
        <v>6</v>
      </c>
      <c r="C1878" s="12" t="str">
        <f>LEFT('All Transactions'!$E1878,3)</f>
        <v>Jun</v>
      </c>
      <c r="D1878" s="12" t="str">
        <f t="shared" si="59"/>
        <v>2025</v>
      </c>
      <c r="E1878" s="16" t="s">
        <v>5771</v>
      </c>
      <c r="F1878" s="17" t="s">
        <v>368</v>
      </c>
      <c r="G1878" s="18" t="s">
        <v>28</v>
      </c>
      <c r="H1878" s="19">
        <v>40</v>
      </c>
      <c r="I1878" s="20" t="s">
        <v>13</v>
      </c>
      <c r="J1878" s="20" t="s">
        <v>5780</v>
      </c>
      <c r="K1878" s="21" t="s">
        <v>5781</v>
      </c>
      <c r="L1878" s="20" t="s">
        <v>47</v>
      </c>
      <c r="M1878" t="str">
        <f>TEXT(A1878,"dddd")</f>
        <v>Saturday</v>
      </c>
      <c r="N1878" s="35">
        <f>DATE(Table4[[#This Row],[year]],Table4[[#This Row],[month2]],Table4[[#This Row],[day]])</f>
        <v>45829</v>
      </c>
    </row>
    <row r="1879" spans="1:14" ht="16" x14ac:dyDescent="0.35">
      <c r="A1879" t="str">
        <f t="shared" si="58"/>
        <v>21</v>
      </c>
      <c r="B1879">
        <f>_xlfn.SWITCH(Table4[[#This Row],[month]],"jan",1,"feb",2,"mar",3,"apr",4,"may",5,"jun",6,"jul",7,"aug",8,"sep",9,"oct",10,"nov",11,"dec",12,"no month")</f>
        <v>6</v>
      </c>
      <c r="C1879" s="12" t="str">
        <f>LEFT('All Transactions'!$E1879,3)</f>
        <v>Jun</v>
      </c>
      <c r="D1879" s="12" t="str">
        <f t="shared" si="59"/>
        <v>2025</v>
      </c>
      <c r="E1879" s="22" t="s">
        <v>5771</v>
      </c>
      <c r="F1879" s="23" t="s">
        <v>2355</v>
      </c>
      <c r="G1879" s="18" t="s">
        <v>28</v>
      </c>
      <c r="H1879" s="24">
        <v>100</v>
      </c>
      <c r="I1879" s="25" t="s">
        <v>487</v>
      </c>
      <c r="J1879" s="25" t="s">
        <v>5782</v>
      </c>
      <c r="K1879" s="26" t="s">
        <v>5783</v>
      </c>
      <c r="L1879" s="25" t="s">
        <v>1808</v>
      </c>
      <c r="M1879" t="str">
        <f>TEXT(A1879,"dddd")</f>
        <v>Saturday</v>
      </c>
      <c r="N1879" s="35">
        <f>DATE(Table4[[#This Row],[year]],Table4[[#This Row],[month2]],Table4[[#This Row],[day]])</f>
        <v>45829</v>
      </c>
    </row>
    <row r="1880" spans="1:14" ht="16" x14ac:dyDescent="0.35">
      <c r="A1880" t="str">
        <f t="shared" si="58"/>
        <v>21</v>
      </c>
      <c r="B1880">
        <f>_xlfn.SWITCH(Table4[[#This Row],[month]],"jan",1,"feb",2,"mar",3,"apr",4,"may",5,"jun",6,"jul",7,"aug",8,"sep",9,"oct",10,"nov",11,"dec",12,"no month")</f>
        <v>6</v>
      </c>
      <c r="C1880" s="12" t="str">
        <f>LEFT('All Transactions'!$E1880,3)</f>
        <v>Jun</v>
      </c>
      <c r="D1880" s="12" t="str">
        <f t="shared" si="59"/>
        <v>2025</v>
      </c>
      <c r="E1880" s="16" t="s">
        <v>5771</v>
      </c>
      <c r="F1880" s="17" t="s">
        <v>2407</v>
      </c>
      <c r="G1880" s="18" t="s">
        <v>28</v>
      </c>
      <c r="H1880" s="19">
        <v>100</v>
      </c>
      <c r="I1880" s="20" t="s">
        <v>4244</v>
      </c>
      <c r="J1880" s="20" t="s">
        <v>5784</v>
      </c>
      <c r="K1880" s="21" t="s">
        <v>5785</v>
      </c>
      <c r="L1880" s="20" t="s">
        <v>1808</v>
      </c>
      <c r="M1880" t="str">
        <f>TEXT(A1880,"dddd")</f>
        <v>Saturday</v>
      </c>
      <c r="N1880" s="35">
        <f>DATE(Table4[[#This Row],[year]],Table4[[#This Row],[month2]],Table4[[#This Row],[day]])</f>
        <v>45829</v>
      </c>
    </row>
    <row r="1881" spans="1:14" ht="16" x14ac:dyDescent="0.35">
      <c r="A1881" t="str">
        <f t="shared" si="58"/>
        <v>20</v>
      </c>
      <c r="B1881">
        <f>_xlfn.SWITCH(Table4[[#This Row],[month]],"jan",1,"feb",2,"mar",3,"apr",4,"may",5,"jun",6,"jul",7,"aug",8,"sep",9,"oct",10,"nov",11,"dec",12,"no month")</f>
        <v>6</v>
      </c>
      <c r="C1881" s="12" t="str">
        <f>LEFT('All Transactions'!$E1881,3)</f>
        <v>Jun</v>
      </c>
      <c r="D1881" s="12" t="str">
        <f t="shared" si="59"/>
        <v>2025</v>
      </c>
      <c r="E1881" s="22" t="s">
        <v>5786</v>
      </c>
      <c r="F1881" s="23" t="s">
        <v>358</v>
      </c>
      <c r="G1881" s="18" t="s">
        <v>28</v>
      </c>
      <c r="H1881" s="24">
        <v>40</v>
      </c>
      <c r="I1881" s="25" t="s">
        <v>4177</v>
      </c>
      <c r="J1881" s="25" t="s">
        <v>5787</v>
      </c>
      <c r="K1881" s="26" t="s">
        <v>5788</v>
      </c>
      <c r="L1881" s="25" t="s">
        <v>1808</v>
      </c>
      <c r="M1881" t="str">
        <f>TEXT(A1881,"dddd")</f>
        <v>Friday</v>
      </c>
      <c r="N1881" s="35">
        <f>DATE(Table4[[#This Row],[year]],Table4[[#This Row],[month2]],Table4[[#This Row],[day]])</f>
        <v>45828</v>
      </c>
    </row>
    <row r="1882" spans="1:14" ht="16" x14ac:dyDescent="0.35">
      <c r="A1882" t="str">
        <f t="shared" si="58"/>
        <v>19</v>
      </c>
      <c r="B1882">
        <f>_xlfn.SWITCH(Table4[[#This Row],[month]],"jan",1,"feb",2,"mar",3,"apr",4,"may",5,"jun",6,"jul",7,"aug",8,"sep",9,"oct",10,"nov",11,"dec",12,"no month")</f>
        <v>6</v>
      </c>
      <c r="C1882" s="12" t="str">
        <f>LEFT('All Transactions'!$E1882,3)</f>
        <v>Jun</v>
      </c>
      <c r="D1882" s="12" t="str">
        <f t="shared" si="59"/>
        <v>2025</v>
      </c>
      <c r="E1882" s="16" t="s">
        <v>5789</v>
      </c>
      <c r="F1882" s="17" t="s">
        <v>239</v>
      </c>
      <c r="G1882" s="18" t="s">
        <v>28</v>
      </c>
      <c r="H1882" s="19">
        <v>30</v>
      </c>
      <c r="I1882" s="20" t="s">
        <v>2033</v>
      </c>
      <c r="J1882" s="20" t="s">
        <v>5790</v>
      </c>
      <c r="K1882" s="21" t="s">
        <v>5791</v>
      </c>
      <c r="L1882" s="20" t="s">
        <v>1808</v>
      </c>
      <c r="M1882" t="str">
        <f>TEXT(A1882,"dddd")</f>
        <v>Thursday</v>
      </c>
      <c r="N1882" s="35">
        <f>DATE(Table4[[#This Row],[year]],Table4[[#This Row],[month2]],Table4[[#This Row],[day]])</f>
        <v>45827</v>
      </c>
    </row>
    <row r="1883" spans="1:14" ht="16" x14ac:dyDescent="0.35">
      <c r="A1883" t="str">
        <f t="shared" si="58"/>
        <v>19</v>
      </c>
      <c r="B1883">
        <f>_xlfn.SWITCH(Table4[[#This Row],[month]],"jan",1,"feb",2,"mar",3,"apr",4,"may",5,"jun",6,"jul",7,"aug",8,"sep",9,"oct",10,"nov",11,"dec",12,"no month")</f>
        <v>6</v>
      </c>
      <c r="C1883" s="12" t="str">
        <f>LEFT('All Transactions'!$E1883,3)</f>
        <v>Jun</v>
      </c>
      <c r="D1883" s="12" t="str">
        <f t="shared" si="59"/>
        <v>2025</v>
      </c>
      <c r="E1883" s="22" t="s">
        <v>5789</v>
      </c>
      <c r="F1883" s="23" t="s">
        <v>1513</v>
      </c>
      <c r="G1883" s="18" t="s">
        <v>28</v>
      </c>
      <c r="H1883" s="24">
        <v>18</v>
      </c>
      <c r="I1883" s="25" t="s">
        <v>4200</v>
      </c>
      <c r="J1883" s="25" t="s">
        <v>5792</v>
      </c>
      <c r="K1883" s="26" t="s">
        <v>5793</v>
      </c>
      <c r="L1883" s="25" t="s">
        <v>1808</v>
      </c>
      <c r="M1883" t="str">
        <f>TEXT(A1883,"dddd")</f>
        <v>Thursday</v>
      </c>
      <c r="N1883" s="35">
        <f>DATE(Table4[[#This Row],[year]],Table4[[#This Row],[month2]],Table4[[#This Row],[day]])</f>
        <v>45827</v>
      </c>
    </row>
    <row r="1884" spans="1:14" ht="16" x14ac:dyDescent="0.35">
      <c r="A1884" t="str">
        <f t="shared" si="58"/>
        <v>19</v>
      </c>
      <c r="B1884">
        <f>_xlfn.SWITCH(Table4[[#This Row],[month]],"jan",1,"feb",2,"mar",3,"apr",4,"may",5,"jun",6,"jul",7,"aug",8,"sep",9,"oct",10,"nov",11,"dec",12,"no month")</f>
        <v>6</v>
      </c>
      <c r="C1884" s="12" t="str">
        <f>LEFT('All Transactions'!$E1884,3)</f>
        <v>Jun</v>
      </c>
      <c r="D1884" s="12" t="str">
        <f t="shared" si="59"/>
        <v>2025</v>
      </c>
      <c r="E1884" s="16" t="s">
        <v>5789</v>
      </c>
      <c r="F1884" s="17" t="s">
        <v>184</v>
      </c>
      <c r="G1884" s="18" t="s">
        <v>28</v>
      </c>
      <c r="H1884" s="19">
        <v>1200</v>
      </c>
      <c r="I1884" s="20" t="s">
        <v>10</v>
      </c>
      <c r="J1884" s="20" t="s">
        <v>5794</v>
      </c>
      <c r="K1884" s="21" t="s">
        <v>5795</v>
      </c>
      <c r="L1884" s="20" t="s">
        <v>1808</v>
      </c>
      <c r="M1884" t="str">
        <f>TEXT(A1884,"dddd")</f>
        <v>Thursday</v>
      </c>
      <c r="N1884" s="35">
        <f>DATE(Table4[[#This Row],[year]],Table4[[#This Row],[month2]],Table4[[#This Row],[day]])</f>
        <v>45827</v>
      </c>
    </row>
    <row r="1885" spans="1:14" ht="16" x14ac:dyDescent="0.35">
      <c r="A1885" t="str">
        <f t="shared" si="58"/>
        <v>18</v>
      </c>
      <c r="B1885">
        <f>_xlfn.SWITCH(Table4[[#This Row],[month]],"jan",1,"feb",2,"mar",3,"apr",4,"may",5,"jun",6,"jul",7,"aug",8,"sep",9,"oct",10,"nov",11,"dec",12,"no month")</f>
        <v>6</v>
      </c>
      <c r="C1885" s="12" t="str">
        <f>LEFT('All Transactions'!$E1885,3)</f>
        <v>Jun</v>
      </c>
      <c r="D1885" s="12" t="str">
        <f t="shared" si="59"/>
        <v>2025</v>
      </c>
      <c r="E1885" s="22" t="s">
        <v>5796</v>
      </c>
      <c r="F1885" s="23" t="s">
        <v>869</v>
      </c>
      <c r="G1885" s="27" t="s">
        <v>54</v>
      </c>
      <c r="H1885" s="24">
        <v>2000</v>
      </c>
      <c r="I1885" s="25" t="s">
        <v>2352</v>
      </c>
      <c r="J1885" s="25" t="s">
        <v>5797</v>
      </c>
      <c r="K1885" s="26" t="s">
        <v>5798</v>
      </c>
      <c r="L1885" s="25" t="s">
        <v>2330</v>
      </c>
      <c r="M1885" t="str">
        <f>TEXT(A1885,"dddd")</f>
        <v>Wednesday</v>
      </c>
      <c r="N1885" s="35">
        <f>DATE(Table4[[#This Row],[year]],Table4[[#This Row],[month2]],Table4[[#This Row],[day]])</f>
        <v>45826</v>
      </c>
    </row>
    <row r="1886" spans="1:14" ht="16" x14ac:dyDescent="0.35">
      <c r="A1886" t="str">
        <f t="shared" si="58"/>
        <v>18</v>
      </c>
      <c r="B1886">
        <f>_xlfn.SWITCH(Table4[[#This Row],[month]],"jan",1,"feb",2,"mar",3,"apr",4,"may",5,"jun",6,"jul",7,"aug",8,"sep",9,"oct",10,"nov",11,"dec",12,"no month")</f>
        <v>6</v>
      </c>
      <c r="C1886" s="12" t="str">
        <f>LEFT('All Transactions'!$E1886,3)</f>
        <v>Jun</v>
      </c>
      <c r="D1886" s="12" t="str">
        <f t="shared" si="59"/>
        <v>2025</v>
      </c>
      <c r="E1886" s="16" t="s">
        <v>5796</v>
      </c>
      <c r="F1886" s="17" t="s">
        <v>5461</v>
      </c>
      <c r="G1886" s="18" t="s">
        <v>28</v>
      </c>
      <c r="H1886" s="19">
        <v>10</v>
      </c>
      <c r="I1886" s="20" t="s">
        <v>13</v>
      </c>
      <c r="J1886" s="20" t="s">
        <v>5799</v>
      </c>
      <c r="K1886" s="21" t="s">
        <v>5800</v>
      </c>
      <c r="L1886" s="20" t="s">
        <v>47</v>
      </c>
      <c r="M1886" t="str">
        <f>TEXT(A1886,"dddd")</f>
        <v>Wednesday</v>
      </c>
      <c r="N1886" s="35">
        <f>DATE(Table4[[#This Row],[year]],Table4[[#This Row],[month2]],Table4[[#This Row],[day]])</f>
        <v>45826</v>
      </c>
    </row>
    <row r="1887" spans="1:14" ht="16" x14ac:dyDescent="0.35">
      <c r="A1887" t="str">
        <f t="shared" si="58"/>
        <v>18</v>
      </c>
      <c r="B1887">
        <f>_xlfn.SWITCH(Table4[[#This Row],[month]],"jan",1,"feb",2,"mar",3,"apr",4,"may",5,"jun",6,"jul",7,"aug",8,"sep",9,"oct",10,"nov",11,"dec",12,"no month")</f>
        <v>6</v>
      </c>
      <c r="C1887" s="12" t="str">
        <f>LEFT('All Transactions'!$E1887,3)</f>
        <v>Jun</v>
      </c>
      <c r="D1887" s="12" t="str">
        <f t="shared" si="59"/>
        <v>2025</v>
      </c>
      <c r="E1887" s="22" t="s">
        <v>5796</v>
      </c>
      <c r="F1887" s="23" t="s">
        <v>5461</v>
      </c>
      <c r="G1887" s="18" t="s">
        <v>28</v>
      </c>
      <c r="H1887" s="24">
        <v>7</v>
      </c>
      <c r="I1887" s="25" t="s">
        <v>4244</v>
      </c>
      <c r="J1887" s="25" t="s">
        <v>5801</v>
      </c>
      <c r="K1887" s="26" t="s">
        <v>5802</v>
      </c>
      <c r="L1887" s="25" t="s">
        <v>1808</v>
      </c>
      <c r="M1887" t="str">
        <f>TEXT(A1887,"dddd")</f>
        <v>Wednesday</v>
      </c>
      <c r="N1887" s="35">
        <f>DATE(Table4[[#This Row],[year]],Table4[[#This Row],[month2]],Table4[[#This Row],[day]])</f>
        <v>45826</v>
      </c>
    </row>
    <row r="1888" spans="1:14" ht="16" x14ac:dyDescent="0.35">
      <c r="A1888" t="str">
        <f t="shared" si="58"/>
        <v>18</v>
      </c>
      <c r="B1888">
        <f>_xlfn.SWITCH(Table4[[#This Row],[month]],"jan",1,"feb",2,"mar",3,"apr",4,"may",5,"jun",6,"jul",7,"aug",8,"sep",9,"oct",10,"nov",11,"dec",12,"no month")</f>
        <v>6</v>
      </c>
      <c r="C1888" s="12" t="str">
        <f>LEFT('All Transactions'!$E1888,3)</f>
        <v>Jun</v>
      </c>
      <c r="D1888" s="12" t="str">
        <f t="shared" si="59"/>
        <v>2025</v>
      </c>
      <c r="E1888" s="16" t="s">
        <v>5796</v>
      </c>
      <c r="F1888" s="17" t="s">
        <v>2348</v>
      </c>
      <c r="G1888" s="18" t="s">
        <v>28</v>
      </c>
      <c r="H1888" s="19">
        <v>20</v>
      </c>
      <c r="I1888" s="20" t="s">
        <v>167</v>
      </c>
      <c r="J1888" s="20" t="s">
        <v>5803</v>
      </c>
      <c r="K1888" s="21" t="s">
        <v>5804</v>
      </c>
      <c r="L1888" s="20" t="s">
        <v>47</v>
      </c>
      <c r="M1888" t="str">
        <f>TEXT(A1888,"dddd")</f>
        <v>Wednesday</v>
      </c>
      <c r="N1888" s="35">
        <f>DATE(Table4[[#This Row],[year]],Table4[[#This Row],[month2]],Table4[[#This Row],[day]])</f>
        <v>45826</v>
      </c>
    </row>
    <row r="1889" spans="1:14" ht="16" x14ac:dyDescent="0.35">
      <c r="A1889" t="str">
        <f t="shared" si="58"/>
        <v>18</v>
      </c>
      <c r="B1889">
        <f>_xlfn.SWITCH(Table4[[#This Row],[month]],"jan",1,"feb",2,"mar",3,"apr",4,"may",5,"jun",6,"jul",7,"aug",8,"sep",9,"oct",10,"nov",11,"dec",12,"no month")</f>
        <v>6</v>
      </c>
      <c r="C1889" s="12" t="str">
        <f>LEFT('All Transactions'!$E1889,3)</f>
        <v>Jun</v>
      </c>
      <c r="D1889" s="12" t="str">
        <f t="shared" si="59"/>
        <v>2025</v>
      </c>
      <c r="E1889" s="22" t="s">
        <v>5796</v>
      </c>
      <c r="F1889" s="23" t="s">
        <v>5805</v>
      </c>
      <c r="G1889" s="18" t="s">
        <v>28</v>
      </c>
      <c r="H1889" s="24">
        <v>105</v>
      </c>
      <c r="I1889" s="25" t="s">
        <v>5806</v>
      </c>
      <c r="J1889" s="25" t="s">
        <v>5807</v>
      </c>
      <c r="K1889" s="26" t="s">
        <v>5808</v>
      </c>
      <c r="L1889" s="25" t="s">
        <v>47</v>
      </c>
      <c r="M1889" t="str">
        <f>TEXT(A1889,"dddd")</f>
        <v>Wednesday</v>
      </c>
      <c r="N1889" s="35">
        <f>DATE(Table4[[#This Row],[year]],Table4[[#This Row],[month2]],Table4[[#This Row],[day]])</f>
        <v>45826</v>
      </c>
    </row>
    <row r="1890" spans="1:14" ht="16" x14ac:dyDescent="0.35">
      <c r="A1890" t="str">
        <f t="shared" si="58"/>
        <v>18</v>
      </c>
      <c r="B1890">
        <f>_xlfn.SWITCH(Table4[[#This Row],[month]],"jan",1,"feb",2,"mar",3,"apr",4,"may",5,"jun",6,"jul",7,"aug",8,"sep",9,"oct",10,"nov",11,"dec",12,"no month")</f>
        <v>6</v>
      </c>
      <c r="C1890" s="12" t="str">
        <f>LEFT('All Transactions'!$E1890,3)</f>
        <v>Jun</v>
      </c>
      <c r="D1890" s="12" t="str">
        <f t="shared" si="59"/>
        <v>2025</v>
      </c>
      <c r="E1890" s="16" t="s">
        <v>5796</v>
      </c>
      <c r="F1890" s="17" t="s">
        <v>5809</v>
      </c>
      <c r="G1890" s="18" t="s">
        <v>28</v>
      </c>
      <c r="H1890" s="19">
        <v>200</v>
      </c>
      <c r="I1890" s="20" t="s">
        <v>4244</v>
      </c>
      <c r="J1890" s="20" t="s">
        <v>5810</v>
      </c>
      <c r="K1890" s="21" t="s">
        <v>5811</v>
      </c>
      <c r="L1890" s="20" t="s">
        <v>47</v>
      </c>
      <c r="M1890" t="str">
        <f>TEXT(A1890,"dddd")</f>
        <v>Wednesday</v>
      </c>
      <c r="N1890" s="35">
        <f>DATE(Table4[[#This Row],[year]],Table4[[#This Row],[month2]],Table4[[#This Row],[day]])</f>
        <v>45826</v>
      </c>
    </row>
    <row r="1891" spans="1:14" ht="16" x14ac:dyDescent="0.35">
      <c r="A1891" t="str">
        <f t="shared" si="58"/>
        <v>17</v>
      </c>
      <c r="B1891">
        <f>_xlfn.SWITCH(Table4[[#This Row],[month]],"jan",1,"feb",2,"mar",3,"apr",4,"may",5,"jun",6,"jul",7,"aug",8,"sep",9,"oct",10,"nov",11,"dec",12,"no month")</f>
        <v>6</v>
      </c>
      <c r="C1891" s="12" t="str">
        <f>LEFT('All Transactions'!$E1891,3)</f>
        <v>Jun</v>
      </c>
      <c r="D1891" s="12" t="str">
        <f t="shared" si="59"/>
        <v>2025</v>
      </c>
      <c r="E1891" s="22" t="s">
        <v>5812</v>
      </c>
      <c r="F1891" s="23" t="s">
        <v>1611</v>
      </c>
      <c r="G1891" s="18" t="s">
        <v>28</v>
      </c>
      <c r="H1891" s="24">
        <v>100</v>
      </c>
      <c r="I1891" s="25" t="s">
        <v>5659</v>
      </c>
      <c r="J1891" s="25" t="s">
        <v>5813</v>
      </c>
      <c r="K1891" s="26" t="s">
        <v>5814</v>
      </c>
      <c r="L1891" s="25" t="s">
        <v>47</v>
      </c>
      <c r="M1891" t="str">
        <f>TEXT(A1891,"dddd")</f>
        <v>Tuesday</v>
      </c>
      <c r="N1891" s="35">
        <f>DATE(Table4[[#This Row],[year]],Table4[[#This Row],[month2]],Table4[[#This Row],[day]])</f>
        <v>45825</v>
      </c>
    </row>
    <row r="1892" spans="1:14" ht="16" x14ac:dyDescent="0.35">
      <c r="A1892" t="str">
        <f t="shared" si="58"/>
        <v>17</v>
      </c>
      <c r="B1892">
        <f>_xlfn.SWITCH(Table4[[#This Row],[month]],"jan",1,"feb",2,"mar",3,"apr",4,"may",5,"jun",6,"jul",7,"aug",8,"sep",9,"oct",10,"nov",11,"dec",12,"no month")</f>
        <v>6</v>
      </c>
      <c r="C1892" s="12" t="str">
        <f>LEFT('All Transactions'!$E1892,3)</f>
        <v>Jun</v>
      </c>
      <c r="D1892" s="12" t="str">
        <f t="shared" si="59"/>
        <v>2025</v>
      </c>
      <c r="E1892" s="16" t="s">
        <v>5812</v>
      </c>
      <c r="F1892" s="17" t="s">
        <v>1536</v>
      </c>
      <c r="G1892" s="18" t="s">
        <v>28</v>
      </c>
      <c r="H1892" s="19">
        <v>10</v>
      </c>
      <c r="I1892" s="20" t="s">
        <v>5815</v>
      </c>
      <c r="J1892" s="20" t="s">
        <v>5816</v>
      </c>
      <c r="K1892" s="21" t="s">
        <v>5817</v>
      </c>
      <c r="L1892" s="20" t="s">
        <v>47</v>
      </c>
      <c r="M1892" t="str">
        <f>TEXT(A1892,"dddd")</f>
        <v>Tuesday</v>
      </c>
      <c r="N1892" s="35">
        <f>DATE(Table4[[#This Row],[year]],Table4[[#This Row],[month2]],Table4[[#This Row],[day]])</f>
        <v>45825</v>
      </c>
    </row>
    <row r="1893" spans="1:14" ht="16" x14ac:dyDescent="0.35">
      <c r="A1893" t="str">
        <f t="shared" si="58"/>
        <v>17</v>
      </c>
      <c r="B1893">
        <f>_xlfn.SWITCH(Table4[[#This Row],[month]],"jan",1,"feb",2,"mar",3,"apr",4,"may",5,"jun",6,"jul",7,"aug",8,"sep",9,"oct",10,"nov",11,"dec",12,"no month")</f>
        <v>6</v>
      </c>
      <c r="C1893" s="12" t="str">
        <f>LEFT('All Transactions'!$E1893,3)</f>
        <v>Jun</v>
      </c>
      <c r="D1893" s="12" t="str">
        <f t="shared" si="59"/>
        <v>2025</v>
      </c>
      <c r="E1893" s="22" t="s">
        <v>5812</v>
      </c>
      <c r="F1893" s="23" t="s">
        <v>3577</v>
      </c>
      <c r="G1893" s="18" t="s">
        <v>28</v>
      </c>
      <c r="H1893" s="24">
        <v>15</v>
      </c>
      <c r="I1893" s="25" t="s">
        <v>5815</v>
      </c>
      <c r="J1893" s="25" t="s">
        <v>5818</v>
      </c>
      <c r="K1893" s="26" t="s">
        <v>5819</v>
      </c>
      <c r="L1893" s="25" t="s">
        <v>47</v>
      </c>
      <c r="M1893" t="str">
        <f>TEXT(A1893,"dddd")</f>
        <v>Tuesday</v>
      </c>
      <c r="N1893" s="35">
        <f>DATE(Table4[[#This Row],[year]],Table4[[#This Row],[month2]],Table4[[#This Row],[day]])</f>
        <v>45825</v>
      </c>
    </row>
    <row r="1894" spans="1:14" ht="16" x14ac:dyDescent="0.35">
      <c r="A1894" t="str">
        <f t="shared" si="58"/>
        <v>17</v>
      </c>
      <c r="B1894">
        <f>_xlfn.SWITCH(Table4[[#This Row],[month]],"jan",1,"feb",2,"mar",3,"apr",4,"may",5,"jun",6,"jul",7,"aug",8,"sep",9,"oct",10,"nov",11,"dec",12,"no month")</f>
        <v>6</v>
      </c>
      <c r="C1894" s="12" t="str">
        <f>LEFT('All Transactions'!$E1894,3)</f>
        <v>Jun</v>
      </c>
      <c r="D1894" s="12" t="str">
        <f t="shared" si="59"/>
        <v>2025</v>
      </c>
      <c r="E1894" s="16" t="s">
        <v>5812</v>
      </c>
      <c r="F1894" s="17" t="s">
        <v>5820</v>
      </c>
      <c r="G1894" s="18" t="s">
        <v>28</v>
      </c>
      <c r="H1894" s="19">
        <v>35</v>
      </c>
      <c r="I1894" s="20" t="s">
        <v>5821</v>
      </c>
      <c r="J1894" s="20" t="s">
        <v>5822</v>
      </c>
      <c r="K1894" s="21" t="s">
        <v>5823</v>
      </c>
      <c r="L1894" s="20" t="s">
        <v>47</v>
      </c>
      <c r="M1894" t="str">
        <f>TEXT(A1894,"dddd")</f>
        <v>Tuesday</v>
      </c>
      <c r="N1894" s="35">
        <f>DATE(Table4[[#This Row],[year]],Table4[[#This Row],[month2]],Table4[[#This Row],[day]])</f>
        <v>45825</v>
      </c>
    </row>
    <row r="1895" spans="1:14" ht="16" x14ac:dyDescent="0.35">
      <c r="A1895" t="str">
        <f t="shared" si="58"/>
        <v>16</v>
      </c>
      <c r="B1895">
        <f>_xlfn.SWITCH(Table4[[#This Row],[month]],"jan",1,"feb",2,"mar",3,"apr",4,"may",5,"jun",6,"jul",7,"aug",8,"sep",9,"oct",10,"nov",11,"dec",12,"no month")</f>
        <v>6</v>
      </c>
      <c r="C1895" s="12" t="str">
        <f>LEFT('All Transactions'!$E1895,3)</f>
        <v>Jun</v>
      </c>
      <c r="D1895" s="12" t="str">
        <f t="shared" si="59"/>
        <v>2025</v>
      </c>
      <c r="E1895" s="22" t="s">
        <v>5824</v>
      </c>
      <c r="F1895" s="23" t="s">
        <v>5825</v>
      </c>
      <c r="G1895" s="18" t="s">
        <v>28</v>
      </c>
      <c r="H1895" s="24">
        <v>2000</v>
      </c>
      <c r="I1895" s="25" t="s">
        <v>5826</v>
      </c>
      <c r="J1895" s="25"/>
      <c r="K1895" s="26" t="s">
        <v>5827</v>
      </c>
      <c r="L1895" s="25" t="s">
        <v>47</v>
      </c>
      <c r="M1895" t="str">
        <f>TEXT(A1895,"dddd")</f>
        <v>Monday</v>
      </c>
      <c r="N1895" s="35">
        <f>DATE(Table4[[#This Row],[year]],Table4[[#This Row],[month2]],Table4[[#This Row],[day]])</f>
        <v>45824</v>
      </c>
    </row>
    <row r="1896" spans="1:14" ht="16" x14ac:dyDescent="0.35">
      <c r="A1896" t="str">
        <f t="shared" si="58"/>
        <v>16</v>
      </c>
      <c r="B1896">
        <f>_xlfn.SWITCH(Table4[[#This Row],[month]],"jan",1,"feb",2,"mar",3,"apr",4,"may",5,"jun",6,"jul",7,"aug",8,"sep",9,"oct",10,"nov",11,"dec",12,"no month")</f>
        <v>6</v>
      </c>
      <c r="C1896" s="12" t="str">
        <f>LEFT('All Transactions'!$E1896,3)</f>
        <v>Jun</v>
      </c>
      <c r="D1896" s="12" t="str">
        <f t="shared" si="59"/>
        <v>2025</v>
      </c>
      <c r="E1896" s="16" t="s">
        <v>5824</v>
      </c>
      <c r="F1896" s="17" t="s">
        <v>5828</v>
      </c>
      <c r="G1896" s="18" t="s">
        <v>28</v>
      </c>
      <c r="H1896" s="19">
        <v>100</v>
      </c>
      <c r="I1896" s="20" t="s">
        <v>5393</v>
      </c>
      <c r="J1896" s="20" t="s">
        <v>5829</v>
      </c>
      <c r="K1896" s="21" t="s">
        <v>5830</v>
      </c>
      <c r="L1896" s="20" t="s">
        <v>47</v>
      </c>
      <c r="M1896" t="str">
        <f>TEXT(A1896,"dddd")</f>
        <v>Monday</v>
      </c>
      <c r="N1896" s="35">
        <f>DATE(Table4[[#This Row],[year]],Table4[[#This Row],[month2]],Table4[[#This Row],[day]])</f>
        <v>45824</v>
      </c>
    </row>
    <row r="1897" spans="1:14" ht="16" x14ac:dyDescent="0.35">
      <c r="A1897" t="str">
        <f t="shared" si="58"/>
        <v>14</v>
      </c>
      <c r="B1897">
        <f>_xlfn.SWITCH(Table4[[#This Row],[month]],"jan",1,"feb",2,"mar",3,"apr",4,"may",5,"jun",6,"jul",7,"aug",8,"sep",9,"oct",10,"nov",11,"dec",12,"no month")</f>
        <v>6</v>
      </c>
      <c r="C1897" s="12" t="str">
        <f>LEFT('All Transactions'!$E1897,3)</f>
        <v>Jun</v>
      </c>
      <c r="D1897" s="12" t="str">
        <f t="shared" si="59"/>
        <v>2025</v>
      </c>
      <c r="E1897" s="22" t="s">
        <v>5831</v>
      </c>
      <c r="F1897" s="23" t="s">
        <v>1977</v>
      </c>
      <c r="G1897" s="27" t="s">
        <v>54</v>
      </c>
      <c r="H1897" s="24">
        <v>150</v>
      </c>
      <c r="I1897" s="25" t="s">
        <v>156</v>
      </c>
      <c r="J1897" s="25" t="s">
        <v>5832</v>
      </c>
      <c r="K1897" s="26" t="s">
        <v>5833</v>
      </c>
      <c r="L1897" s="25" t="s">
        <v>2330</v>
      </c>
      <c r="M1897" t="str">
        <f>TEXT(A1897,"dddd")</f>
        <v>Saturday</v>
      </c>
      <c r="N1897" s="35">
        <f>DATE(Table4[[#This Row],[year]],Table4[[#This Row],[month2]],Table4[[#This Row],[day]])</f>
        <v>45822</v>
      </c>
    </row>
    <row r="1898" spans="1:14" ht="16" x14ac:dyDescent="0.35">
      <c r="A1898" t="str">
        <f t="shared" si="58"/>
        <v>12</v>
      </c>
      <c r="B1898">
        <f>_xlfn.SWITCH(Table4[[#This Row],[month]],"jan",1,"feb",2,"mar",3,"apr",4,"may",5,"jun",6,"jul",7,"aug",8,"sep",9,"oct",10,"nov",11,"dec",12,"no month")</f>
        <v>6</v>
      </c>
      <c r="C1898" s="12" t="str">
        <f>LEFT('All Transactions'!$E1898,3)</f>
        <v>Jun</v>
      </c>
      <c r="D1898" s="12" t="str">
        <f t="shared" si="59"/>
        <v>2025</v>
      </c>
      <c r="E1898" s="16" t="s">
        <v>5834</v>
      </c>
      <c r="F1898" s="17" t="s">
        <v>1172</v>
      </c>
      <c r="G1898" s="18" t="s">
        <v>28</v>
      </c>
      <c r="H1898" s="19">
        <v>2000</v>
      </c>
      <c r="I1898" s="20" t="s">
        <v>10</v>
      </c>
      <c r="J1898" s="20" t="s">
        <v>5835</v>
      </c>
      <c r="K1898" s="21" t="s">
        <v>5836</v>
      </c>
      <c r="L1898" s="20" t="s">
        <v>1808</v>
      </c>
      <c r="M1898" t="str">
        <f>TEXT(A1898,"dddd")</f>
        <v>Thursday</v>
      </c>
      <c r="N1898" s="35">
        <f>DATE(Table4[[#This Row],[year]],Table4[[#This Row],[month2]],Table4[[#This Row],[day]])</f>
        <v>45820</v>
      </c>
    </row>
    <row r="1899" spans="1:14" ht="16" x14ac:dyDescent="0.35">
      <c r="A1899" t="str">
        <f t="shared" si="58"/>
        <v>12</v>
      </c>
      <c r="B1899">
        <f>_xlfn.SWITCH(Table4[[#This Row],[month]],"jan",1,"feb",2,"mar",3,"apr",4,"may",5,"jun",6,"jul",7,"aug",8,"sep",9,"oct",10,"nov",11,"dec",12,"no month")</f>
        <v>6</v>
      </c>
      <c r="C1899" s="12" t="str">
        <f>LEFT('All Transactions'!$E1899,3)</f>
        <v>Jun</v>
      </c>
      <c r="D1899" s="12" t="str">
        <f t="shared" si="59"/>
        <v>2025</v>
      </c>
      <c r="E1899" s="22" t="s">
        <v>5834</v>
      </c>
      <c r="F1899" s="23" t="s">
        <v>865</v>
      </c>
      <c r="G1899" s="27" t="s">
        <v>54</v>
      </c>
      <c r="H1899" s="24">
        <v>2000</v>
      </c>
      <c r="I1899" s="25" t="s">
        <v>2964</v>
      </c>
      <c r="J1899" s="25" t="s">
        <v>5837</v>
      </c>
      <c r="K1899" s="26" t="s">
        <v>5838</v>
      </c>
      <c r="L1899" s="25" t="s">
        <v>2330</v>
      </c>
      <c r="M1899" t="str">
        <f>TEXT(A1899,"dddd")</f>
        <v>Thursday</v>
      </c>
      <c r="N1899" s="35">
        <f>DATE(Table4[[#This Row],[year]],Table4[[#This Row],[month2]],Table4[[#This Row],[day]])</f>
        <v>45820</v>
      </c>
    </row>
    <row r="1900" spans="1:14" ht="16" x14ac:dyDescent="0.35">
      <c r="A1900" t="str">
        <f t="shared" si="58"/>
        <v>12</v>
      </c>
      <c r="B1900">
        <f>_xlfn.SWITCH(Table4[[#This Row],[month]],"jan",1,"feb",2,"mar",3,"apr",4,"may",5,"jun",6,"jul",7,"aug",8,"sep",9,"oct",10,"nov",11,"dec",12,"no month")</f>
        <v>6</v>
      </c>
      <c r="C1900" s="12" t="str">
        <f>LEFT('All Transactions'!$E1900,3)</f>
        <v>Jun</v>
      </c>
      <c r="D1900" s="12" t="str">
        <f t="shared" si="59"/>
        <v>2025</v>
      </c>
      <c r="E1900" s="16" t="s">
        <v>5834</v>
      </c>
      <c r="F1900" s="17" t="s">
        <v>73</v>
      </c>
      <c r="G1900" s="18" t="s">
        <v>28</v>
      </c>
      <c r="H1900" s="19">
        <v>2000</v>
      </c>
      <c r="I1900" s="20" t="s">
        <v>5659</v>
      </c>
      <c r="J1900" s="20" t="s">
        <v>5839</v>
      </c>
      <c r="K1900" s="21" t="s">
        <v>5840</v>
      </c>
      <c r="L1900" s="20" t="s">
        <v>47</v>
      </c>
      <c r="M1900" t="str">
        <f>TEXT(A1900,"dddd")</f>
        <v>Thursday</v>
      </c>
      <c r="N1900" s="35">
        <f>DATE(Table4[[#This Row],[year]],Table4[[#This Row],[month2]],Table4[[#This Row],[day]])</f>
        <v>45820</v>
      </c>
    </row>
    <row r="1901" spans="1:14" ht="16" x14ac:dyDescent="0.35">
      <c r="A1901" t="str">
        <f t="shared" si="58"/>
        <v>11</v>
      </c>
      <c r="B1901">
        <f>_xlfn.SWITCH(Table4[[#This Row],[month]],"jan",1,"feb",2,"mar",3,"apr",4,"may",5,"jun",6,"jul",7,"aug",8,"sep",9,"oct",10,"nov",11,"dec",12,"no month")</f>
        <v>6</v>
      </c>
      <c r="C1901" s="12" t="str">
        <f>LEFT('All Transactions'!$E1901,3)</f>
        <v>Jun</v>
      </c>
      <c r="D1901" s="12" t="str">
        <f t="shared" si="59"/>
        <v>2025</v>
      </c>
      <c r="E1901" s="22" t="s">
        <v>5841</v>
      </c>
      <c r="F1901" s="23" t="s">
        <v>2525</v>
      </c>
      <c r="G1901" s="18" t="s">
        <v>28</v>
      </c>
      <c r="H1901" s="24">
        <v>10</v>
      </c>
      <c r="I1901" s="25" t="s">
        <v>487</v>
      </c>
      <c r="J1901" s="25" t="s">
        <v>5842</v>
      </c>
      <c r="K1901" s="26" t="s">
        <v>5843</v>
      </c>
      <c r="L1901" s="25" t="s">
        <v>1808</v>
      </c>
      <c r="M1901" t="str">
        <f>TEXT(A1901,"dddd")</f>
        <v>Wednesday</v>
      </c>
      <c r="N1901" s="35">
        <f>DATE(Table4[[#This Row],[year]],Table4[[#This Row],[month2]],Table4[[#This Row],[day]])</f>
        <v>45819</v>
      </c>
    </row>
    <row r="1902" spans="1:14" ht="16" x14ac:dyDescent="0.35">
      <c r="A1902" t="str">
        <f t="shared" si="58"/>
        <v>11</v>
      </c>
      <c r="B1902">
        <f>_xlfn.SWITCH(Table4[[#This Row],[month]],"jan",1,"feb",2,"mar",3,"apr",4,"may",5,"jun",6,"jul",7,"aug",8,"sep",9,"oct",10,"nov",11,"dec",12,"no month")</f>
        <v>6</v>
      </c>
      <c r="C1902" s="12" t="str">
        <f>LEFT('All Transactions'!$E1902,3)</f>
        <v>Jun</v>
      </c>
      <c r="D1902" s="12" t="str">
        <f t="shared" si="59"/>
        <v>2025</v>
      </c>
      <c r="E1902" s="16" t="s">
        <v>5841</v>
      </c>
      <c r="F1902" s="17" t="s">
        <v>316</v>
      </c>
      <c r="G1902" s="18" t="s">
        <v>28</v>
      </c>
      <c r="H1902" s="19">
        <v>120</v>
      </c>
      <c r="I1902" s="20" t="s">
        <v>5844</v>
      </c>
      <c r="J1902" s="20" t="s">
        <v>5845</v>
      </c>
      <c r="K1902" s="21" t="s">
        <v>5846</v>
      </c>
      <c r="L1902" s="20" t="s">
        <v>47</v>
      </c>
      <c r="M1902" t="str">
        <f>TEXT(A1902,"dddd")</f>
        <v>Wednesday</v>
      </c>
      <c r="N1902" s="35">
        <f>DATE(Table4[[#This Row],[year]],Table4[[#This Row],[month2]],Table4[[#This Row],[day]])</f>
        <v>45819</v>
      </c>
    </row>
    <row r="1903" spans="1:14" ht="16" x14ac:dyDescent="0.35">
      <c r="A1903" t="str">
        <f t="shared" si="58"/>
        <v>11</v>
      </c>
      <c r="B1903">
        <f>_xlfn.SWITCH(Table4[[#This Row],[month]],"jan",1,"feb",2,"mar",3,"apr",4,"may",5,"jun",6,"jul",7,"aug",8,"sep",9,"oct",10,"nov",11,"dec",12,"no month")</f>
        <v>6</v>
      </c>
      <c r="C1903" s="12" t="str">
        <f>LEFT('All Transactions'!$E1903,3)</f>
        <v>Jun</v>
      </c>
      <c r="D1903" s="12" t="str">
        <f t="shared" si="59"/>
        <v>2025</v>
      </c>
      <c r="E1903" s="22" t="s">
        <v>5841</v>
      </c>
      <c r="F1903" s="23" t="s">
        <v>1013</v>
      </c>
      <c r="G1903" s="18" t="s">
        <v>28</v>
      </c>
      <c r="H1903" s="24">
        <v>204.15</v>
      </c>
      <c r="I1903" s="25" t="s">
        <v>3125</v>
      </c>
      <c r="J1903" s="25" t="s">
        <v>5847</v>
      </c>
      <c r="K1903" s="26" t="s">
        <v>5848</v>
      </c>
      <c r="L1903" s="25" t="s">
        <v>47</v>
      </c>
      <c r="M1903" t="str">
        <f>TEXT(A1903,"dddd")</f>
        <v>Wednesday</v>
      </c>
      <c r="N1903" s="35">
        <f>DATE(Table4[[#This Row],[year]],Table4[[#This Row],[month2]],Table4[[#This Row],[day]])</f>
        <v>45819</v>
      </c>
    </row>
    <row r="1904" spans="1:14" ht="16" x14ac:dyDescent="0.35">
      <c r="A1904" t="str">
        <f t="shared" si="58"/>
        <v>11</v>
      </c>
      <c r="B1904">
        <f>_xlfn.SWITCH(Table4[[#This Row],[month]],"jan",1,"feb",2,"mar",3,"apr",4,"may",5,"jun",6,"jul",7,"aug",8,"sep",9,"oct",10,"nov",11,"dec",12,"no month")</f>
        <v>6</v>
      </c>
      <c r="C1904" s="12" t="str">
        <f>LEFT('All Transactions'!$E1904,3)</f>
        <v>Jun</v>
      </c>
      <c r="D1904" s="12" t="str">
        <f t="shared" si="59"/>
        <v>2025</v>
      </c>
      <c r="E1904" s="16" t="s">
        <v>5841</v>
      </c>
      <c r="F1904" s="17" t="s">
        <v>5849</v>
      </c>
      <c r="G1904" s="18" t="s">
        <v>28</v>
      </c>
      <c r="H1904" s="19">
        <v>800</v>
      </c>
      <c r="I1904" s="20" t="s">
        <v>10</v>
      </c>
      <c r="J1904" s="20" t="s">
        <v>5850</v>
      </c>
      <c r="K1904" s="21" t="s">
        <v>5851</v>
      </c>
      <c r="L1904" s="20" t="s">
        <v>1808</v>
      </c>
      <c r="M1904" t="str">
        <f>TEXT(A1904,"dddd")</f>
        <v>Wednesday</v>
      </c>
      <c r="N1904" s="35">
        <f>DATE(Table4[[#This Row],[year]],Table4[[#This Row],[month2]],Table4[[#This Row],[day]])</f>
        <v>45819</v>
      </c>
    </row>
    <row r="1905" spans="1:14" ht="16" x14ac:dyDescent="0.35">
      <c r="A1905" t="str">
        <f t="shared" si="58"/>
        <v>10</v>
      </c>
      <c r="B1905">
        <f>_xlfn.SWITCH(Table4[[#This Row],[month]],"jan",1,"feb",2,"mar",3,"apr",4,"may",5,"jun",6,"jul",7,"aug",8,"sep",9,"oct",10,"nov",11,"dec",12,"no month")</f>
        <v>6</v>
      </c>
      <c r="C1905" s="12" t="str">
        <f>LEFT('All Transactions'!$E1905,3)</f>
        <v>Jun</v>
      </c>
      <c r="D1905" s="12" t="str">
        <f t="shared" si="59"/>
        <v>2025</v>
      </c>
      <c r="E1905" s="22" t="s">
        <v>5852</v>
      </c>
      <c r="F1905" s="23" t="s">
        <v>3613</v>
      </c>
      <c r="G1905" s="27" t="s">
        <v>54</v>
      </c>
      <c r="H1905" s="24">
        <v>800</v>
      </c>
      <c r="I1905" s="25" t="s">
        <v>156</v>
      </c>
      <c r="J1905" s="25" t="s">
        <v>5853</v>
      </c>
      <c r="K1905" s="26" t="s">
        <v>5854</v>
      </c>
      <c r="L1905" s="25" t="s">
        <v>2330</v>
      </c>
      <c r="M1905" t="str">
        <f>TEXT(A1905,"dddd")</f>
        <v>Tuesday</v>
      </c>
      <c r="N1905" s="35">
        <f>DATE(Table4[[#This Row],[year]],Table4[[#This Row],[month2]],Table4[[#This Row],[day]])</f>
        <v>45818</v>
      </c>
    </row>
    <row r="1906" spans="1:14" ht="16" x14ac:dyDescent="0.35">
      <c r="A1906" t="str">
        <f t="shared" si="58"/>
        <v>09</v>
      </c>
      <c r="B1906">
        <f>_xlfn.SWITCH(Table4[[#This Row],[month]],"jan",1,"feb",2,"mar",3,"apr",4,"may",5,"jun",6,"jul",7,"aug",8,"sep",9,"oct",10,"nov",11,"dec",12,"no month")</f>
        <v>6</v>
      </c>
      <c r="C1906" s="12" t="str">
        <f>LEFT('All Transactions'!$E1906,3)</f>
        <v>Jun</v>
      </c>
      <c r="D1906" s="12" t="str">
        <f t="shared" si="59"/>
        <v>2025</v>
      </c>
      <c r="E1906" s="16" t="s">
        <v>5855</v>
      </c>
      <c r="F1906" s="17" t="s">
        <v>869</v>
      </c>
      <c r="G1906" s="18" t="s">
        <v>28</v>
      </c>
      <c r="H1906" s="19">
        <v>800</v>
      </c>
      <c r="I1906" s="20" t="s">
        <v>5856</v>
      </c>
      <c r="J1906" s="20" t="s">
        <v>5857</v>
      </c>
      <c r="K1906" s="21" t="s">
        <v>5858</v>
      </c>
      <c r="L1906" s="20" t="s">
        <v>47</v>
      </c>
      <c r="M1906" t="str">
        <f>TEXT(A1906,"dddd")</f>
        <v>Monday</v>
      </c>
      <c r="N1906" s="35">
        <f>DATE(Table4[[#This Row],[year]],Table4[[#This Row],[month2]],Table4[[#This Row],[day]])</f>
        <v>45817</v>
      </c>
    </row>
    <row r="1907" spans="1:14" ht="16" x14ac:dyDescent="0.35">
      <c r="A1907" t="str">
        <f t="shared" si="58"/>
        <v>08</v>
      </c>
      <c r="B1907">
        <f>_xlfn.SWITCH(Table4[[#This Row],[month]],"jan",1,"feb",2,"mar",3,"apr",4,"may",5,"jun",6,"jul",7,"aug",8,"sep",9,"oct",10,"nov",11,"dec",12,"no month")</f>
        <v>6</v>
      </c>
      <c r="C1907" s="12" t="str">
        <f>LEFT('All Transactions'!$E1907,3)</f>
        <v>Jun</v>
      </c>
      <c r="D1907" s="12" t="str">
        <f t="shared" si="59"/>
        <v>2025</v>
      </c>
      <c r="E1907" s="22" t="s">
        <v>5859</v>
      </c>
      <c r="F1907" s="23" t="s">
        <v>1302</v>
      </c>
      <c r="G1907" s="18" t="s">
        <v>28</v>
      </c>
      <c r="H1907" s="24">
        <v>200</v>
      </c>
      <c r="I1907" s="25" t="s">
        <v>5860</v>
      </c>
      <c r="J1907" s="25" t="s">
        <v>5861</v>
      </c>
      <c r="K1907" s="26" t="s">
        <v>5862</v>
      </c>
      <c r="L1907" s="25" t="s">
        <v>47</v>
      </c>
      <c r="M1907" t="str">
        <f>TEXT(A1907,"dddd")</f>
        <v>Sunday</v>
      </c>
      <c r="N1907" s="35">
        <f>DATE(Table4[[#This Row],[year]],Table4[[#This Row],[month2]],Table4[[#This Row],[day]])</f>
        <v>45816</v>
      </c>
    </row>
    <row r="1908" spans="1:14" ht="16" x14ac:dyDescent="0.35">
      <c r="A1908" t="str">
        <f t="shared" si="58"/>
        <v>08</v>
      </c>
      <c r="B1908">
        <f>_xlfn.SWITCH(Table4[[#This Row],[month]],"jan",1,"feb",2,"mar",3,"apr",4,"may",5,"jun",6,"jul",7,"aug",8,"sep",9,"oct",10,"nov",11,"dec",12,"no month")</f>
        <v>6</v>
      </c>
      <c r="C1908" s="12" t="str">
        <f>LEFT('All Transactions'!$E1908,3)</f>
        <v>Jun</v>
      </c>
      <c r="D1908" s="12" t="str">
        <f t="shared" si="59"/>
        <v>2025</v>
      </c>
      <c r="E1908" s="16" t="s">
        <v>5859</v>
      </c>
      <c r="F1908" s="17" t="s">
        <v>5863</v>
      </c>
      <c r="G1908" s="18" t="s">
        <v>28</v>
      </c>
      <c r="H1908" s="19">
        <v>160</v>
      </c>
      <c r="I1908" s="20" t="s">
        <v>13</v>
      </c>
      <c r="J1908" s="20" t="s">
        <v>5864</v>
      </c>
      <c r="K1908" s="21" t="s">
        <v>5865</v>
      </c>
      <c r="L1908" s="20" t="s">
        <v>47</v>
      </c>
      <c r="M1908" t="str">
        <f>TEXT(A1908,"dddd")</f>
        <v>Sunday</v>
      </c>
      <c r="N1908" s="35">
        <f>DATE(Table4[[#This Row],[year]],Table4[[#This Row],[month2]],Table4[[#This Row],[day]])</f>
        <v>45816</v>
      </c>
    </row>
    <row r="1909" spans="1:14" ht="16" x14ac:dyDescent="0.35">
      <c r="A1909" t="str">
        <f t="shared" si="58"/>
        <v>07</v>
      </c>
      <c r="B1909">
        <f>_xlfn.SWITCH(Table4[[#This Row],[month]],"jan",1,"feb",2,"mar",3,"apr",4,"may",5,"jun",6,"jul",7,"aug",8,"sep",9,"oct",10,"nov",11,"dec",12,"no month")</f>
        <v>6</v>
      </c>
      <c r="C1909" s="12" t="str">
        <f>LEFT('All Transactions'!$E1909,3)</f>
        <v>Jun</v>
      </c>
      <c r="D1909" s="12" t="str">
        <f t="shared" si="59"/>
        <v>2025</v>
      </c>
      <c r="E1909" s="22" t="s">
        <v>9</v>
      </c>
      <c r="F1909" s="23" t="s">
        <v>3101</v>
      </c>
      <c r="G1909" s="18" t="s">
        <v>28</v>
      </c>
      <c r="H1909" s="24">
        <v>27900</v>
      </c>
      <c r="I1909" s="25" t="s">
        <v>13</v>
      </c>
      <c r="J1909" s="25" t="s">
        <v>5866</v>
      </c>
      <c r="K1909" s="26" t="s">
        <v>5867</v>
      </c>
      <c r="L1909" s="25" t="s">
        <v>47</v>
      </c>
      <c r="M1909" t="str">
        <f>TEXT(A1909,"dddd")</f>
        <v>Saturday</v>
      </c>
      <c r="N1909" s="35">
        <f>DATE(Table4[[#This Row],[year]],Table4[[#This Row],[month2]],Table4[[#This Row],[day]])</f>
        <v>45815</v>
      </c>
    </row>
    <row r="1910" spans="1:14" ht="16" x14ac:dyDescent="0.35">
      <c r="A1910" t="str">
        <f t="shared" si="58"/>
        <v>07</v>
      </c>
      <c r="B1910">
        <f>_xlfn.SWITCH(Table4[[#This Row],[month]],"jan",1,"feb",2,"mar",3,"apr",4,"may",5,"jun",6,"jul",7,"aug",8,"sep",9,"oct",10,"nov",11,"dec",12,"no month")</f>
        <v>6</v>
      </c>
      <c r="C1910" s="12" t="str">
        <f>LEFT('All Transactions'!$E1910,3)</f>
        <v>Jun</v>
      </c>
      <c r="D1910" s="12" t="str">
        <f t="shared" si="59"/>
        <v>2025</v>
      </c>
      <c r="E1910" s="16" t="s">
        <v>9</v>
      </c>
      <c r="F1910" s="17" t="s">
        <v>5086</v>
      </c>
      <c r="G1910" s="18" t="s">
        <v>28</v>
      </c>
      <c r="H1910" s="19">
        <v>3100</v>
      </c>
      <c r="I1910" s="20" t="s">
        <v>13</v>
      </c>
      <c r="J1910" s="20" t="s">
        <v>5868</v>
      </c>
      <c r="K1910" s="21" t="s">
        <v>5869</v>
      </c>
      <c r="L1910" s="20" t="s">
        <v>47</v>
      </c>
      <c r="M1910" t="str">
        <f>TEXT(A1910,"dddd")</f>
        <v>Saturday</v>
      </c>
      <c r="N1910" s="35">
        <f>DATE(Table4[[#This Row],[year]],Table4[[#This Row],[month2]],Table4[[#This Row],[day]])</f>
        <v>45815</v>
      </c>
    </row>
    <row r="1911" spans="1:14" ht="16" x14ac:dyDescent="0.35">
      <c r="A1911" t="str">
        <f t="shared" si="58"/>
        <v>07</v>
      </c>
      <c r="B1911">
        <f>_xlfn.SWITCH(Table4[[#This Row],[month]],"jan",1,"feb",2,"mar",3,"apr",4,"may",5,"jun",6,"jul",7,"aug",8,"sep",9,"oct",10,"nov",11,"dec",12,"no month")</f>
        <v>6</v>
      </c>
      <c r="C1911" s="12" t="str">
        <f>LEFT('All Transactions'!$E1911,3)</f>
        <v>Jun</v>
      </c>
      <c r="D1911" s="12" t="str">
        <f t="shared" si="59"/>
        <v>2025</v>
      </c>
      <c r="E1911" s="22" t="s">
        <v>9</v>
      </c>
      <c r="F1911" s="23" t="s">
        <v>368</v>
      </c>
      <c r="G1911" s="18" t="s">
        <v>28</v>
      </c>
      <c r="H1911" s="24">
        <v>31400</v>
      </c>
      <c r="I1911" s="25" t="s">
        <v>10</v>
      </c>
      <c r="J1911" s="25" t="s">
        <v>5870</v>
      </c>
      <c r="K1911" s="26" t="s">
        <v>5871</v>
      </c>
      <c r="L1911" s="25" t="s">
        <v>1808</v>
      </c>
      <c r="M1911" t="str">
        <f>TEXT(A1911,"dddd")</f>
        <v>Saturday</v>
      </c>
      <c r="N1911" s="35">
        <f>DATE(Table4[[#This Row],[year]],Table4[[#This Row],[month2]],Table4[[#This Row],[day]])</f>
        <v>45815</v>
      </c>
    </row>
    <row r="1912" spans="1:14" ht="16" x14ac:dyDescent="0.35">
      <c r="A1912" t="str">
        <f t="shared" si="58"/>
        <v>07</v>
      </c>
      <c r="B1912">
        <f>_xlfn.SWITCH(Table4[[#This Row],[month]],"jan",1,"feb",2,"mar",3,"apr",4,"may",5,"jun",6,"jul",7,"aug",8,"sep",9,"oct",10,"nov",11,"dec",12,"no month")</f>
        <v>6</v>
      </c>
      <c r="C1912" s="12" t="str">
        <f>LEFT('All Transactions'!$E1912,3)</f>
        <v>Jun</v>
      </c>
      <c r="D1912" s="12" t="str">
        <f t="shared" si="59"/>
        <v>2025</v>
      </c>
      <c r="E1912" s="16" t="s">
        <v>9</v>
      </c>
      <c r="F1912" s="17" t="s">
        <v>2681</v>
      </c>
      <c r="G1912" s="27" t="s">
        <v>54</v>
      </c>
      <c r="H1912" s="19">
        <v>2000</v>
      </c>
      <c r="I1912" s="20" t="s">
        <v>89</v>
      </c>
      <c r="J1912" s="20" t="s">
        <v>5872</v>
      </c>
      <c r="K1912" s="21" t="s">
        <v>5873</v>
      </c>
      <c r="L1912" s="20" t="s">
        <v>2330</v>
      </c>
      <c r="M1912" t="str">
        <f>TEXT(A1912,"dddd")</f>
        <v>Saturday</v>
      </c>
      <c r="N1912" s="35">
        <f>DATE(Table4[[#This Row],[year]],Table4[[#This Row],[month2]],Table4[[#This Row],[day]])</f>
        <v>45815</v>
      </c>
    </row>
    <row r="1913" spans="1:14" ht="16" x14ac:dyDescent="0.35">
      <c r="A1913" t="str">
        <f t="shared" si="58"/>
        <v>07</v>
      </c>
      <c r="B1913">
        <f>_xlfn.SWITCH(Table4[[#This Row],[month]],"jan",1,"feb",2,"mar",3,"apr",4,"may",5,"jun",6,"jul",7,"aug",8,"sep",9,"oct",10,"nov",11,"dec",12,"no month")</f>
        <v>6</v>
      </c>
      <c r="C1913" s="12" t="str">
        <f>LEFT('All Transactions'!$E1913,3)</f>
        <v>Jun</v>
      </c>
      <c r="D1913" s="12" t="str">
        <f t="shared" si="59"/>
        <v>2025</v>
      </c>
      <c r="E1913" s="22" t="s">
        <v>9</v>
      </c>
      <c r="F1913" s="23" t="s">
        <v>2506</v>
      </c>
      <c r="G1913" s="27" t="s">
        <v>54</v>
      </c>
      <c r="H1913" s="24">
        <v>27900</v>
      </c>
      <c r="I1913" s="25" t="s">
        <v>5874</v>
      </c>
      <c r="J1913" s="25" t="s">
        <v>5875</v>
      </c>
      <c r="K1913" s="26" t="s">
        <v>5876</v>
      </c>
      <c r="L1913" s="25" t="s">
        <v>2330</v>
      </c>
      <c r="M1913" t="str">
        <f>TEXT(A1913,"dddd")</f>
        <v>Saturday</v>
      </c>
      <c r="N1913" s="35">
        <f>DATE(Table4[[#This Row],[year]],Table4[[#This Row],[month2]],Table4[[#This Row],[day]])</f>
        <v>45815</v>
      </c>
    </row>
    <row r="1914" spans="1:14" ht="16" x14ac:dyDescent="0.35">
      <c r="A1914" t="str">
        <f t="shared" si="58"/>
        <v>07</v>
      </c>
      <c r="B1914">
        <f>_xlfn.SWITCH(Table4[[#This Row],[month]],"jan",1,"feb",2,"mar",3,"apr",4,"may",5,"jun",6,"jul",7,"aug",8,"sep",9,"oct",10,"nov",11,"dec",12,"no month")</f>
        <v>6</v>
      </c>
      <c r="C1914" s="12" t="str">
        <f>LEFT('All Transactions'!$E1914,3)</f>
        <v>Jun</v>
      </c>
      <c r="D1914" s="12" t="str">
        <f t="shared" si="59"/>
        <v>2025</v>
      </c>
      <c r="E1914" s="16" t="s">
        <v>9</v>
      </c>
      <c r="F1914" s="17" t="s">
        <v>3947</v>
      </c>
      <c r="G1914" s="27" t="s">
        <v>54</v>
      </c>
      <c r="H1914" s="19">
        <v>3100</v>
      </c>
      <c r="I1914" s="20" t="s">
        <v>5874</v>
      </c>
      <c r="J1914" s="20" t="s">
        <v>5877</v>
      </c>
      <c r="K1914" s="21" t="s">
        <v>5878</v>
      </c>
      <c r="L1914" s="20" t="s">
        <v>2330</v>
      </c>
      <c r="M1914" t="str">
        <f>TEXT(A1914,"dddd")</f>
        <v>Saturday</v>
      </c>
      <c r="N1914" s="35">
        <f>DATE(Table4[[#This Row],[year]],Table4[[#This Row],[month2]],Table4[[#This Row],[day]])</f>
        <v>45815</v>
      </c>
    </row>
    <row r="1915" spans="1:14" ht="16" x14ac:dyDescent="0.35">
      <c r="A1915" t="str">
        <f t="shared" si="58"/>
        <v>06</v>
      </c>
      <c r="B1915">
        <f>_xlfn.SWITCH(Table4[[#This Row],[month]],"jan",1,"feb",2,"mar",3,"apr",4,"may",5,"jun",6,"jul",7,"aug",8,"sep",9,"oct",10,"nov",11,"dec",12,"no month")</f>
        <v>6</v>
      </c>
      <c r="C1915" s="12" t="str">
        <f>LEFT('All Transactions'!$E1915,3)</f>
        <v>Jun</v>
      </c>
      <c r="D1915" s="12" t="str">
        <f t="shared" si="59"/>
        <v>2025</v>
      </c>
      <c r="E1915" s="22" t="s">
        <v>5879</v>
      </c>
      <c r="F1915" s="23" t="s">
        <v>1035</v>
      </c>
      <c r="G1915" s="27" t="s">
        <v>54</v>
      </c>
      <c r="H1915" s="24">
        <v>80</v>
      </c>
      <c r="I1915" s="25" t="s">
        <v>1090</v>
      </c>
      <c r="J1915" s="25" t="s">
        <v>5880</v>
      </c>
      <c r="K1915" s="26" t="s">
        <v>5881</v>
      </c>
      <c r="L1915" s="25" t="s">
        <v>2330</v>
      </c>
      <c r="M1915" t="str">
        <f>TEXT(A1915,"dddd")</f>
        <v>Friday</v>
      </c>
      <c r="N1915" s="35">
        <f>DATE(Table4[[#This Row],[year]],Table4[[#This Row],[month2]],Table4[[#This Row],[day]])</f>
        <v>45814</v>
      </c>
    </row>
    <row r="1916" spans="1:14" ht="16" x14ac:dyDescent="0.35">
      <c r="A1916" t="str">
        <f t="shared" si="58"/>
        <v>06</v>
      </c>
      <c r="B1916">
        <f>_xlfn.SWITCH(Table4[[#This Row],[month]],"jan",1,"feb",2,"mar",3,"apr",4,"may",5,"jun",6,"jul",7,"aug",8,"sep",9,"oct",10,"nov",11,"dec",12,"no month")</f>
        <v>6</v>
      </c>
      <c r="C1916" s="12" t="str">
        <f>LEFT('All Transactions'!$E1916,3)</f>
        <v>Jun</v>
      </c>
      <c r="D1916" s="12" t="str">
        <f t="shared" si="59"/>
        <v>2025</v>
      </c>
      <c r="E1916" s="16" t="s">
        <v>5879</v>
      </c>
      <c r="F1916" s="17" t="s">
        <v>1225</v>
      </c>
      <c r="G1916" s="18" t="s">
        <v>28</v>
      </c>
      <c r="H1916" s="19">
        <v>52</v>
      </c>
      <c r="I1916" s="20" t="s">
        <v>10</v>
      </c>
      <c r="J1916" s="20" t="s">
        <v>5882</v>
      </c>
      <c r="K1916" s="21" t="s">
        <v>5883</v>
      </c>
      <c r="L1916" s="20" t="s">
        <v>1808</v>
      </c>
      <c r="M1916" t="str">
        <f>TEXT(A1916,"dddd")</f>
        <v>Friday</v>
      </c>
      <c r="N1916" s="35">
        <f>DATE(Table4[[#This Row],[year]],Table4[[#This Row],[month2]],Table4[[#This Row],[day]])</f>
        <v>45814</v>
      </c>
    </row>
    <row r="1917" spans="1:14" ht="16" x14ac:dyDescent="0.35">
      <c r="A1917" t="str">
        <f t="shared" si="58"/>
        <v>06</v>
      </c>
      <c r="B1917">
        <f>_xlfn.SWITCH(Table4[[#This Row],[month]],"jan",1,"feb",2,"mar",3,"apr",4,"may",5,"jun",6,"jul",7,"aug",8,"sep",9,"oct",10,"nov",11,"dec",12,"no month")</f>
        <v>6</v>
      </c>
      <c r="C1917" s="12" t="str">
        <f>LEFT('All Transactions'!$E1917,3)</f>
        <v>Jun</v>
      </c>
      <c r="D1917" s="12" t="str">
        <f t="shared" si="59"/>
        <v>2025</v>
      </c>
      <c r="E1917" s="22" t="s">
        <v>5879</v>
      </c>
      <c r="F1917" s="23" t="s">
        <v>142</v>
      </c>
      <c r="G1917" s="18" t="s">
        <v>28</v>
      </c>
      <c r="H1917" s="24">
        <v>300</v>
      </c>
      <c r="I1917" s="25" t="s">
        <v>10</v>
      </c>
      <c r="J1917" s="25" t="s">
        <v>5884</v>
      </c>
      <c r="K1917" s="26" t="s">
        <v>5885</v>
      </c>
      <c r="L1917" s="25" t="s">
        <v>1808</v>
      </c>
      <c r="M1917" t="str">
        <f>TEXT(A1917,"dddd")</f>
        <v>Friday</v>
      </c>
      <c r="N1917" s="35">
        <f>DATE(Table4[[#This Row],[year]],Table4[[#This Row],[month2]],Table4[[#This Row],[day]])</f>
        <v>45814</v>
      </c>
    </row>
    <row r="1918" spans="1:14" ht="16" x14ac:dyDescent="0.35">
      <c r="A1918" t="str">
        <f t="shared" si="58"/>
        <v>06</v>
      </c>
      <c r="B1918">
        <f>_xlfn.SWITCH(Table4[[#This Row],[month]],"jan",1,"feb",2,"mar",3,"apr",4,"may",5,"jun",6,"jul",7,"aug",8,"sep",9,"oct",10,"nov",11,"dec",12,"no month")</f>
        <v>6</v>
      </c>
      <c r="C1918" s="12" t="str">
        <f>LEFT('All Transactions'!$E1918,3)</f>
        <v>Jun</v>
      </c>
      <c r="D1918" s="12" t="str">
        <f t="shared" si="59"/>
        <v>2025</v>
      </c>
      <c r="E1918" s="16" t="s">
        <v>5879</v>
      </c>
      <c r="F1918" s="17" t="s">
        <v>2461</v>
      </c>
      <c r="G1918" s="27" t="s">
        <v>54</v>
      </c>
      <c r="H1918" s="19">
        <v>200</v>
      </c>
      <c r="I1918" s="20" t="s">
        <v>1075</v>
      </c>
      <c r="J1918" s="20" t="s">
        <v>5886</v>
      </c>
      <c r="K1918" s="21" t="s">
        <v>5887</v>
      </c>
      <c r="L1918" s="20" t="s">
        <v>2330</v>
      </c>
      <c r="M1918" t="str">
        <f>TEXT(A1918,"dddd")</f>
        <v>Friday</v>
      </c>
      <c r="N1918" s="35">
        <f>DATE(Table4[[#This Row],[year]],Table4[[#This Row],[month2]],Table4[[#This Row],[day]])</f>
        <v>45814</v>
      </c>
    </row>
    <row r="1919" spans="1:14" ht="16" x14ac:dyDescent="0.35">
      <c r="A1919" t="str">
        <f t="shared" si="58"/>
        <v>06</v>
      </c>
      <c r="B1919">
        <f>_xlfn.SWITCH(Table4[[#This Row],[month]],"jan",1,"feb",2,"mar",3,"apr",4,"may",5,"jun",6,"jul",7,"aug",8,"sep",9,"oct",10,"nov",11,"dec",12,"no month")</f>
        <v>6</v>
      </c>
      <c r="C1919" s="12" t="str">
        <f>LEFT('All Transactions'!$E1919,3)</f>
        <v>Jun</v>
      </c>
      <c r="D1919" s="12" t="str">
        <f t="shared" si="59"/>
        <v>2025</v>
      </c>
      <c r="E1919" s="22" t="s">
        <v>5879</v>
      </c>
      <c r="F1919" s="23" t="s">
        <v>2977</v>
      </c>
      <c r="G1919" s="18" t="s">
        <v>28</v>
      </c>
      <c r="H1919" s="24">
        <v>11000</v>
      </c>
      <c r="I1919" s="25" t="s">
        <v>10</v>
      </c>
      <c r="J1919" s="25" t="s">
        <v>5888</v>
      </c>
      <c r="K1919" s="26" t="s">
        <v>5889</v>
      </c>
      <c r="L1919" s="25" t="s">
        <v>1808</v>
      </c>
      <c r="M1919" t="str">
        <f>TEXT(A1919,"dddd")</f>
        <v>Friday</v>
      </c>
      <c r="N1919" s="35">
        <f>DATE(Table4[[#This Row],[year]],Table4[[#This Row],[month2]],Table4[[#This Row],[day]])</f>
        <v>45814</v>
      </c>
    </row>
    <row r="1920" spans="1:14" ht="16" x14ac:dyDescent="0.35">
      <c r="A1920" t="str">
        <f t="shared" si="58"/>
        <v>06</v>
      </c>
      <c r="B1920">
        <f>_xlfn.SWITCH(Table4[[#This Row],[month]],"jan",1,"feb",2,"mar",3,"apr",4,"may",5,"jun",6,"jul",7,"aug",8,"sep",9,"oct",10,"nov",11,"dec",12,"no month")</f>
        <v>6</v>
      </c>
      <c r="C1920" s="12" t="str">
        <f>LEFT('All Transactions'!$E1920,3)</f>
        <v>Jun</v>
      </c>
      <c r="D1920" s="12" t="str">
        <f t="shared" si="59"/>
        <v>2025</v>
      </c>
      <c r="E1920" s="16" t="s">
        <v>5879</v>
      </c>
      <c r="F1920" s="17" t="s">
        <v>5615</v>
      </c>
      <c r="G1920" s="27" t="s">
        <v>54</v>
      </c>
      <c r="H1920" s="19">
        <v>11500</v>
      </c>
      <c r="I1920" s="20" t="s">
        <v>5890</v>
      </c>
      <c r="J1920" s="20" t="s">
        <v>5891</v>
      </c>
      <c r="K1920" s="21" t="s">
        <v>5892</v>
      </c>
      <c r="L1920" s="20" t="s">
        <v>2330</v>
      </c>
      <c r="M1920" t="str">
        <f>TEXT(A1920,"dddd")</f>
        <v>Friday</v>
      </c>
      <c r="N1920" s="35">
        <f>DATE(Table4[[#This Row],[year]],Table4[[#This Row],[month2]],Table4[[#This Row],[day]])</f>
        <v>45814</v>
      </c>
    </row>
    <row r="1921" spans="1:14" ht="16" x14ac:dyDescent="0.35">
      <c r="A1921" t="str">
        <f t="shared" si="58"/>
        <v>05</v>
      </c>
      <c r="B1921">
        <f>_xlfn.SWITCH(Table4[[#This Row],[month]],"jan",1,"feb",2,"mar",3,"apr",4,"may",5,"jun",6,"jul",7,"aug",8,"sep",9,"oct",10,"nov",11,"dec",12,"no month")</f>
        <v>6</v>
      </c>
      <c r="C1921" s="12" t="str">
        <f>LEFT('All Transactions'!$E1921,3)</f>
        <v>Jun</v>
      </c>
      <c r="D1921" s="12" t="str">
        <f t="shared" si="59"/>
        <v>2025</v>
      </c>
      <c r="E1921" s="22" t="s">
        <v>5893</v>
      </c>
      <c r="F1921" s="23" t="s">
        <v>312</v>
      </c>
      <c r="G1921" s="18" t="s">
        <v>28</v>
      </c>
      <c r="H1921" s="24">
        <v>352</v>
      </c>
      <c r="I1921" s="25" t="s">
        <v>5894</v>
      </c>
      <c r="J1921" s="25" t="s">
        <v>5895</v>
      </c>
      <c r="K1921" s="26" t="s">
        <v>5896</v>
      </c>
      <c r="L1921" s="25" t="s">
        <v>47</v>
      </c>
      <c r="M1921" t="str">
        <f>TEXT(A1921,"dddd")</f>
        <v>Thursday</v>
      </c>
      <c r="N1921" s="35">
        <f>DATE(Table4[[#This Row],[year]],Table4[[#This Row],[month2]],Table4[[#This Row],[day]])</f>
        <v>45813</v>
      </c>
    </row>
    <row r="1922" spans="1:14" ht="16" x14ac:dyDescent="0.35">
      <c r="A1922" t="str">
        <f t="shared" si="58"/>
        <v>05</v>
      </c>
      <c r="B1922">
        <f>_xlfn.SWITCH(Table4[[#This Row],[month]],"jan",1,"feb",2,"mar",3,"apr",4,"may",5,"jun",6,"jul",7,"aug",8,"sep",9,"oct",10,"nov",11,"dec",12,"no month")</f>
        <v>6</v>
      </c>
      <c r="C1922" s="12" t="str">
        <f>LEFT('All Transactions'!$E1922,3)</f>
        <v>Jun</v>
      </c>
      <c r="D1922" s="12" t="str">
        <f t="shared" si="59"/>
        <v>2025</v>
      </c>
      <c r="E1922" s="16" t="s">
        <v>5893</v>
      </c>
      <c r="F1922" s="17" t="s">
        <v>5897</v>
      </c>
      <c r="G1922" s="18" t="s">
        <v>28</v>
      </c>
      <c r="H1922" s="19">
        <v>6</v>
      </c>
      <c r="I1922" s="20" t="s">
        <v>10</v>
      </c>
      <c r="J1922" s="20" t="s">
        <v>5898</v>
      </c>
      <c r="K1922" s="21" t="s">
        <v>5899</v>
      </c>
      <c r="L1922" s="20" t="s">
        <v>1808</v>
      </c>
      <c r="M1922" t="str">
        <f>TEXT(A1922,"dddd")</f>
        <v>Thursday</v>
      </c>
      <c r="N1922" s="35">
        <f>DATE(Table4[[#This Row],[year]],Table4[[#This Row],[month2]],Table4[[#This Row],[day]])</f>
        <v>45813</v>
      </c>
    </row>
    <row r="1923" spans="1:14" ht="16" x14ac:dyDescent="0.35">
      <c r="A1923" t="str">
        <f t="shared" ref="A1923:A1931" si="60">MID(E1923,5,2)</f>
        <v>05</v>
      </c>
      <c r="B1923">
        <f>_xlfn.SWITCH(Table4[[#This Row],[month]],"jan",1,"feb",2,"mar",3,"apr",4,"may",5,"jun",6,"jul",7,"aug",8,"sep",9,"oct",10,"nov",11,"dec",12,"no month")</f>
        <v>6</v>
      </c>
      <c r="C1923" s="12" t="str">
        <f>LEFT('All Transactions'!$E1923,3)</f>
        <v>Jun</v>
      </c>
      <c r="D1923" s="12" t="str">
        <f t="shared" ref="D1923:D1931" si="61">RIGHT(E1923,4)</f>
        <v>2025</v>
      </c>
      <c r="E1923" s="22" t="s">
        <v>5893</v>
      </c>
      <c r="F1923" s="23" t="s">
        <v>138</v>
      </c>
      <c r="G1923" s="18" t="s">
        <v>28</v>
      </c>
      <c r="H1923" s="24">
        <v>60</v>
      </c>
      <c r="I1923" s="25" t="s">
        <v>10</v>
      </c>
      <c r="J1923" s="25" t="s">
        <v>5900</v>
      </c>
      <c r="K1923" s="26" t="s">
        <v>5901</v>
      </c>
      <c r="L1923" s="25" t="s">
        <v>1808</v>
      </c>
      <c r="M1923" t="str">
        <f>TEXT(A1923,"dddd")</f>
        <v>Thursday</v>
      </c>
      <c r="N1923" s="35">
        <f>DATE(Table4[[#This Row],[year]],Table4[[#This Row],[month2]],Table4[[#This Row],[day]])</f>
        <v>45813</v>
      </c>
    </row>
    <row r="1924" spans="1:14" ht="16" x14ac:dyDescent="0.35">
      <c r="A1924" t="str">
        <f t="shared" si="60"/>
        <v>05</v>
      </c>
      <c r="B1924">
        <f>_xlfn.SWITCH(Table4[[#This Row],[month]],"jan",1,"feb",2,"mar",3,"apr",4,"may",5,"jun",6,"jul",7,"aug",8,"sep",9,"oct",10,"nov",11,"dec",12,"no month")</f>
        <v>6</v>
      </c>
      <c r="C1924" s="12" t="str">
        <f>LEFT('All Transactions'!$E1924,3)</f>
        <v>Jun</v>
      </c>
      <c r="D1924" s="12" t="str">
        <f t="shared" si="61"/>
        <v>2025</v>
      </c>
      <c r="E1924" s="16" t="s">
        <v>5893</v>
      </c>
      <c r="F1924" s="17" t="s">
        <v>509</v>
      </c>
      <c r="G1924" s="18" t="s">
        <v>28</v>
      </c>
      <c r="H1924" s="19">
        <v>200</v>
      </c>
      <c r="I1924" s="20" t="s">
        <v>5902</v>
      </c>
      <c r="J1924" s="20" t="s">
        <v>5903</v>
      </c>
      <c r="K1924" s="21" t="s">
        <v>5904</v>
      </c>
      <c r="L1924" s="20" t="s">
        <v>1808</v>
      </c>
      <c r="M1924" t="str">
        <f>TEXT(A1924,"dddd")</f>
        <v>Thursday</v>
      </c>
      <c r="N1924" s="35">
        <f>DATE(Table4[[#This Row],[year]],Table4[[#This Row],[month2]],Table4[[#This Row],[day]])</f>
        <v>45813</v>
      </c>
    </row>
    <row r="1925" spans="1:14" ht="16" x14ac:dyDescent="0.35">
      <c r="A1925" t="str">
        <f t="shared" si="60"/>
        <v>05</v>
      </c>
      <c r="B1925">
        <f>_xlfn.SWITCH(Table4[[#This Row],[month]],"jan",1,"feb",2,"mar",3,"apr",4,"may",5,"jun",6,"jul",7,"aug",8,"sep",9,"oct",10,"nov",11,"dec",12,"no month")</f>
        <v>6</v>
      </c>
      <c r="C1925" s="12" t="str">
        <f>LEFT('All Transactions'!$E1925,3)</f>
        <v>Jun</v>
      </c>
      <c r="D1925" s="12" t="str">
        <f t="shared" si="61"/>
        <v>2025</v>
      </c>
      <c r="E1925" s="22" t="s">
        <v>5893</v>
      </c>
      <c r="F1925" s="23" t="s">
        <v>5905</v>
      </c>
      <c r="G1925" s="27" t="s">
        <v>54</v>
      </c>
      <c r="H1925" s="24">
        <v>650</v>
      </c>
      <c r="I1925" s="25" t="s">
        <v>1075</v>
      </c>
      <c r="J1925" s="25" t="s">
        <v>5906</v>
      </c>
      <c r="K1925" s="26" t="s">
        <v>5907</v>
      </c>
      <c r="L1925" s="25" t="s">
        <v>2330</v>
      </c>
      <c r="M1925" t="str">
        <f>TEXT(A1925,"dddd")</f>
        <v>Thursday</v>
      </c>
      <c r="N1925" s="35">
        <f>DATE(Table4[[#This Row],[year]],Table4[[#This Row],[month2]],Table4[[#This Row],[day]])</f>
        <v>45813</v>
      </c>
    </row>
    <row r="1926" spans="1:14" ht="16" x14ac:dyDescent="0.35">
      <c r="A1926" t="str">
        <f t="shared" si="60"/>
        <v>05</v>
      </c>
      <c r="B1926">
        <f>_xlfn.SWITCH(Table4[[#This Row],[month]],"jan",1,"feb",2,"mar",3,"apr",4,"may",5,"jun",6,"jul",7,"aug",8,"sep",9,"oct",10,"nov",11,"dec",12,"no month")</f>
        <v>6</v>
      </c>
      <c r="C1926" s="12" t="str">
        <f>LEFT('All Transactions'!$E1926,3)</f>
        <v>Jun</v>
      </c>
      <c r="D1926" s="12" t="str">
        <f t="shared" si="61"/>
        <v>2025</v>
      </c>
      <c r="E1926" s="16" t="s">
        <v>5893</v>
      </c>
      <c r="F1926" s="17" t="s">
        <v>918</v>
      </c>
      <c r="G1926" s="18" t="s">
        <v>28</v>
      </c>
      <c r="H1926" s="19">
        <v>150</v>
      </c>
      <c r="I1926" s="20" t="s">
        <v>5908</v>
      </c>
      <c r="J1926" s="20" t="s">
        <v>5909</v>
      </c>
      <c r="K1926" s="21" t="s">
        <v>5910</v>
      </c>
      <c r="L1926" s="20" t="s">
        <v>47</v>
      </c>
      <c r="M1926" t="str">
        <f>TEXT(A1926,"dddd")</f>
        <v>Thursday</v>
      </c>
      <c r="N1926" s="35">
        <f>DATE(Table4[[#This Row],[year]],Table4[[#This Row],[month2]],Table4[[#This Row],[day]])</f>
        <v>45813</v>
      </c>
    </row>
    <row r="1927" spans="1:14" ht="16" x14ac:dyDescent="0.35">
      <c r="A1927" t="str">
        <f t="shared" si="60"/>
        <v>04</v>
      </c>
      <c r="B1927">
        <f>_xlfn.SWITCH(Table4[[#This Row],[month]],"jan",1,"feb",2,"mar",3,"apr",4,"may",5,"jun",6,"jul",7,"aug",8,"sep",9,"oct",10,"nov",11,"dec",12,"no month")</f>
        <v>6</v>
      </c>
      <c r="C1927" s="12" t="str">
        <f>LEFT('All Transactions'!$E1927,3)</f>
        <v>Jun</v>
      </c>
      <c r="D1927" s="12" t="str">
        <f t="shared" si="61"/>
        <v>2025</v>
      </c>
      <c r="E1927" s="22" t="s">
        <v>5911</v>
      </c>
      <c r="F1927" s="23" t="s">
        <v>573</v>
      </c>
      <c r="G1927" s="27" t="s">
        <v>54</v>
      </c>
      <c r="H1927" s="24">
        <v>80</v>
      </c>
      <c r="I1927" s="25" t="s">
        <v>1075</v>
      </c>
      <c r="J1927" s="25" t="s">
        <v>5912</v>
      </c>
      <c r="K1927" s="26" t="s">
        <v>5913</v>
      </c>
      <c r="L1927" s="25" t="s">
        <v>2330</v>
      </c>
      <c r="M1927" t="str">
        <f>TEXT(A1927,"dddd")</f>
        <v>Wednesday</v>
      </c>
      <c r="N1927" s="35">
        <f>DATE(Table4[[#This Row],[year]],Table4[[#This Row],[month2]],Table4[[#This Row],[day]])</f>
        <v>45812</v>
      </c>
    </row>
    <row r="1928" spans="1:14" ht="16" x14ac:dyDescent="0.35">
      <c r="A1928" t="str">
        <f t="shared" si="60"/>
        <v>04</v>
      </c>
      <c r="B1928">
        <f>_xlfn.SWITCH(Table4[[#This Row],[month]],"jan",1,"feb",2,"mar",3,"apr",4,"may",5,"jun",6,"jul",7,"aug",8,"sep",9,"oct",10,"nov",11,"dec",12,"no month")</f>
        <v>6</v>
      </c>
      <c r="C1928" s="12" t="str">
        <f>LEFT('All Transactions'!$E1928,3)</f>
        <v>Jun</v>
      </c>
      <c r="D1928" s="12" t="str">
        <f t="shared" si="61"/>
        <v>2025</v>
      </c>
      <c r="E1928" s="16" t="s">
        <v>5911</v>
      </c>
      <c r="F1928" s="17" t="s">
        <v>1641</v>
      </c>
      <c r="G1928" s="18" t="s">
        <v>28</v>
      </c>
      <c r="H1928" s="19">
        <v>129</v>
      </c>
      <c r="I1928" s="20" t="s">
        <v>5914</v>
      </c>
      <c r="J1928" s="20" t="s">
        <v>5915</v>
      </c>
      <c r="K1928" s="21" t="s">
        <v>5916</v>
      </c>
      <c r="L1928" s="20" t="s">
        <v>1808</v>
      </c>
      <c r="M1928" t="str">
        <f>TEXT(A1928,"dddd")</f>
        <v>Wednesday</v>
      </c>
      <c r="N1928" s="35">
        <f>DATE(Table4[[#This Row],[year]],Table4[[#This Row],[month2]],Table4[[#This Row],[day]])</f>
        <v>45812</v>
      </c>
    </row>
    <row r="1929" spans="1:14" ht="16" x14ac:dyDescent="0.35">
      <c r="A1929" t="str">
        <f t="shared" si="60"/>
        <v>04</v>
      </c>
      <c r="B1929">
        <f>_xlfn.SWITCH(Table4[[#This Row],[month]],"jan",1,"feb",2,"mar",3,"apr",4,"may",5,"jun",6,"jul",7,"aug",8,"sep",9,"oct",10,"nov",11,"dec",12,"no month")</f>
        <v>6</v>
      </c>
      <c r="C1929" s="12" t="str">
        <f>LEFT('All Transactions'!$E1929,3)</f>
        <v>Jun</v>
      </c>
      <c r="D1929" s="12" t="str">
        <f t="shared" si="61"/>
        <v>2025</v>
      </c>
      <c r="E1929" s="22" t="s">
        <v>5911</v>
      </c>
      <c r="F1929" s="23" t="s">
        <v>1794</v>
      </c>
      <c r="G1929" s="27" t="s">
        <v>54</v>
      </c>
      <c r="H1929" s="24">
        <v>60</v>
      </c>
      <c r="I1929" s="25" t="s">
        <v>1075</v>
      </c>
      <c r="J1929" s="25" t="s">
        <v>5917</v>
      </c>
      <c r="K1929" s="26" t="s">
        <v>5918</v>
      </c>
      <c r="L1929" s="25" t="s">
        <v>2330</v>
      </c>
      <c r="M1929" t="str">
        <f>TEXT(A1929,"dddd")</f>
        <v>Wednesday</v>
      </c>
      <c r="N1929" s="35">
        <f>DATE(Table4[[#This Row],[year]],Table4[[#This Row],[month2]],Table4[[#This Row],[day]])</f>
        <v>45812</v>
      </c>
    </row>
    <row r="1930" spans="1:14" ht="16" x14ac:dyDescent="0.35">
      <c r="A1930" t="str">
        <f t="shared" si="60"/>
        <v>04</v>
      </c>
      <c r="B1930">
        <f>_xlfn.SWITCH(Table4[[#This Row],[month]],"jan",1,"feb",2,"mar",3,"apr",4,"may",5,"jun",6,"jul",7,"aug",8,"sep",9,"oct",10,"nov",11,"dec",12,"no month")</f>
        <v>6</v>
      </c>
      <c r="C1930" s="12" t="str">
        <f>LEFT('All Transactions'!$E1930,3)</f>
        <v>Jun</v>
      </c>
      <c r="D1930" s="12" t="str">
        <f t="shared" si="61"/>
        <v>2025</v>
      </c>
      <c r="E1930" s="16" t="s">
        <v>5911</v>
      </c>
      <c r="F1930" s="17" t="s">
        <v>1154</v>
      </c>
      <c r="G1930" s="27" t="s">
        <v>54</v>
      </c>
      <c r="H1930" s="19">
        <v>460</v>
      </c>
      <c r="I1930" s="20" t="s">
        <v>1090</v>
      </c>
      <c r="J1930" s="20" t="s">
        <v>5919</v>
      </c>
      <c r="K1930" s="21" t="s">
        <v>5920</v>
      </c>
      <c r="L1930" s="20" t="s">
        <v>2330</v>
      </c>
      <c r="M1930" t="str">
        <f>TEXT(A1930,"dddd")</f>
        <v>Wednesday</v>
      </c>
      <c r="N1930" s="35">
        <f>DATE(Table4[[#This Row],[year]],Table4[[#This Row],[month2]],Table4[[#This Row],[day]])</f>
        <v>45812</v>
      </c>
    </row>
    <row r="1931" spans="1:14" ht="16" x14ac:dyDescent="0.35">
      <c r="A1931" t="str">
        <f t="shared" si="60"/>
        <v>04</v>
      </c>
      <c r="B1931">
        <f>_xlfn.SWITCH(Table4[[#This Row],[month]],"jan",1,"feb",2,"mar",3,"apr",4,"may",5,"jun",6,"jul",7,"aug",8,"sep",9,"oct",10,"nov",11,"dec",12,"no month")</f>
        <v>6</v>
      </c>
      <c r="C1931" s="12" t="str">
        <f>LEFT('All Transactions'!$E1931,3)</f>
        <v>Jun</v>
      </c>
      <c r="D1931" s="12" t="str">
        <f t="shared" si="61"/>
        <v>2025</v>
      </c>
      <c r="E1931" s="28" t="s">
        <v>5911</v>
      </c>
      <c r="F1931" s="29" t="s">
        <v>2020</v>
      </c>
      <c r="G1931" s="30" t="s">
        <v>54</v>
      </c>
      <c r="H1931" s="31">
        <v>250</v>
      </c>
      <c r="I1931" s="32" t="s">
        <v>5921</v>
      </c>
      <c r="J1931" s="32" t="s">
        <v>5922</v>
      </c>
      <c r="K1931" s="33" t="s">
        <v>5923</v>
      </c>
      <c r="L1931" s="32" t="s">
        <v>2330</v>
      </c>
      <c r="M1931" t="str">
        <f>TEXT(A1931,"dddd")</f>
        <v>Wednesday</v>
      </c>
      <c r="N1931" s="35">
        <f>DATE(Table4[[#This Row],[year]],Table4[[#This Row],[month2]],Table4[[#This Row],[day]])</f>
        <v>45812</v>
      </c>
    </row>
  </sheetData>
  <phoneticPr fontId="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Dashboard</vt:lpstr>
      <vt:lpstr>All 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kadari</cp:lastModifiedBy>
  <dcterms:created xsi:type="dcterms:W3CDTF">2026-06-04T07:35:55Z</dcterms:created>
  <dcterms:modified xsi:type="dcterms:W3CDTF">2026-06-05T05:20:15Z</dcterms:modified>
</cp:coreProperties>
</file>